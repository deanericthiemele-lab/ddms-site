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10" documentId="8_{96B9E37B-5941-46BA-AA97-B18EA540EAA4}" xr6:coauthVersionLast="47" xr6:coauthVersionMax="47" xr10:uidLastSave="{7E66CBA1-EEF6-42B4-A78B-8573D1ABD90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0" i="1" l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<sst xmlns="http://schemas.openxmlformats.org/spreadsheetml/2006/main" count="2717" uniqueCount="565">
  <si>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</si>
  <si>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</si>
  <si>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</si>
  <si>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</si>
  <si>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</si>
  <si>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</si>
  <si>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</si>
  <si>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</si>
  <si>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</si>
  <si>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</si>
  <si>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</si>
  <si>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</si>
  <si>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</si>
  <si>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</si>
  <si>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</si>
  <si>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</si>
  <si>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</si>
  <si>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</si>
  <si>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</si>
  <si>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</si>
  <si>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</si>
  <si>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</si>
  <si>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</si>
  <si>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</si>
  <si>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</si>
  <si>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</si>
  <si>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</si>
  <si>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</si>
  <si>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</si>
  <si>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</si>
  <si>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</si>
  <si>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</si>
  <si>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</si>
  <si>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</si>
  <si>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</si>
  <si>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</si>
  <si>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</si>
  <si>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</si>
  <si>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</si>
  <si>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</si>
  <si>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</si>
  <si>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</si>
  <si>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</si>
  <si>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</si>
  <si>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</si>
  <si>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</si>
  <si>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</si>
  <si>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</si>
  <si>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</si>
  <si>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</si>
  <si>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</si>
  <si>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</si>
  <si>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</si>
  <si>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</si>
  <si>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</si>
  <si>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</si>
  <si>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</si>
  <si>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</si>
  <si>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</si>
  <si>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</si>
  <si>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</si>
  <si>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</si>
  <si>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</si>
  <si>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</si>
  <si>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</si>
  <si>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</si>
  <si>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</si>
  <si>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</si>
  <si>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</si>
  <si>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</si>
  <si>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</si>
  <si>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</si>
  <si>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</si>
  <si>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</si>
  <si>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</si>
  <si>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</si>
  <si>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</si>
  <si>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</si>
  <si>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</si>
  <si>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</si>
  <si>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</si>
  <si>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</si>
  <si>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</si>
  <si>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</si>
  <si>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</si>
  <si>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</si>
  <si>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</si>
  <si>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</si>
  <si>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</si>
  <si>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</si>
  <si>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</si>
  <si>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</si>
  <si>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</si>
  <si>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</si>
  <si>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</si>
  <si>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</si>
  <si>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</si>
  <si>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</si>
  <si>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</si>
  <si>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</si>
  <si>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</si>
  <si>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</si>
  <si>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</si>
  <si>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</si>
  <si>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</si>
  <si>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</si>
  <si>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</si>
  <si>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</si>
  <si>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</si>
  <si>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</si>
  <si>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</si>
  <si>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</si>
  <si>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</si>
  <si>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</si>
  <si>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</si>
  <si>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</si>
  <si>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</si>
  <si>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</si>
  <si>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</si>
  <si>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</si>
  <si>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</si>
  <si>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</si>
  <si>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</si>
  <si>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</si>
  <si>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</si>
  <si>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</si>
  <si>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</si>
  <si>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</si>
  <si>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</si>
  <si>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</si>
  <si>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</si>
  <si>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</si>
  <si>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</si>
  <si>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</si>
  <si>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</si>
  <si>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</si>
  <si>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</si>
  <si>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</si>
  <si>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</si>
  <si>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</si>
  <si>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</si>
  <si>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</si>
  <si>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</si>
  <si>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</si>
  <si>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</si>
  <si>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</si>
  <si>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</si>
  <si>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</si>
  <si>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</si>
  <si>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</si>
  <si>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</si>
  <si>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</si>
  <si>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</si>
  <si>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</si>
  <si>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</si>
  <si>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</si>
  <si>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</si>
  <si>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</si>
  <si>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</si>
  <si>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</si>
  <si>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</si>
  <si>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</si>
  <si>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</si>
  <si>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</si>
  <si>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</si>
  <si>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</si>
  <si>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</si>
  <si>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</si>
  <si>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</si>
  <si>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</si>
  <si>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</si>
  <si>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</si>
  <si>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</si>
  <si>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</si>
  <si>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</si>
  <si>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</si>
  <si>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</si>
  <si>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</si>
  <si>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</si>
  <si>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</si>
  <si>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</si>
  <si>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</si>
  <si>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</si>
  <si>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</si>
  <si>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</si>
  <si>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</si>
  <si>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</si>
  <si>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</si>
  <si>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</si>
  <si>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</si>
  <si>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</si>
  <si>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</si>
  <si>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</si>
  <si>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</si>
  <si>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</si>
  <si>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</si>
  <si>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</si>
  <si>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</si>
  <si>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</si>
  <si>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</si>
  <si>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</si>
  <si>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</si>
  <si>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</si>
  <si>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</si>
  <si>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</si>
  <si>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</si>
  <si>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</si>
  <si>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</si>
  <si>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</si>
  <si>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</si>
  <si>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</si>
  <si>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</si>
  <si>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</si>
  <si>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</si>
  <si>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</si>
  <si>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</si>
  <si>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</si>
  <si>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</si>
  <si>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</si>
  <si>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</si>
  <si>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</si>
  <si>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</si>
  <si>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</si>
  <si>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</si>
  <si>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</si>
  <si>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</si>
  <si>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</si>
  <si>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</si>
  <si>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</si>
  <si>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</si>
  <si>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</si>
  <si>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</si>
  <si>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</si>
  <si>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</si>
  <si>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</si>
  <si>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</si>
  <si>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</si>
  <si>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</si>
  <si>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</si>
  <si>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</si>
  <si>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</si>
  <si>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</si>
  <si>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</si>
  <si>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</si>
  <si>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</si>
  <si>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</si>
  <si>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</si>
  <si>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</si>
  <si>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</si>
  <si>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</si>
  <si>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</si>
  <si>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</si>
  <si>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</si>
  <si>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</si>
  <si>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</si>
  <si>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</si>
  <si>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</si>
  <si>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</si>
  <si>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</si>
  <si>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</si>
  <si>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</si>
  <si>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</si>
  <si>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</si>
  <si>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</si>
  <si>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</si>
  <si>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</si>
  <si>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</si>
  <si>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</si>
  <si>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</si>
  <si>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</si>
  <si>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</si>
  <si>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</si>
  <si>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</si>
  <si>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</si>
  <si>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</si>
  <si>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</si>
  <si>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</si>
  <si>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</si>
  <si>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</si>
  <si>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</si>
  <si>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</si>
  <si>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</si>
  <si>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</si>
  <si>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</si>
  <si>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</si>
  <si>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</si>
  <si>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</si>
  <si>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</si>
  <si>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</si>
  <si>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</si>
  <si>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</si>
  <si>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</si>
  <si>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</si>
  <si>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</si>
  <si>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</si>
  <si>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</si>
  <si>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</si>
  <si>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</si>
  <si>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</si>
  <si>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</si>
  <si>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</si>
  <si>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</si>
  <si>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</si>
  <si>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</si>
  <si>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</si>
  <si>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</si>
  <si>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</si>
  <si>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</si>
  <si>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</si>
  <si>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</si>
  <si>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</si>
  <si>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</si>
  <si>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</si>
  <si>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</si>
  <si>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</si>
  <si>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</si>
  <si>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</si>
  <si>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</si>
  <si>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</si>
  <si>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</si>
  <si>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</si>
  <si>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</si>
  <si>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</si>
  <si>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</si>
  <si>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</si>
  <si>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</si>
  <si>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</si>
  <si>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</si>
  <si>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</si>
  <si>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</si>
  <si>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</si>
  <si>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</si>
  <si>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</si>
  <si>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</si>
  <si>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</si>
  <si>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</si>
  <si>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</si>
  <si>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</si>
  <si>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</si>
  <si>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</si>
  <si>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</si>
  <si>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</si>
  <si>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</si>
  <si>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</si>
  <si>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</si>
  <si>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</si>
  <si>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</si>
  <si>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</si>
  <si>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</si>
  <si>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</si>
  <si>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</si>
  <si>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</si>
  <si>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</si>
  <si>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</si>
  <si>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</si>
  <si>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</si>
  <si>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</si>
  <si>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</si>
  <si>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</si>
  <si>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</si>
  <si>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</si>
  <si>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</si>
  <si>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</si>
  <si>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</si>
  <si>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</si>
  <si>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</si>
  <si>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</si>
  <si>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</si>
  <si>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</si>
  <si>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</si>
  <si>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</si>
  <si>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</si>
  <si>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</si>
  <si>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</si>
  <si>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</si>
  <si>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</si>
  <si>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</si>
  <si>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</si>
  <si>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</si>
  <si>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</si>
  <si>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</si>
  <si>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</si>
  <si>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</si>
  <si>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</si>
  <si>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</si>
  <si>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</si>
  <si>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</si>
  <si>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</si>
  <si>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</si>
  <si>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</si>
  <si>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</si>
  <si>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</si>
  <si>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</si>
  <si>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</si>
  <si>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</si>
  <si>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</si>
  <si>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</si>
  <si>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</si>
  <si>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</si>
  <si>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</si>
  <si>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</si>
  <si>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</si>
  <si>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</si>
  <si>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</si>
  <si>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</si>
  <si>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</si>
  <si>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</si>
  <si>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</si>
  <si>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</si>
  <si>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</si>
  <si>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</si>
  <si>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</si>
  <si>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</si>
  <si>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</si>
  <si>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</si>
  <si>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</si>
  <si>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</si>
  <si>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</si>
  <si>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</si>
  <si>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</si>
  <si>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</si>
  <si>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</si>
  <si>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</si>
  <si>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</si>
  <si>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</si>
  <si>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</si>
  <si>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</si>
  <si>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</si>
  <si>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</si>
  <si>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</si>
  <si>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</si>
  <si>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</si>
  <si>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</si>
  <si>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</si>
  <si>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</si>
  <si>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</si>
  <si>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</si>
  <si>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</si>
  <si>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</si>
  <si>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</si>
  <si>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</si>
  <si>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</si>
  <si>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</si>
  <si>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</si>
  <si>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</si>
  <si>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</si>
  <si>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</si>
  <si>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</si>
  <si>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</si>
  <si>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</si>
  <si>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</si>
  <si>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</si>
  <si>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</si>
  <si>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</si>
  <si>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</si>
  <si>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</si>
  <si>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</si>
  <si>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</si>
  <si>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</si>
  <si>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</si>
  <si>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</si>
  <si>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</si>
  <si>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</si>
  <si>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</si>
  <si>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</si>
  <si>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</si>
  <si>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</si>
  <si>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</si>
  <si>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</si>
  <si>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</si>
  <si>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</si>
  <si>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</si>
  <si>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</si>
  <si>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</si>
  <si>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</si>
  <si>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</si>
  <si>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</si>
  <si>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</si>
  <si>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</si>
  <si>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</si>
  <si>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</si>
  <si>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</si>
  <si>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</si>
  <si>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</si>
  <si>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</si>
  <si>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</si>
  <si>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</si>
  <si>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</si>
  <si>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</si>
  <si>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</si>
  <si>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</si>
  <si>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</si>
  <si>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</si>
  <si>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</si>
  <si>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</si>
  <si>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</si>
  <si>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</si>
  <si>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</si>
  <si>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</si>
  <si>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</si>
  <si>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</si>
  <si>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</si>
  <si>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</si>
  <si>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</si>
  <si>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</si>
  <si>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</si>
  <si>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</si>
  <si>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</si>
  <si>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</si>
  <si>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</si>
  <si>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</si>
  <si>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</si>
  <si>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</si>
  <si>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</si>
  <si>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</si>
  <si>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</si>
  <si>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</si>
  <si>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</si>
  <si>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</si>
  <si>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</si>
  <si>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</si>
  <si>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</si>
  <si>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</si>
  <si>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</si>
  <si>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</si>
  <si>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</si>
  <si>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</si>
  <si>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</si>
  <si>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</si>
  <si>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</si>
  <si>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</si>
  <si>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</si>
  <si>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</si>
  <si>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</si>
  <si>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</si>
  <si>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</si>
  <si>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</si>
  <si>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</si>
  <si>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</si>
  <si>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</si>
  <si>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</si>
  <si>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</si>
  <si>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</si>
  <si>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</si>
  <si>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</si>
  <si>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</si>
  <si>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</si>
  <si>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</si>
  <si>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</si>
  <si>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</si>
  <si>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</si>
  <si>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</si>
  <si>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</si>
  <si>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</si>
  <si>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</si>
  <si>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</si>
  <si>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</si>
  <si>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</si>
  <si>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</si>
  <si>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</si>
  <si>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</si>
  <si>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</si>
  <si>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</si>
  <si>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COTE D'IVOIRE</t>
  </si>
  <si>
    <t>Projet DMO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</si>
</sst>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  <xf numFmtId="0" fontId="5" fillId="0" borderId="0" xfId="0" applyFont="1"/>
    <xf numFmtId="167" fontId="4" fillId="0" borderId="1" xfId="0" applyNumberFormat="1" applyFont="1" applyBorder="1" applyAlignment="1">
      <alignment horizontal="center" vertical="center"/>
    </xf>
    <xf numFmtId="167" fontId="4" fillId="5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4" fontId="5" fillId="0" borderId="0" xfId="0" applyNumberFormat="1" applyFont="1"/>
    <xf numFmtId="14" fontId="5" fillId="0" borderId="4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4"/>
  <sheetViews>
    <sheetView tabSelected="1" topLeftCell="A248" workbookViewId="0">
      <selection activeCell="U260" sqref="U260:U264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style="63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style="63" bestFit="1" customWidth="1"/>
    <col min="19" max="19" width="8.1796875" customWidth="1"/>
    <col min="20" max="20" width="6.54296875" customWidth="1"/>
    <col min="21" max="21" width="9.6328125" style="5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62" t="s">
        <v>7</v>
      </c>
      <c r="I1" s="62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62" t="s">
        <v>15</v>
      </c>
      <c r="S1" s="4" t="s">
        <v>16</v>
      </c>
      <c r="T1" s="1" t="s">
        <v>17</v>
      </c>
      <c r="U1" s="55" t="s">
        <v>442</v>
      </c>
    </row>
    <row r="2" spans="1:21" ht="29" customHeight="1" x14ac:dyDescent="0.35">
      <c r="A2" s="48" t="s">
        <v>154</v>
      </c>
      <c r="B2" s="45" t="s">
        <v>44</v>
      </c>
      <c r="C2" s="49">
        <v>55472663</v>
      </c>
      <c r="D2" s="45" t="s">
        <v>155</v>
      </c>
      <c r="E2" s="49" t="s">
        <v>156</v>
      </c>
      <c r="F2" s="45" t="s">
        <v>47</v>
      </c>
      <c r="G2" s="50" t="s">
        <v>23</v>
      </c>
      <c r="H2" s="51">
        <v>46010</v>
      </c>
      <c r="I2" s="52">
        <v>46015</v>
      </c>
      <c r="J2" s="53">
        <f>+NETWORKDAYS(H2,I2)</f>
        <v>4</v>
      </c>
      <c r="K2" s="45"/>
      <c r="L2" s="45"/>
      <c r="M2" s="35" t="s">
        <v>157</v>
      </c>
      <c r="N2" s="45" t="s">
        <v>29</v>
      </c>
      <c r="O2" s="54">
        <v>0</v>
      </c>
      <c r="P2" s="54">
        <v>0</v>
      </c>
      <c r="Q2" s="54">
        <f>P2+O2</f>
        <v>0</v>
      </c>
      <c r="R2" s="35">
        <v>46024</v>
      </c>
      <c r="S2" s="53">
        <f>NETWORKDAYS(H2,R2)</f>
        <v>11</v>
      </c>
      <c r="T2" s="34" t="s">
        <v>158</v>
      </c>
      <c r="U2" s="56"/>
    </row>
    <row r="3" spans="1:21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2">
        <v>1000000</v>
      </c>
      <c r="P3" s="42">
        <v>231750</v>
      </c>
      <c r="Q3" s="43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56"/>
    </row>
    <row r="4" spans="1:21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2">
        <v>0</v>
      </c>
      <c r="P4" s="42">
        <v>0</v>
      </c>
      <c r="Q4" s="43">
        <f>P4+O4</f>
        <v>0</v>
      </c>
      <c r="R4" s="13">
        <v>46027</v>
      </c>
      <c r="S4" s="24">
        <f t="shared" si="1"/>
        <v>12</v>
      </c>
      <c r="T4" s="11" t="s">
        <v>162</v>
      </c>
      <c r="U4" s="56"/>
    </row>
    <row r="5" spans="1:21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2">
        <v>0</v>
      </c>
      <c r="P5" s="42">
        <v>0</v>
      </c>
      <c r="Q5" s="43">
        <f>P5+O5</f>
        <v>0</v>
      </c>
      <c r="R5" s="13">
        <v>46027</v>
      </c>
      <c r="S5" s="24">
        <f t="shared" si="1"/>
        <v>12</v>
      </c>
      <c r="T5" s="11" t="s">
        <v>162</v>
      </c>
      <c r="U5" s="56"/>
    </row>
    <row r="6" spans="1:21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3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56"/>
    </row>
    <row r="7" spans="1:21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3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56"/>
    </row>
    <row r="8" spans="1:21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2">
        <v>3264000</v>
      </c>
      <c r="P8" s="42">
        <v>408000</v>
      </c>
      <c r="Q8" s="43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56"/>
    </row>
    <row r="9" spans="1:21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2">
        <v>1800000</v>
      </c>
      <c r="P9" s="42">
        <v>301520</v>
      </c>
      <c r="Q9" s="43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56"/>
    </row>
    <row r="10" spans="1:21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2">
        <v>1977000</v>
      </c>
      <c r="P10" s="42">
        <v>0</v>
      </c>
      <c r="Q10" s="43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56"/>
    </row>
    <row r="11" spans="1:21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2">
        <v>1977000</v>
      </c>
      <c r="P11" s="42">
        <v>0</v>
      </c>
      <c r="Q11" s="43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56"/>
    </row>
    <row r="12" spans="1:21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2">
        <v>1500000</v>
      </c>
      <c r="P12" s="42">
        <v>571781</v>
      </c>
      <c r="Q12" s="43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56"/>
    </row>
    <row r="13" spans="1:21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3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56"/>
    </row>
    <row r="14" spans="1:21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3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56"/>
    </row>
    <row r="15" spans="1:21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2">
        <v>847200</v>
      </c>
      <c r="P15" s="42">
        <v>0</v>
      </c>
      <c r="Q15" s="43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56"/>
    </row>
    <row r="16" spans="1:21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2">
        <v>0</v>
      </c>
      <c r="P16" s="42">
        <v>0</v>
      </c>
      <c r="Q16" s="43">
        <f>P16+O16</f>
        <v>0</v>
      </c>
      <c r="R16" s="13">
        <v>46030</v>
      </c>
      <c r="S16" s="24">
        <f t="shared" si="1"/>
        <v>15</v>
      </c>
      <c r="T16" s="11" t="s">
        <v>162</v>
      </c>
      <c r="U16" s="56"/>
    </row>
    <row r="17" spans="1:21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3">
        <v>0</v>
      </c>
      <c r="P17" s="43">
        <v>0</v>
      </c>
      <c r="Q17" s="43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56"/>
    </row>
    <row r="18" spans="1:21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2">
        <v>1588888</v>
      </c>
      <c r="Q18" s="43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56"/>
    </row>
    <row r="19" spans="1:21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2">
        <v>0</v>
      </c>
      <c r="Q19" s="43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56"/>
    </row>
    <row r="20" spans="1:21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3">
        <v>0</v>
      </c>
      <c r="P20" s="43">
        <v>0</v>
      </c>
      <c r="Q20" s="43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56"/>
    </row>
    <row r="21" spans="1:21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2">
        <v>3000000</v>
      </c>
      <c r="P21" s="42">
        <v>270000</v>
      </c>
      <c r="Q21" s="43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56"/>
    </row>
    <row r="22" spans="1:21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2">
        <v>2000000</v>
      </c>
      <c r="P22" s="42">
        <v>380000</v>
      </c>
      <c r="Q22" s="43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56"/>
    </row>
    <row r="23" spans="1:21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2">
        <v>0</v>
      </c>
      <c r="Q23" s="43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56"/>
    </row>
    <row r="24" spans="1:21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2">
        <v>0</v>
      </c>
      <c r="P24" s="42">
        <v>0</v>
      </c>
      <c r="Q24" s="43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56"/>
    </row>
    <row r="25" spans="1:21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3">
        <v>144000</v>
      </c>
      <c r="P25" s="43">
        <v>0</v>
      </c>
      <c r="Q25" s="43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56"/>
    </row>
    <row r="26" spans="1:21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3">
        <v>1000000</v>
      </c>
      <c r="P26" s="43">
        <v>0</v>
      </c>
      <c r="Q26" s="43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56"/>
    </row>
    <row r="27" spans="1:21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2">
        <v>847200</v>
      </c>
      <c r="P27" s="42">
        <v>0</v>
      </c>
      <c r="Q27" s="43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56"/>
    </row>
    <row r="28" spans="1:21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2">
        <v>2500000</v>
      </c>
      <c r="P28" s="42">
        <v>280000</v>
      </c>
      <c r="Q28" s="43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56"/>
    </row>
    <row r="29" spans="1:21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2">
        <v>32214683</v>
      </c>
      <c r="P29" s="42">
        <v>6403996</v>
      </c>
      <c r="Q29" s="43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56"/>
    </row>
    <row r="30" spans="1:21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3">
        <v>150000</v>
      </c>
      <c r="P30" s="43">
        <v>40000</v>
      </c>
      <c r="Q30" s="43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56"/>
    </row>
    <row r="31" spans="1:21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2">
        <v>0</v>
      </c>
      <c r="P31" s="42">
        <v>40000</v>
      </c>
      <c r="Q31" s="43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56"/>
    </row>
    <row r="32" spans="1:21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2">
        <v>1000000</v>
      </c>
      <c r="P32" s="42">
        <v>705164</v>
      </c>
      <c r="Q32" s="43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56"/>
    </row>
    <row r="33" spans="1:21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2">
        <v>0</v>
      </c>
      <c r="P33" s="42">
        <v>170681</v>
      </c>
      <c r="Q33" s="43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56"/>
    </row>
    <row r="34" spans="1:21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2">
        <v>0</v>
      </c>
      <c r="P34" s="42">
        <v>92730</v>
      </c>
      <c r="Q34" s="43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56"/>
    </row>
    <row r="35" spans="1:21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2">
        <v>0</v>
      </c>
      <c r="P35" s="42">
        <v>92730</v>
      </c>
      <c r="Q35" s="43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56"/>
    </row>
    <row r="36" spans="1:21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2">
        <v>0</v>
      </c>
      <c r="P36" s="42">
        <v>92730</v>
      </c>
      <c r="Q36" s="43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56"/>
    </row>
    <row r="37" spans="1:21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2">
        <v>0</v>
      </c>
      <c r="P37" s="42">
        <v>92730</v>
      </c>
      <c r="Q37" s="43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56"/>
    </row>
    <row r="38" spans="1:21" ht="29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2">
        <v>2000500</v>
      </c>
      <c r="P38" s="42">
        <v>667054</v>
      </c>
      <c r="Q38" s="43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56"/>
    </row>
    <row r="39" spans="1:21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2">
        <v>0</v>
      </c>
      <c r="P39" s="42">
        <v>189985</v>
      </c>
      <c r="Q39" s="43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56"/>
    </row>
    <row r="40" spans="1:21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2">
        <v>0</v>
      </c>
      <c r="P40" s="42">
        <v>92730</v>
      </c>
      <c r="Q40" s="43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56"/>
    </row>
    <row r="41" spans="1:21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3">
        <v>0</v>
      </c>
      <c r="P41" s="43">
        <v>0</v>
      </c>
      <c r="Q41" s="43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56"/>
    </row>
    <row r="42" spans="1:21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2">
        <v>500000</v>
      </c>
      <c r="P42" s="42">
        <v>500000</v>
      </c>
      <c r="Q42" s="43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56"/>
    </row>
    <row r="43" spans="1:21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3">
        <v>150000</v>
      </c>
      <c r="P43" s="43">
        <v>60000</v>
      </c>
      <c r="Q43" s="43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56"/>
    </row>
    <row r="44" spans="1:21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3">
        <v>150000</v>
      </c>
      <c r="P44" s="43">
        <v>60000</v>
      </c>
      <c r="Q44" s="43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56"/>
    </row>
    <row r="45" spans="1:21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3">
        <v>955437</v>
      </c>
      <c r="P45" s="43">
        <v>0</v>
      </c>
      <c r="Q45" s="43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56"/>
    </row>
    <row r="46" spans="1:21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3">
        <v>500000</v>
      </c>
      <c r="P46" s="43">
        <v>0</v>
      </c>
      <c r="Q46" s="43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56"/>
    </row>
    <row r="47" spans="1:21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2">
        <v>0</v>
      </c>
      <c r="P47" s="42">
        <v>217691</v>
      </c>
      <c r="Q47" s="43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56"/>
    </row>
    <row r="48" spans="1:21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2">
        <v>2362401</v>
      </c>
      <c r="P48" s="42">
        <v>300000</v>
      </c>
      <c r="Q48" s="43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56"/>
    </row>
    <row r="49" spans="1:21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3">
        <v>0</v>
      </c>
      <c r="P49" s="43">
        <v>0</v>
      </c>
      <c r="Q49" s="43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56"/>
    </row>
    <row r="50" spans="1:21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2">
        <v>2000000</v>
      </c>
      <c r="P50" s="42">
        <v>646323</v>
      </c>
      <c r="Q50" s="43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56"/>
    </row>
    <row r="51" spans="1:21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2">
        <v>0</v>
      </c>
      <c r="P51" s="42">
        <v>0</v>
      </c>
      <c r="Q51" s="43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56"/>
    </row>
    <row r="52" spans="1:2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2">
        <v>500000</v>
      </c>
      <c r="P52" s="42">
        <v>325000</v>
      </c>
      <c r="Q52" s="43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56"/>
    </row>
    <row r="53" spans="1:2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2">
        <v>0</v>
      </c>
      <c r="P53" s="42">
        <v>433989</v>
      </c>
      <c r="Q53" s="43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56"/>
    </row>
    <row r="54" spans="1:2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3">
        <v>150000</v>
      </c>
      <c r="P54" s="43">
        <v>40000</v>
      </c>
      <c r="Q54" s="43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56"/>
    </row>
    <row r="55" spans="1:2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3">
        <v>1000000</v>
      </c>
      <c r="P55" s="43">
        <v>231750</v>
      </c>
      <c r="Q55" s="43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56"/>
    </row>
    <row r="56" spans="1:2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2">
        <v>133779304</v>
      </c>
      <c r="P56" s="42">
        <v>5620246</v>
      </c>
      <c r="Q56" s="43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56"/>
    </row>
    <row r="57" spans="1:2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2">
        <v>0</v>
      </c>
      <c r="P57" s="42">
        <v>500000</v>
      </c>
      <c r="Q57" s="43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56"/>
    </row>
    <row r="58" spans="1:2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2">
        <v>0</v>
      </c>
      <c r="P58" s="42">
        <v>433989</v>
      </c>
      <c r="Q58" s="43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56"/>
    </row>
    <row r="59" spans="1:2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2">
        <v>500000</v>
      </c>
      <c r="P59" s="42">
        <v>400000</v>
      </c>
      <c r="Q59" s="43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56"/>
    </row>
    <row r="60" spans="1:2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2">
        <v>1109000</v>
      </c>
      <c r="P60" s="42">
        <v>935000</v>
      </c>
      <c r="Q60" s="43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56"/>
    </row>
    <row r="61" spans="1:2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2">
        <v>1670725</v>
      </c>
      <c r="P61" s="42">
        <v>512000</v>
      </c>
      <c r="Q61" s="43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56"/>
    </row>
    <row r="62" spans="1:2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3">
        <v>200000</v>
      </c>
      <c r="P62" s="43">
        <v>0</v>
      </c>
      <c r="Q62" s="43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56"/>
    </row>
    <row r="63" spans="1:2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3">
        <v>200000</v>
      </c>
      <c r="P63" s="43">
        <v>0</v>
      </c>
      <c r="Q63" s="43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56"/>
    </row>
    <row r="64" spans="1:2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2">
        <v>0</v>
      </c>
      <c r="P64" s="42">
        <v>170681</v>
      </c>
      <c r="Q64" s="43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56"/>
    </row>
    <row r="65" spans="1:2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2">
        <v>0</v>
      </c>
      <c r="P65" s="42">
        <v>546923</v>
      </c>
      <c r="Q65" s="43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56"/>
    </row>
    <row r="66" spans="1:2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3">
        <v>0</v>
      </c>
      <c r="P66" s="42">
        <v>92730</v>
      </c>
      <c r="Q66" s="43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56"/>
    </row>
    <row r="67" spans="1:2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2">
        <v>855000</v>
      </c>
      <c r="P67" s="42">
        <v>196700</v>
      </c>
      <c r="Q67" s="43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56"/>
    </row>
    <row r="68" spans="1:2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3">
        <v>150000</v>
      </c>
      <c r="P68" s="43">
        <v>60000</v>
      </c>
      <c r="Q68" s="43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56"/>
    </row>
    <row r="69" spans="1:2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2">
        <v>1200000</v>
      </c>
      <c r="P69" s="42">
        <v>525090</v>
      </c>
      <c r="Q69" s="43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56"/>
    </row>
    <row r="70" spans="1:2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2">
        <v>3026000</v>
      </c>
      <c r="P70" s="42">
        <v>250000</v>
      </c>
      <c r="Q70" s="43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56"/>
    </row>
    <row r="71" spans="1:2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3">
        <v>270000</v>
      </c>
      <c r="P71" s="43">
        <v>111435</v>
      </c>
      <c r="Q71" s="43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56"/>
    </row>
    <row r="72" spans="1:2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3">
        <v>150000</v>
      </c>
      <c r="P72" s="43">
        <v>60000</v>
      </c>
      <c r="Q72" s="43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56"/>
    </row>
    <row r="73" spans="1:2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2">
        <v>0</v>
      </c>
      <c r="P73" s="42">
        <v>217691</v>
      </c>
      <c r="Q73" s="43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56"/>
    </row>
    <row r="74" spans="1:2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3">
        <v>1793983</v>
      </c>
      <c r="P74" s="43">
        <v>200000</v>
      </c>
      <c r="Q74" s="43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56"/>
    </row>
    <row r="75" spans="1:2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2">
        <v>0</v>
      </c>
      <c r="P75" s="42">
        <v>540923</v>
      </c>
      <c r="Q75" s="43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56"/>
    </row>
    <row r="76" spans="1:2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2">
        <v>500000</v>
      </c>
      <c r="P76" s="42">
        <v>819491</v>
      </c>
      <c r="Q76" s="43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56"/>
    </row>
    <row r="77" spans="1:2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2">
        <v>1000000</v>
      </c>
      <c r="P77" s="42">
        <v>300000</v>
      </c>
      <c r="Q77" s="41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56"/>
    </row>
    <row r="78" spans="1:2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2">
        <v>500000</v>
      </c>
      <c r="P78" s="42">
        <v>892535</v>
      </c>
      <c r="Q78" s="41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56"/>
    </row>
    <row r="79" spans="1:2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2">
        <v>150000</v>
      </c>
      <c r="P79" s="42">
        <v>40000</v>
      </c>
      <c r="Q79" s="41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56"/>
    </row>
    <row r="80" spans="1:2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2">
        <v>500000</v>
      </c>
      <c r="P80" s="42">
        <v>391740</v>
      </c>
      <c r="Q80" s="41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56"/>
    </row>
    <row r="81" spans="1:2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2">
        <v>788712</v>
      </c>
      <c r="P81" s="42">
        <v>500000</v>
      </c>
      <c r="Q81" s="41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56"/>
    </row>
    <row r="82" spans="1:21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1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56"/>
    </row>
    <row r="83" spans="1:2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3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56"/>
    </row>
    <row r="84" spans="1:2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2">
        <v>0</v>
      </c>
      <c r="Q84" s="43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56"/>
    </row>
    <row r="85" spans="1:2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2">
        <v>0</v>
      </c>
      <c r="P85" s="42">
        <v>0</v>
      </c>
      <c r="Q85" s="43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56"/>
    </row>
    <row r="86" spans="1:21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2">
        <v>360000</v>
      </c>
      <c r="P86" s="42">
        <v>152495</v>
      </c>
      <c r="Q86" s="41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56"/>
    </row>
    <row r="87" spans="1:2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2">
        <v>0</v>
      </c>
      <c r="P87" s="42">
        <v>0</v>
      </c>
      <c r="Q87" s="43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56"/>
    </row>
    <row r="88" spans="1:2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2">
        <v>600000</v>
      </c>
      <c r="P88" s="42">
        <v>400000</v>
      </c>
      <c r="Q88" s="43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56"/>
    </row>
    <row r="89" spans="1:2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2">
        <v>900000</v>
      </c>
      <c r="P89" s="42">
        <v>461679</v>
      </c>
      <c r="Q89" s="43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56"/>
    </row>
    <row r="90" spans="1:2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2">
        <v>1000000</v>
      </c>
      <c r="P90" s="42">
        <v>538647</v>
      </c>
      <c r="Q90" s="43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56"/>
    </row>
    <row r="91" spans="1:2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2">
        <v>5494650</v>
      </c>
      <c r="P91" s="42">
        <v>1211081</v>
      </c>
      <c r="Q91" s="43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56"/>
    </row>
    <row r="92" spans="1:2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2">
        <v>1430307</v>
      </c>
      <c r="P92" s="42">
        <v>600349</v>
      </c>
      <c r="Q92" s="43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56"/>
    </row>
    <row r="93" spans="1:21" ht="25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2">
        <v>500000</v>
      </c>
      <c r="P93" s="42">
        <v>590836</v>
      </c>
      <c r="Q93" s="43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56"/>
    </row>
    <row r="94" spans="1:2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2">
        <v>200000</v>
      </c>
      <c r="P94" s="42">
        <v>0</v>
      </c>
      <c r="Q94" s="43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56"/>
    </row>
    <row r="95" spans="1:2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2">
        <v>0</v>
      </c>
      <c r="P95" s="42">
        <v>0</v>
      </c>
      <c r="Q95" s="43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56"/>
    </row>
    <row r="96" spans="1:2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3">
        <v>360000</v>
      </c>
      <c r="P96" s="43">
        <v>92495</v>
      </c>
      <c r="Q96" s="43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56"/>
    </row>
    <row r="97" spans="1:21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2">
        <v>1000000</v>
      </c>
      <c r="P97" s="42">
        <v>495000</v>
      </c>
      <c r="Q97" s="43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56"/>
    </row>
    <row r="98" spans="1:2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2">
        <v>2245845</v>
      </c>
      <c r="P98" s="42">
        <v>474962</v>
      </c>
      <c r="Q98" s="43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56"/>
    </row>
    <row r="99" spans="1:2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3">
        <v>0</v>
      </c>
      <c r="P99" s="43">
        <v>725636</v>
      </c>
      <c r="Q99" s="43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56"/>
    </row>
    <row r="100" spans="1:21" ht="19.5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2">
        <v>1200000</v>
      </c>
      <c r="P100" s="43">
        <v>515054</v>
      </c>
      <c r="Q100" s="43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56"/>
    </row>
    <row r="101" spans="1:2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2">
        <v>0</v>
      </c>
      <c r="P101" s="42">
        <v>0</v>
      </c>
      <c r="Q101" s="43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56"/>
    </row>
    <row r="102" spans="1:2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2">
        <v>0</v>
      </c>
      <c r="P102" s="42">
        <v>0</v>
      </c>
      <c r="Q102" s="43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56"/>
    </row>
    <row r="103" spans="1:2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2">
        <v>200000</v>
      </c>
      <c r="P103" s="42">
        <v>0</v>
      </c>
      <c r="Q103" s="43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56"/>
    </row>
    <row r="104" spans="1:2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2">
        <v>2148649</v>
      </c>
      <c r="P104" s="42">
        <v>0</v>
      </c>
      <c r="Q104" s="43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56"/>
    </row>
    <row r="105" spans="1:2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3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56"/>
    </row>
    <row r="106" spans="1:2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3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56"/>
    </row>
    <row r="107" spans="1:2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3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56"/>
    </row>
    <row r="108" spans="1:2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3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56"/>
    </row>
    <row r="109" spans="1:2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3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56"/>
    </row>
    <row r="110" spans="1:2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2">
        <v>835588</v>
      </c>
      <c r="P110" s="42">
        <v>200000</v>
      </c>
      <c r="Q110" s="43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56"/>
    </row>
    <row r="111" spans="1:2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2">
        <v>1500000</v>
      </c>
      <c r="P111" s="42">
        <v>333527</v>
      </c>
      <c r="Q111" s="43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56"/>
    </row>
    <row r="112" spans="1:2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3">
        <v>420853</v>
      </c>
      <c r="P112" s="43">
        <v>467395</v>
      </c>
      <c r="Q112" s="43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56"/>
    </row>
    <row r="113" spans="1:2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2">
        <v>500000</v>
      </c>
      <c r="P113" s="42">
        <v>998817</v>
      </c>
      <c r="Q113" s="43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56"/>
    </row>
    <row r="114" spans="1:2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2">
        <v>700000</v>
      </c>
      <c r="P114" s="42">
        <v>497454</v>
      </c>
      <c r="Q114" s="43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56"/>
    </row>
    <row r="115" spans="1:2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2">
        <v>638483</v>
      </c>
      <c r="P115" s="42">
        <v>200000</v>
      </c>
      <c r="Q115" s="43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56"/>
    </row>
    <row r="116" spans="1:2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2">
        <v>2000500</v>
      </c>
      <c r="P116" s="42">
        <v>557454</v>
      </c>
      <c r="Q116" s="43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56"/>
    </row>
    <row r="117" spans="1:2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3">
        <v>150000</v>
      </c>
      <c r="P117" s="43">
        <v>60000</v>
      </c>
      <c r="Q117" s="43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56"/>
    </row>
    <row r="118" spans="1:2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3">
        <v>1000000</v>
      </c>
      <c r="P118" s="43">
        <v>231750</v>
      </c>
      <c r="Q118" s="43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56"/>
    </row>
    <row r="119" spans="1:2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3">
        <v>1474962</v>
      </c>
      <c r="P119" s="42">
        <v>0</v>
      </c>
      <c r="Q119" s="43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56"/>
    </row>
    <row r="120" spans="1:2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3">
        <v>2000000</v>
      </c>
      <c r="P120" s="43">
        <v>0</v>
      </c>
      <c r="Q120" s="43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56"/>
    </row>
    <row r="121" spans="1:2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3">
        <v>2000000</v>
      </c>
      <c r="P121" s="43">
        <v>0</v>
      </c>
      <c r="Q121" s="43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56"/>
    </row>
    <row r="122" spans="1:2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3">
        <v>2000000</v>
      </c>
      <c r="P122" s="42">
        <v>300000</v>
      </c>
      <c r="Q122" s="43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56"/>
    </row>
    <row r="123" spans="1:2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2">
        <v>1000000</v>
      </c>
      <c r="P123" s="42">
        <v>693500</v>
      </c>
      <c r="Q123" s="43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56"/>
    </row>
    <row r="124" spans="1:2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3">
        <v>0</v>
      </c>
      <c r="P124" s="43">
        <v>0</v>
      </c>
      <c r="Q124" s="43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56"/>
    </row>
    <row r="125" spans="1:2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2">
        <v>150000</v>
      </c>
      <c r="P125" s="42">
        <v>443127</v>
      </c>
      <c r="Q125" s="43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56"/>
    </row>
    <row r="126" spans="1:2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2">
        <v>1987902</v>
      </c>
      <c r="P126" s="42">
        <v>270000</v>
      </c>
      <c r="Q126" s="43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56"/>
    </row>
    <row r="127" spans="1:2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3">
        <v>1100000</v>
      </c>
      <c r="P127" s="42">
        <v>474962</v>
      </c>
      <c r="Q127" s="43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56"/>
    </row>
    <row r="128" spans="1:2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2">
        <v>1100000</v>
      </c>
      <c r="P128" s="42">
        <v>474962</v>
      </c>
      <c r="Q128" s="43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56"/>
    </row>
    <row r="129" spans="1:2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2">
        <v>0</v>
      </c>
      <c r="P129" s="42">
        <v>0</v>
      </c>
      <c r="Q129" s="43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56"/>
    </row>
    <row r="130" spans="1:2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2">
        <v>270000</v>
      </c>
      <c r="P130" s="42">
        <v>71435</v>
      </c>
      <c r="Q130" s="43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56"/>
    </row>
    <row r="131" spans="1:2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2">
        <v>360000</v>
      </c>
      <c r="P131" s="42">
        <v>92495</v>
      </c>
      <c r="Q131" s="43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56"/>
    </row>
    <row r="132" spans="1:21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2">
        <v>500000</v>
      </c>
      <c r="P132" s="42">
        <v>1963000</v>
      </c>
      <c r="Q132" s="43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56"/>
    </row>
    <row r="133" spans="1:21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2">
        <v>500000</v>
      </c>
      <c r="P133" s="42">
        <v>350000</v>
      </c>
      <c r="Q133" s="43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56"/>
    </row>
    <row r="134" spans="1:2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2">
        <v>2000000</v>
      </c>
      <c r="P134" s="42">
        <v>3000000</v>
      </c>
      <c r="Q134" s="43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56"/>
    </row>
    <row r="135" spans="1:2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3">
        <v>400000</v>
      </c>
      <c r="P135" s="43">
        <v>0</v>
      </c>
      <c r="Q135" s="43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56"/>
    </row>
    <row r="136" spans="1:2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3">
        <v>150000</v>
      </c>
      <c r="P136" s="43">
        <v>0</v>
      </c>
      <c r="Q136" s="43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56"/>
    </row>
    <row r="137" spans="1:2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3">
        <v>1000000</v>
      </c>
      <c r="P137" s="43">
        <v>0</v>
      </c>
      <c r="Q137" s="43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56"/>
    </row>
    <row r="138" spans="1:2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3">
        <v>1000000</v>
      </c>
      <c r="P138" s="43">
        <v>0</v>
      </c>
      <c r="Q138" s="43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56"/>
    </row>
    <row r="139" spans="1:2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3">
        <v>108000</v>
      </c>
      <c r="P139" s="43">
        <v>0</v>
      </c>
      <c r="Q139" s="43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56"/>
    </row>
    <row r="140" spans="1:2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3">
        <v>270000</v>
      </c>
      <c r="P140" s="43">
        <v>71435</v>
      </c>
      <c r="Q140" s="43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56"/>
    </row>
    <row r="141" spans="1:2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3">
        <v>3000000</v>
      </c>
      <c r="P141" s="43">
        <v>139050</v>
      </c>
      <c r="Q141" s="43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56"/>
    </row>
    <row r="142" spans="1:2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2">
        <v>350000</v>
      </c>
      <c r="P142" s="42">
        <v>197989</v>
      </c>
      <c r="Q142" s="43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56"/>
    </row>
    <row r="143" spans="1:2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3">
        <v>842820</v>
      </c>
      <c r="P143" s="43">
        <v>0</v>
      </c>
      <c r="Q143" s="43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56"/>
    </row>
    <row r="144" spans="1:2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2">
        <v>3986938</v>
      </c>
      <c r="P144" s="42">
        <v>400908</v>
      </c>
      <c r="Q144" s="43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56"/>
    </row>
    <row r="145" spans="1:2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2">
        <v>250000</v>
      </c>
      <c r="P145" s="42">
        <v>370000</v>
      </c>
      <c r="Q145" s="43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56"/>
    </row>
    <row r="146" spans="1:2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2">
        <v>1000000</v>
      </c>
      <c r="P146" s="42">
        <v>965500</v>
      </c>
      <c r="Q146" s="43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56"/>
    </row>
    <row r="147" spans="1:2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2">
        <v>2000000</v>
      </c>
      <c r="P147" s="42">
        <v>300000</v>
      </c>
      <c r="Q147" s="43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56"/>
    </row>
    <row r="148" spans="1:2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2">
        <v>0</v>
      </c>
      <c r="P148" s="42">
        <v>0</v>
      </c>
      <c r="Q148" s="43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56"/>
    </row>
    <row r="149" spans="1:21" x14ac:dyDescent="0.35">
      <c r="A149" s="12" t="s">
        <v>344</v>
      </c>
      <c r="B149" s="12" t="s">
        <v>44</v>
      </c>
      <c r="C149" s="12">
        <v>57664431</v>
      </c>
      <c r="D149" s="12" t="s">
        <v>345</v>
      </c>
      <c r="E149" s="12" t="s">
        <v>346</v>
      </c>
      <c r="F149" s="12" t="s">
        <v>47</v>
      </c>
      <c r="G149" s="12" t="s">
        <v>23</v>
      </c>
      <c r="H149" s="14">
        <v>46055</v>
      </c>
      <c r="I149" s="14">
        <v>46083</v>
      </c>
      <c r="J149" s="24">
        <f t="shared" si="12"/>
        <v>21</v>
      </c>
      <c r="K149" s="12" t="s">
        <v>303</v>
      </c>
      <c r="L149" s="12" t="s">
        <v>304</v>
      </c>
      <c r="M149" s="12" t="s">
        <v>24</v>
      </c>
      <c r="N149" s="12" t="s">
        <v>39</v>
      </c>
      <c r="O149" s="42">
        <v>2500000</v>
      </c>
      <c r="P149" s="42">
        <v>2325347</v>
      </c>
      <c r="Q149" s="42">
        <f>P149+O149</f>
        <v>4825347</v>
      </c>
      <c r="R149" s="14">
        <v>46084</v>
      </c>
      <c r="S149" s="24">
        <f t="shared" si="13"/>
        <v>22</v>
      </c>
      <c r="T149" s="12" t="s">
        <v>347</v>
      </c>
      <c r="U149" s="11" t="s">
        <v>443</v>
      </c>
    </row>
    <row r="150" spans="1:21" x14ac:dyDescent="0.35">
      <c r="A150" s="12" t="s">
        <v>348</v>
      </c>
      <c r="B150" s="12" t="s">
        <v>31</v>
      </c>
      <c r="C150" s="12">
        <v>57417024</v>
      </c>
      <c r="D150" s="12" t="s">
        <v>68</v>
      </c>
      <c r="E150" s="12">
        <v>2721710775</v>
      </c>
      <c r="F150" s="12" t="s">
        <v>33</v>
      </c>
      <c r="G150" s="12" t="s">
        <v>23</v>
      </c>
      <c r="H150" s="14">
        <v>46050</v>
      </c>
      <c r="I150" s="14">
        <v>46083</v>
      </c>
      <c r="J150" s="24">
        <f t="shared" si="12"/>
        <v>24</v>
      </c>
      <c r="K150" s="12" t="s">
        <v>303</v>
      </c>
      <c r="L150" s="12" t="s">
        <v>304</v>
      </c>
      <c r="M150" s="12" t="s">
        <v>24</v>
      </c>
      <c r="N150" s="12" t="s">
        <v>34</v>
      </c>
      <c r="O150" s="42">
        <v>150000</v>
      </c>
      <c r="P150" s="42">
        <v>40000</v>
      </c>
      <c r="Q150" s="42">
        <f t="shared" ref="Q150:Q189" si="14">P150+O150</f>
        <v>190000</v>
      </c>
      <c r="R150" s="14">
        <v>46084</v>
      </c>
      <c r="S150" s="24">
        <f t="shared" si="13"/>
        <v>25</v>
      </c>
      <c r="T150" s="12" t="s">
        <v>347</v>
      </c>
      <c r="U150" s="11" t="s">
        <v>443</v>
      </c>
    </row>
    <row r="151" spans="1:21" x14ac:dyDescent="0.35">
      <c r="A151" s="12" t="s">
        <v>324</v>
      </c>
      <c r="B151" s="12" t="s">
        <v>19</v>
      </c>
      <c r="C151" s="12">
        <v>57847231</v>
      </c>
      <c r="D151" s="12" t="s">
        <v>325</v>
      </c>
      <c r="E151" s="12" t="s">
        <v>349</v>
      </c>
      <c r="F151" s="12" t="s">
        <v>47</v>
      </c>
      <c r="G151" s="12" t="s">
        <v>23</v>
      </c>
      <c r="H151" s="14">
        <v>46058</v>
      </c>
      <c r="I151" s="14">
        <v>46078</v>
      </c>
      <c r="J151" s="24">
        <f t="shared" si="12"/>
        <v>15</v>
      </c>
      <c r="K151" s="12" t="s">
        <v>303</v>
      </c>
      <c r="L151" s="12" t="s">
        <v>304</v>
      </c>
      <c r="M151" s="12" t="s">
        <v>24</v>
      </c>
      <c r="N151" s="12" t="s">
        <v>61</v>
      </c>
      <c r="O151" s="42">
        <v>485500</v>
      </c>
      <c r="P151" s="42">
        <v>251105</v>
      </c>
      <c r="Q151" s="42">
        <f t="shared" si="14"/>
        <v>736605</v>
      </c>
      <c r="R151" s="14">
        <v>46085</v>
      </c>
      <c r="S151" s="24">
        <f t="shared" si="13"/>
        <v>20</v>
      </c>
      <c r="T151" s="12" t="s">
        <v>347</v>
      </c>
      <c r="U151" s="11" t="s">
        <v>443</v>
      </c>
    </row>
    <row r="152" spans="1:21" x14ac:dyDescent="0.35">
      <c r="A152" s="12" t="s">
        <v>350</v>
      </c>
      <c r="B152" s="12" t="s">
        <v>19</v>
      </c>
      <c r="C152" s="12">
        <v>24190516</v>
      </c>
      <c r="D152" s="12" t="s">
        <v>351</v>
      </c>
      <c r="E152" s="12" t="s">
        <v>352</v>
      </c>
      <c r="F152" s="12" t="s">
        <v>47</v>
      </c>
      <c r="G152" s="12" t="s">
        <v>23</v>
      </c>
      <c r="H152" s="14">
        <v>45261</v>
      </c>
      <c r="I152" s="14">
        <v>46079</v>
      </c>
      <c r="J152" s="24">
        <f t="shared" si="12"/>
        <v>585</v>
      </c>
      <c r="K152" s="12" t="s">
        <v>353</v>
      </c>
      <c r="L152" s="12" t="s">
        <v>327</v>
      </c>
      <c r="M152" s="12" t="s">
        <v>24</v>
      </c>
      <c r="N152" s="12" t="s">
        <v>61</v>
      </c>
      <c r="O152" s="42">
        <v>8018371</v>
      </c>
      <c r="P152" s="42">
        <v>800000</v>
      </c>
      <c r="Q152" s="42">
        <f t="shared" si="14"/>
        <v>8818371</v>
      </c>
      <c r="R152" s="14">
        <v>46085</v>
      </c>
      <c r="S152" s="24">
        <f t="shared" si="13"/>
        <v>589</v>
      </c>
      <c r="T152" s="12" t="s">
        <v>347</v>
      </c>
      <c r="U152" s="11" t="s">
        <v>443</v>
      </c>
    </row>
    <row r="153" spans="1:21" x14ac:dyDescent="0.35">
      <c r="A153" s="12" t="s">
        <v>354</v>
      </c>
      <c r="B153" s="12" t="s">
        <v>19</v>
      </c>
      <c r="C153" s="12">
        <v>58227435</v>
      </c>
      <c r="D153" s="12" t="s">
        <v>20</v>
      </c>
      <c r="E153" s="12" t="s">
        <v>355</v>
      </c>
      <c r="F153" s="12" t="s">
        <v>22</v>
      </c>
      <c r="G153" s="12" t="s">
        <v>23</v>
      </c>
      <c r="H153" s="14">
        <v>46069</v>
      </c>
      <c r="I153" s="14">
        <v>46083</v>
      </c>
      <c r="J153" s="24">
        <f t="shared" si="12"/>
        <v>11</v>
      </c>
      <c r="K153" s="12" t="s">
        <v>303</v>
      </c>
      <c r="L153" s="12" t="s">
        <v>304</v>
      </c>
      <c r="M153" s="12" t="s">
        <v>24</v>
      </c>
      <c r="N153" s="12" t="s">
        <v>54</v>
      </c>
      <c r="O153" s="42">
        <v>0</v>
      </c>
      <c r="P153" s="42">
        <v>430500</v>
      </c>
      <c r="Q153" s="42">
        <f t="shared" si="14"/>
        <v>430500</v>
      </c>
      <c r="R153" s="14">
        <v>46085</v>
      </c>
      <c r="S153" s="24">
        <f t="shared" si="13"/>
        <v>13</v>
      </c>
      <c r="T153" s="12" t="s">
        <v>347</v>
      </c>
      <c r="U153" s="11" t="s">
        <v>443</v>
      </c>
    </row>
    <row r="154" spans="1:21" x14ac:dyDescent="0.35">
      <c r="A154" s="12" t="s">
        <v>145</v>
      </c>
      <c r="B154" s="12" t="s">
        <v>44</v>
      </c>
      <c r="C154" s="12">
        <v>54990268</v>
      </c>
      <c r="D154" s="12" t="s">
        <v>356</v>
      </c>
      <c r="E154" s="12" t="s">
        <v>357</v>
      </c>
      <c r="F154" s="12" t="s">
        <v>47</v>
      </c>
      <c r="G154" s="12" t="s">
        <v>23</v>
      </c>
      <c r="H154" s="14">
        <v>46002</v>
      </c>
      <c r="I154" s="14">
        <v>46084</v>
      </c>
      <c r="J154" s="24">
        <f t="shared" si="12"/>
        <v>59</v>
      </c>
      <c r="K154" s="12" t="s">
        <v>303</v>
      </c>
      <c r="L154" s="12" t="s">
        <v>327</v>
      </c>
      <c r="M154" s="12" t="s">
        <v>358</v>
      </c>
      <c r="N154" s="12" t="s">
        <v>54</v>
      </c>
      <c r="O154" s="42">
        <v>0</v>
      </c>
      <c r="P154" s="42">
        <v>0</v>
      </c>
      <c r="Q154" s="42">
        <f t="shared" si="14"/>
        <v>0</v>
      </c>
      <c r="R154" s="14">
        <v>46085</v>
      </c>
      <c r="S154" s="24">
        <f t="shared" si="13"/>
        <v>60</v>
      </c>
      <c r="T154" s="12" t="s">
        <v>347</v>
      </c>
      <c r="U154" s="11" t="s">
        <v>444</v>
      </c>
    </row>
    <row r="155" spans="1:21" x14ac:dyDescent="0.35">
      <c r="A155" s="12" t="s">
        <v>359</v>
      </c>
      <c r="B155" s="12" t="s">
        <v>31</v>
      </c>
      <c r="C155" s="12">
        <v>57782724</v>
      </c>
      <c r="D155" s="12" t="s">
        <v>20</v>
      </c>
      <c r="E155" s="12">
        <v>2722229745</v>
      </c>
      <c r="F155" s="12" t="s">
        <v>33</v>
      </c>
      <c r="G155" s="12" t="s">
        <v>23</v>
      </c>
      <c r="H155" s="14">
        <v>46057</v>
      </c>
      <c r="I155" s="14">
        <v>46073</v>
      </c>
      <c r="J155" s="24">
        <f t="shared" si="12"/>
        <v>13</v>
      </c>
      <c r="K155" s="12" t="s">
        <v>303</v>
      </c>
      <c r="L155" s="12" t="s">
        <v>304</v>
      </c>
      <c r="M155" s="12" t="s">
        <v>24</v>
      </c>
      <c r="N155" s="12" t="s">
        <v>34</v>
      </c>
      <c r="O155" s="42">
        <v>150000</v>
      </c>
      <c r="P155" s="42">
        <v>60000</v>
      </c>
      <c r="Q155" s="42">
        <f t="shared" si="14"/>
        <v>210000</v>
      </c>
      <c r="R155" s="14">
        <v>46085</v>
      </c>
      <c r="S155" s="24">
        <f t="shared" si="13"/>
        <v>21</v>
      </c>
      <c r="T155" s="12" t="s">
        <v>347</v>
      </c>
      <c r="U155" s="11" t="s">
        <v>443</v>
      </c>
    </row>
    <row r="156" spans="1:21" x14ac:dyDescent="0.35">
      <c r="A156" s="12" t="s">
        <v>360</v>
      </c>
      <c r="B156" s="12" t="s">
        <v>31</v>
      </c>
      <c r="C156" s="12">
        <v>58585753</v>
      </c>
      <c r="D156" s="12" t="s">
        <v>20</v>
      </c>
      <c r="E156" s="12">
        <v>2722229950</v>
      </c>
      <c r="F156" s="12" t="s">
        <v>33</v>
      </c>
      <c r="G156" s="12" t="s">
        <v>23</v>
      </c>
      <c r="H156" s="14">
        <v>46072</v>
      </c>
      <c r="I156" s="14">
        <v>46084</v>
      </c>
      <c r="J156" s="24">
        <f t="shared" si="12"/>
        <v>9</v>
      </c>
      <c r="K156" s="12" t="s">
        <v>303</v>
      </c>
      <c r="L156" s="12" t="s">
        <v>304</v>
      </c>
      <c r="M156" s="12" t="s">
        <v>24</v>
      </c>
      <c r="N156" s="12" t="s">
        <v>34</v>
      </c>
      <c r="O156" s="42">
        <v>150000</v>
      </c>
      <c r="P156" s="42">
        <v>60000</v>
      </c>
      <c r="Q156" s="42">
        <f t="shared" si="14"/>
        <v>210000</v>
      </c>
      <c r="R156" s="14">
        <v>46085</v>
      </c>
      <c r="S156" s="24">
        <f t="shared" si="13"/>
        <v>10</v>
      </c>
      <c r="T156" s="12" t="s">
        <v>347</v>
      </c>
      <c r="U156" s="11" t="s">
        <v>443</v>
      </c>
    </row>
    <row r="157" spans="1:21" x14ac:dyDescent="0.35">
      <c r="A157" s="12" t="s">
        <v>43</v>
      </c>
      <c r="B157" s="12" t="s">
        <v>44</v>
      </c>
      <c r="C157" s="12">
        <v>55490966</v>
      </c>
      <c r="D157" s="12" t="s">
        <v>68</v>
      </c>
      <c r="E157" s="12" t="s">
        <v>361</v>
      </c>
      <c r="F157" s="12" t="s">
        <v>22</v>
      </c>
      <c r="G157" s="12" t="s">
        <v>38</v>
      </c>
      <c r="H157" s="14">
        <v>46010</v>
      </c>
      <c r="I157" s="14">
        <v>46084</v>
      </c>
      <c r="J157" s="24">
        <f t="shared" si="12"/>
        <v>53</v>
      </c>
      <c r="K157" s="25" t="s">
        <v>303</v>
      </c>
      <c r="L157" s="11" t="s">
        <v>327</v>
      </c>
      <c r="M157" s="11" t="s">
        <v>24</v>
      </c>
      <c r="N157" s="12" t="s">
        <v>199</v>
      </c>
      <c r="O157" s="19">
        <v>0</v>
      </c>
      <c r="P157" s="19">
        <v>0</v>
      </c>
      <c r="Q157" s="42">
        <f t="shared" si="14"/>
        <v>0</v>
      </c>
      <c r="R157" s="13">
        <v>46086</v>
      </c>
      <c r="S157" s="24">
        <f t="shared" si="13"/>
        <v>55</v>
      </c>
      <c r="T157" s="12" t="s">
        <v>347</v>
      </c>
      <c r="U157" s="11" t="s">
        <v>443</v>
      </c>
    </row>
    <row r="158" spans="1:21" x14ac:dyDescent="0.35">
      <c r="A158" s="12" t="s">
        <v>362</v>
      </c>
      <c r="B158" s="12" t="s">
        <v>44</v>
      </c>
      <c r="C158" s="12">
        <v>58853643</v>
      </c>
      <c r="D158" s="12" t="s">
        <v>363</v>
      </c>
      <c r="E158" s="12" t="s">
        <v>364</v>
      </c>
      <c r="F158" s="12" t="s">
        <v>22</v>
      </c>
      <c r="G158" s="12" t="s">
        <v>41</v>
      </c>
      <c r="H158" s="36">
        <v>46079</v>
      </c>
      <c r="I158" s="36">
        <v>46085</v>
      </c>
      <c r="J158" s="24">
        <f t="shared" si="12"/>
        <v>5</v>
      </c>
      <c r="K158" s="25" t="s">
        <v>303</v>
      </c>
      <c r="L158" s="11" t="s">
        <v>304</v>
      </c>
      <c r="M158" s="11" t="s">
        <v>358</v>
      </c>
      <c r="N158" s="12" t="s">
        <v>148</v>
      </c>
      <c r="O158" s="19">
        <v>0</v>
      </c>
      <c r="P158" s="19">
        <v>0</v>
      </c>
      <c r="Q158" s="42">
        <f t="shared" si="14"/>
        <v>0</v>
      </c>
      <c r="R158" s="13">
        <v>46086</v>
      </c>
      <c r="S158" s="24">
        <f t="shared" si="13"/>
        <v>6</v>
      </c>
      <c r="T158" s="12" t="s">
        <v>347</v>
      </c>
      <c r="U158" s="11" t="s">
        <v>444</v>
      </c>
    </row>
    <row r="159" spans="1:21" x14ac:dyDescent="0.35">
      <c r="A159" s="5" t="s">
        <v>43</v>
      </c>
      <c r="B159" s="5" t="s">
        <v>44</v>
      </c>
      <c r="C159" s="65">
        <v>54479742</v>
      </c>
      <c r="D159" s="11" t="s">
        <v>365</v>
      </c>
      <c r="E159" s="65" t="s">
        <v>366</v>
      </c>
      <c r="F159" s="11" t="s">
        <v>47</v>
      </c>
      <c r="G159" s="12" t="s">
        <v>23</v>
      </c>
      <c r="H159" s="66">
        <v>45993</v>
      </c>
      <c r="I159" s="66">
        <v>46084</v>
      </c>
      <c r="J159" s="24">
        <f t="shared" si="12"/>
        <v>66</v>
      </c>
      <c r="K159" s="25" t="s">
        <v>303</v>
      </c>
      <c r="L159" s="11" t="s">
        <v>304</v>
      </c>
      <c r="M159" s="11" t="s">
        <v>48</v>
      </c>
      <c r="N159" s="11" t="s">
        <v>49</v>
      </c>
      <c r="O159" s="5">
        <v>6064001</v>
      </c>
      <c r="P159" s="5">
        <v>0</v>
      </c>
      <c r="Q159" s="42">
        <f t="shared" si="14"/>
        <v>6064001</v>
      </c>
      <c r="R159" s="13">
        <v>46086</v>
      </c>
      <c r="S159" s="24">
        <f t="shared" si="13"/>
        <v>68</v>
      </c>
      <c r="T159" s="12" t="s">
        <v>347</v>
      </c>
      <c r="U159" s="11" t="s">
        <v>443</v>
      </c>
    </row>
    <row r="160" spans="1:21" x14ac:dyDescent="0.35">
      <c r="A160" s="5" t="s">
        <v>367</v>
      </c>
      <c r="B160" s="12" t="s">
        <v>87</v>
      </c>
      <c r="C160" s="5">
        <v>58932414</v>
      </c>
      <c r="D160" s="12" t="s">
        <v>368</v>
      </c>
      <c r="E160" s="5">
        <v>2722229955</v>
      </c>
      <c r="F160" s="12" t="s">
        <v>33</v>
      </c>
      <c r="G160" s="12" t="s">
        <v>23</v>
      </c>
      <c r="H160" s="14">
        <v>46078</v>
      </c>
      <c r="I160" s="14">
        <v>46086</v>
      </c>
      <c r="J160" s="24">
        <f t="shared" si="12"/>
        <v>7</v>
      </c>
      <c r="K160" s="25" t="s">
        <v>303</v>
      </c>
      <c r="L160" s="11" t="s">
        <v>304</v>
      </c>
      <c r="M160" s="11" t="s">
        <v>24</v>
      </c>
      <c r="N160" s="12" t="s">
        <v>84</v>
      </c>
      <c r="O160" s="19">
        <v>1000000</v>
      </c>
      <c r="P160" s="19">
        <v>495000</v>
      </c>
      <c r="Q160" s="42">
        <f t="shared" si="14"/>
        <v>1495000</v>
      </c>
      <c r="R160" s="13">
        <v>46086</v>
      </c>
      <c r="S160" s="24">
        <f t="shared" si="13"/>
        <v>7</v>
      </c>
      <c r="T160" s="12" t="s">
        <v>347</v>
      </c>
      <c r="U160" s="11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2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11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2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11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2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11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2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12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2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12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2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12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2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12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2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12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2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12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2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12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2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12" t="s">
        <v>444</v>
      </c>
    </row>
    <row r="172" spans="1:21" x14ac:dyDescent="0.35">
      <c r="A172" s="12" t="s">
        <v>374</v>
      </c>
      <c r="B172" s="12" t="s">
        <v>44</v>
      </c>
      <c r="C172" s="4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2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12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2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12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2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12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2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12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2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12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2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12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2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12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2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12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2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12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2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12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2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12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2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12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2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12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46">
        <v>150000</v>
      </c>
      <c r="P185" s="46">
        <v>60000</v>
      </c>
      <c r="Q185" s="42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12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46">
        <v>150000</v>
      </c>
      <c r="P186" s="46">
        <v>60000</v>
      </c>
      <c r="Q186" s="42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12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2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12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2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12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45" t="s">
        <v>303</v>
      </c>
      <c r="L189" s="34" t="s">
        <v>304</v>
      </c>
      <c r="M189" s="12" t="s">
        <v>425</v>
      </c>
      <c r="N189" s="12" t="s">
        <v>119</v>
      </c>
      <c r="O189" s="47">
        <v>0</v>
      </c>
      <c r="P189" s="47">
        <v>0</v>
      </c>
      <c r="Q189" s="42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12" t="s">
        <v>444</v>
      </c>
    </row>
    <row r="190" spans="1:21" x14ac:dyDescent="0.35">
      <c r="A190" s="12" t="s">
        <v>430</v>
      </c>
      <c r="B190" s="12" t="s">
        <v>44</v>
      </c>
      <c r="C190" s="12">
        <v>50732535</v>
      </c>
      <c r="D190" s="12" t="s">
        <v>20</v>
      </c>
      <c r="E190" s="12" t="s">
        <v>431</v>
      </c>
      <c r="F190" s="12" t="s">
        <v>22</v>
      </c>
      <c r="G190" s="12" t="s">
        <v>38</v>
      </c>
      <c r="H190" s="14">
        <v>45919</v>
      </c>
      <c r="I190" s="14">
        <v>46056</v>
      </c>
      <c r="J190" s="24">
        <f t="shared" si="12"/>
        <v>98</v>
      </c>
      <c r="K190" s="12" t="s">
        <v>303</v>
      </c>
      <c r="L190" s="12" t="s">
        <v>327</v>
      </c>
      <c r="M190" s="12" t="s">
        <v>358</v>
      </c>
      <c r="N190" s="12" t="s">
        <v>148</v>
      </c>
      <c r="O190" s="12">
        <v>0</v>
      </c>
      <c r="P190" s="12">
        <v>0</v>
      </c>
      <c r="Q190" s="19">
        <v>0</v>
      </c>
      <c r="R190" s="14">
        <v>46092</v>
      </c>
      <c r="S190" s="24">
        <f t="shared" si="13"/>
        <v>124</v>
      </c>
      <c r="T190" s="11" t="s">
        <v>377</v>
      </c>
      <c r="U190" s="12" t="s">
        <v>444</v>
      </c>
    </row>
    <row r="191" spans="1:21" x14ac:dyDescent="0.35">
      <c r="A191" s="12" t="s">
        <v>432</v>
      </c>
      <c r="B191" s="12" t="s">
        <v>19</v>
      </c>
      <c r="C191" s="12">
        <v>58205267</v>
      </c>
      <c r="D191" s="12" t="s">
        <v>433</v>
      </c>
      <c r="E191" s="12" t="s">
        <v>434</v>
      </c>
      <c r="F191" s="12" t="s">
        <v>22</v>
      </c>
      <c r="G191" s="12" t="s">
        <v>23</v>
      </c>
      <c r="H191" s="14">
        <v>46067</v>
      </c>
      <c r="I191" s="14">
        <v>46087</v>
      </c>
      <c r="J191" s="24">
        <f t="shared" si="12"/>
        <v>15</v>
      </c>
      <c r="K191" s="12" t="s">
        <v>303</v>
      </c>
      <c r="L191" s="12" t="s">
        <v>304</v>
      </c>
      <c r="M191" s="12" t="s">
        <v>24</v>
      </c>
      <c r="N191" s="12" t="s">
        <v>54</v>
      </c>
      <c r="O191" s="12">
        <v>0</v>
      </c>
      <c r="P191" s="12">
        <v>430500</v>
      </c>
      <c r="Q191" s="19">
        <v>430500</v>
      </c>
      <c r="R191" s="14">
        <v>46092</v>
      </c>
      <c r="S191" s="24">
        <f t="shared" si="13"/>
        <v>18</v>
      </c>
      <c r="T191" s="11" t="s">
        <v>377</v>
      </c>
      <c r="U191" s="12" t="s">
        <v>444</v>
      </c>
    </row>
    <row r="192" spans="1:21" x14ac:dyDescent="0.35">
      <c r="A192" s="12" t="s">
        <v>432</v>
      </c>
      <c r="B192" s="12" t="s">
        <v>19</v>
      </c>
      <c r="C192" s="12">
        <v>58173859</v>
      </c>
      <c r="D192" s="12" t="s">
        <v>435</v>
      </c>
      <c r="E192" s="12" t="s">
        <v>436</v>
      </c>
      <c r="F192" s="12" t="s">
        <v>22</v>
      </c>
      <c r="G192" s="12" t="s">
        <v>23</v>
      </c>
      <c r="H192" s="14">
        <v>46066</v>
      </c>
      <c r="I192" s="14">
        <v>46087</v>
      </c>
      <c r="J192" s="24">
        <f t="shared" si="12"/>
        <v>16</v>
      </c>
      <c r="K192" s="12" t="s">
        <v>303</v>
      </c>
      <c r="L192" s="12" t="s">
        <v>304</v>
      </c>
      <c r="M192" s="12" t="s">
        <v>24</v>
      </c>
      <c r="N192" s="12" t="s">
        <v>54</v>
      </c>
      <c r="O192" s="12">
        <v>0</v>
      </c>
      <c r="P192" s="12">
        <v>430500</v>
      </c>
      <c r="Q192" s="19">
        <v>430500</v>
      </c>
      <c r="R192" s="14">
        <v>46092</v>
      </c>
      <c r="S192" s="24">
        <f t="shared" si="13"/>
        <v>19</v>
      </c>
      <c r="T192" s="11" t="s">
        <v>377</v>
      </c>
      <c r="U192" s="12" t="s">
        <v>444</v>
      </c>
    </row>
    <row r="193" spans="1:21" x14ac:dyDescent="0.35">
      <c r="A193" s="12" t="s">
        <v>437</v>
      </c>
      <c r="B193" s="12" t="s">
        <v>31</v>
      </c>
      <c r="C193" s="12">
        <v>58650763</v>
      </c>
      <c r="D193" s="12" t="s">
        <v>20</v>
      </c>
      <c r="E193" s="12">
        <v>2722417296</v>
      </c>
      <c r="F193" s="12" t="s">
        <v>33</v>
      </c>
      <c r="G193" s="12" t="s">
        <v>23</v>
      </c>
      <c r="H193" s="14">
        <v>46073</v>
      </c>
      <c r="I193" s="14">
        <v>46092</v>
      </c>
      <c r="J193" s="24">
        <f t="shared" si="12"/>
        <v>14</v>
      </c>
      <c r="K193" s="12" t="s">
        <v>303</v>
      </c>
      <c r="L193" s="12" t="s">
        <v>304</v>
      </c>
      <c r="M193" s="12" t="s">
        <v>24</v>
      </c>
      <c r="N193" s="12" t="s">
        <v>34</v>
      </c>
      <c r="O193" s="12">
        <v>150000</v>
      </c>
      <c r="P193" s="12">
        <v>40000</v>
      </c>
      <c r="Q193" s="19">
        <v>190000</v>
      </c>
      <c r="R193" s="14">
        <v>46092</v>
      </c>
      <c r="S193" s="24">
        <f t="shared" si="13"/>
        <v>14</v>
      </c>
      <c r="T193" s="11" t="s">
        <v>377</v>
      </c>
      <c r="U193" s="12" t="s">
        <v>444</v>
      </c>
    </row>
    <row r="194" spans="1:21" x14ac:dyDescent="0.35">
      <c r="A194" s="12" t="s">
        <v>438</v>
      </c>
      <c r="B194" s="12" t="s">
        <v>31</v>
      </c>
      <c r="C194" s="12">
        <v>58276534</v>
      </c>
      <c r="D194" s="12" t="s">
        <v>56</v>
      </c>
      <c r="E194" s="12">
        <v>2723489370</v>
      </c>
      <c r="F194" s="12" t="s">
        <v>33</v>
      </c>
      <c r="G194" s="12" t="s">
        <v>23</v>
      </c>
      <c r="H194" s="14">
        <v>46066</v>
      </c>
      <c r="I194" s="14">
        <v>46092</v>
      </c>
      <c r="J194" s="24">
        <f t="shared" si="12"/>
        <v>19</v>
      </c>
      <c r="K194" s="12" t="s">
        <v>303</v>
      </c>
      <c r="L194" s="12" t="s">
        <v>304</v>
      </c>
      <c r="M194" s="12" t="s">
        <v>24</v>
      </c>
      <c r="N194" s="12" t="s">
        <v>34</v>
      </c>
      <c r="O194" s="12">
        <v>150000</v>
      </c>
      <c r="P194" s="12">
        <v>40000</v>
      </c>
      <c r="Q194" s="19">
        <v>190000</v>
      </c>
      <c r="R194" s="14">
        <v>46092</v>
      </c>
      <c r="S194" s="24">
        <f t="shared" si="13"/>
        <v>19</v>
      </c>
      <c r="T194" s="11" t="s">
        <v>377</v>
      </c>
      <c r="U194" s="12" t="s">
        <v>444</v>
      </c>
    </row>
    <row r="195" spans="1:21" x14ac:dyDescent="0.35">
      <c r="A195" s="12" t="s">
        <v>439</v>
      </c>
      <c r="B195" s="12" t="s">
        <v>44</v>
      </c>
      <c r="C195" s="12">
        <v>58853633</v>
      </c>
      <c r="D195" s="12" t="s">
        <v>440</v>
      </c>
      <c r="E195" s="12" t="s">
        <v>441</v>
      </c>
      <c r="F195" s="12" t="s">
        <v>47</v>
      </c>
      <c r="G195" s="12" t="s">
        <v>38</v>
      </c>
      <c r="H195" s="14">
        <v>46079</v>
      </c>
      <c r="I195" s="14">
        <v>46092</v>
      </c>
      <c r="J195" s="24">
        <f t="shared" si="12"/>
        <v>10</v>
      </c>
      <c r="K195" s="12" t="s">
        <v>303</v>
      </c>
      <c r="L195" s="12" t="s">
        <v>304</v>
      </c>
      <c r="M195" s="12" t="s">
        <v>24</v>
      </c>
      <c r="N195" s="12" t="s">
        <v>148</v>
      </c>
      <c r="O195" s="12">
        <v>0</v>
      </c>
      <c r="P195" s="12">
        <v>0</v>
      </c>
      <c r="Q195" s="19">
        <v>0</v>
      </c>
      <c r="R195" s="14">
        <v>46092</v>
      </c>
      <c r="S195" s="24">
        <f t="shared" si="13"/>
        <v>10</v>
      </c>
      <c r="T195" s="11" t="s">
        <v>377</v>
      </c>
      <c r="U195" s="12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12" t="s">
        <v>303</v>
      </c>
      <c r="L196" s="12" t="s">
        <v>327</v>
      </c>
      <c r="M196" s="12" t="s">
        <v>24</v>
      </c>
      <c r="N196" s="12" t="s">
        <v>39</v>
      </c>
      <c r="O196" s="12">
        <v>2932569</v>
      </c>
      <c r="P196" s="12">
        <v>709840</v>
      </c>
      <c r="Q196" s="19">
        <v>3642409</v>
      </c>
      <c r="R196" s="14">
        <v>46093</v>
      </c>
      <c r="S196" s="24">
        <f t="shared" si="13"/>
        <v>73</v>
      </c>
      <c r="T196" s="12" t="s">
        <v>377</v>
      </c>
      <c r="U196" s="11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12" t="s">
        <v>303</v>
      </c>
      <c r="L197" s="12" t="s">
        <v>304</v>
      </c>
      <c r="M197" s="12" t="s">
        <v>24</v>
      </c>
      <c r="N197" s="12" t="s">
        <v>54</v>
      </c>
      <c r="O197" s="12">
        <v>0</v>
      </c>
      <c r="P197" s="12">
        <v>430500</v>
      </c>
      <c r="Q197" s="19">
        <v>430500</v>
      </c>
      <c r="R197" s="14">
        <v>46093</v>
      </c>
      <c r="S197" s="24">
        <f t="shared" si="13"/>
        <v>20</v>
      </c>
      <c r="T197" s="12" t="s">
        <v>377</v>
      </c>
      <c r="U197" s="11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12" t="s">
        <v>303</v>
      </c>
      <c r="L198" s="12" t="s">
        <v>304</v>
      </c>
      <c r="M198" s="12" t="s">
        <v>24</v>
      </c>
      <c r="N198" s="12" t="s">
        <v>137</v>
      </c>
      <c r="O198" s="12">
        <v>2000000</v>
      </c>
      <c r="P198" s="12">
        <v>300000</v>
      </c>
      <c r="Q198" s="19">
        <v>2300000</v>
      </c>
      <c r="R198" s="14">
        <v>46093</v>
      </c>
      <c r="S198" s="24">
        <f t="shared" si="13"/>
        <v>43</v>
      </c>
      <c r="T198" s="12" t="s">
        <v>377</v>
      </c>
      <c r="U198" s="11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12" t="s">
        <v>303</v>
      </c>
      <c r="L199" s="12" t="s">
        <v>304</v>
      </c>
      <c r="M199" s="12" t="s">
        <v>24</v>
      </c>
      <c r="N199" s="12" t="s">
        <v>105</v>
      </c>
      <c r="O199" s="12">
        <v>0</v>
      </c>
      <c r="P199" s="12">
        <v>0</v>
      </c>
      <c r="Q199" s="19">
        <v>0</v>
      </c>
      <c r="R199" s="14">
        <v>46093</v>
      </c>
      <c r="S199" s="24">
        <f t="shared" si="13"/>
        <v>96</v>
      </c>
      <c r="T199" s="12" t="s">
        <v>377</v>
      </c>
      <c r="U199" s="11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12" t="s">
        <v>303</v>
      </c>
      <c r="L200" s="12" t="s">
        <v>304</v>
      </c>
      <c r="M200" s="12" t="s">
        <v>24</v>
      </c>
      <c r="N200" s="12" t="s">
        <v>105</v>
      </c>
      <c r="O200" s="12">
        <v>0</v>
      </c>
      <c r="P200" s="12">
        <v>0</v>
      </c>
      <c r="Q200" s="19">
        <v>0</v>
      </c>
      <c r="R200" s="14">
        <v>46093</v>
      </c>
      <c r="S200" s="24">
        <f t="shared" si="13"/>
        <v>96</v>
      </c>
      <c r="T200" s="12" t="s">
        <v>377</v>
      </c>
      <c r="U200" s="11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12" t="s">
        <v>303</v>
      </c>
      <c r="L201" s="12" t="s">
        <v>304</v>
      </c>
      <c r="M201" s="12" t="s">
        <v>48</v>
      </c>
      <c r="N201" s="12" t="s">
        <v>137</v>
      </c>
      <c r="O201" s="12">
        <v>2000000</v>
      </c>
      <c r="P201" s="12">
        <v>0</v>
      </c>
      <c r="Q201" s="19">
        <v>2000000</v>
      </c>
      <c r="R201" s="14">
        <v>46092</v>
      </c>
      <c r="S201" s="24">
        <f t="shared" si="13"/>
        <v>42</v>
      </c>
      <c r="T201" s="12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12" t="s">
        <v>303</v>
      </c>
      <c r="L202" s="12" t="s">
        <v>327</v>
      </c>
      <c r="M202" s="12" t="s">
        <v>24</v>
      </c>
      <c r="N202" s="12" t="s">
        <v>105</v>
      </c>
      <c r="O202" s="12">
        <v>0</v>
      </c>
      <c r="P202" s="12">
        <v>0</v>
      </c>
      <c r="Q202" s="19">
        <v>0</v>
      </c>
      <c r="R202" s="14">
        <v>46093</v>
      </c>
      <c r="S202" s="24">
        <f t="shared" si="13"/>
        <v>96</v>
      </c>
      <c r="T202" s="12" t="s">
        <v>377</v>
      </c>
      <c r="U202" s="11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12" t="s">
        <v>303</v>
      </c>
      <c r="L203" s="12" t="s">
        <v>304</v>
      </c>
      <c r="M203" s="12" t="s">
        <v>48</v>
      </c>
      <c r="N203" s="12" t="s">
        <v>49</v>
      </c>
      <c r="O203" s="12">
        <v>200000</v>
      </c>
      <c r="P203" s="12">
        <v>0</v>
      </c>
      <c r="Q203" s="19">
        <v>200000</v>
      </c>
      <c r="R203" s="14">
        <v>46094</v>
      </c>
      <c r="S203" s="24">
        <f t="shared" si="13"/>
        <v>23</v>
      </c>
      <c r="T203" s="12" t="s">
        <v>377</v>
      </c>
      <c r="U203" s="11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12" t="s">
        <v>303</v>
      </c>
      <c r="L204" s="12" t="s">
        <v>304</v>
      </c>
      <c r="M204" s="12" t="s">
        <v>48</v>
      </c>
      <c r="N204" s="12" t="s">
        <v>34</v>
      </c>
      <c r="O204" s="12">
        <v>144000</v>
      </c>
      <c r="P204" s="12">
        <v>0</v>
      </c>
      <c r="Q204" s="19">
        <v>144000</v>
      </c>
      <c r="R204" s="14">
        <v>46094</v>
      </c>
      <c r="S204" s="24">
        <f t="shared" si="13"/>
        <v>25</v>
      </c>
      <c r="T204" s="12" t="s">
        <v>377</v>
      </c>
      <c r="U204" s="11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64" si="15">+NETWORKDAYS(H205,I205)</f>
        <v>18</v>
      </c>
      <c r="K205" s="12" t="s">
        <v>303</v>
      </c>
      <c r="L205" s="12" t="s">
        <v>304</v>
      </c>
      <c r="M205" s="12" t="s">
        <v>24</v>
      </c>
      <c r="N205" s="12" t="s">
        <v>57</v>
      </c>
      <c r="O205" s="12">
        <v>360000</v>
      </c>
      <c r="P205" s="12">
        <v>92495</v>
      </c>
      <c r="Q205" s="19">
        <v>452495</v>
      </c>
      <c r="R205" s="14">
        <v>46094</v>
      </c>
      <c r="S205" s="24">
        <f t="shared" ref="S205:S264" si="16">NETWORKDAYS(H205,R205)</f>
        <v>18</v>
      </c>
      <c r="T205" s="12" t="s">
        <v>377</v>
      </c>
      <c r="U205" s="11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46">
        <v>0</v>
      </c>
      <c r="P206" s="46">
        <v>0</v>
      </c>
      <c r="Q206" s="4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46">
        <v>0</v>
      </c>
      <c r="P207" s="46">
        <v>0</v>
      </c>
      <c r="Q207" s="4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46">
        <v>0</v>
      </c>
      <c r="P208" s="46">
        <v>0</v>
      </c>
      <c r="Q208" s="4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46">
        <v>577056</v>
      </c>
      <c r="P209" s="46">
        <v>0</v>
      </c>
      <c r="Q209" s="4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462000</v>
      </c>
      <c r="Q210" s="46">
        <f t="shared" si="17"/>
        <v>2462000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4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46">
        <v>150000</v>
      </c>
      <c r="P212" s="46">
        <v>60000</v>
      </c>
      <c r="Q212" s="4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3" spans="1:21" x14ac:dyDescent="0.35">
      <c r="A213" s="12" t="s">
        <v>120</v>
      </c>
      <c r="B213" s="12" t="s">
        <v>44</v>
      </c>
      <c r="C213" s="12">
        <v>56460494</v>
      </c>
      <c r="D213" s="12" t="s">
        <v>20</v>
      </c>
      <c r="E213" s="12" t="s">
        <v>475</v>
      </c>
      <c r="F213" s="12" t="s">
        <v>22</v>
      </c>
      <c r="G213" s="12" t="s">
        <v>23</v>
      </c>
      <c r="H213" s="16">
        <v>46031</v>
      </c>
      <c r="I213" s="14">
        <v>46071</v>
      </c>
      <c r="J213" s="24">
        <f t="shared" si="15"/>
        <v>29</v>
      </c>
      <c r="K213" s="25" t="s">
        <v>303</v>
      </c>
      <c r="L213" s="11" t="s">
        <v>310</v>
      </c>
      <c r="M213" s="11" t="s">
        <v>24</v>
      </c>
      <c r="N213" s="12" t="s">
        <v>105</v>
      </c>
      <c r="O213" s="19">
        <v>500000</v>
      </c>
      <c r="P213" s="19">
        <v>593997</v>
      </c>
      <c r="Q213" s="46">
        <f>P213+O213</f>
        <v>1093997</v>
      </c>
      <c r="R213" s="13">
        <v>46099</v>
      </c>
      <c r="S213" s="24">
        <f t="shared" si="16"/>
        <v>49</v>
      </c>
      <c r="T213" s="11" t="s">
        <v>468</v>
      </c>
      <c r="U213" s="11" t="s">
        <v>443</v>
      </c>
    </row>
    <row r="214" spans="1:21" x14ac:dyDescent="0.35">
      <c r="A214" s="12" t="s">
        <v>476</v>
      </c>
      <c r="B214" s="12" t="s">
        <v>19</v>
      </c>
      <c r="C214" s="5">
        <v>57771694</v>
      </c>
      <c r="D214" s="12" t="s">
        <v>202</v>
      </c>
      <c r="E214" s="12" t="s">
        <v>477</v>
      </c>
      <c r="F214" s="12" t="s">
        <v>22</v>
      </c>
      <c r="G214" s="12" t="s">
        <v>23</v>
      </c>
      <c r="H214" s="14">
        <v>46057</v>
      </c>
      <c r="I214" s="14">
        <v>46099</v>
      </c>
      <c r="J214" s="24">
        <f t="shared" si="15"/>
        <v>31</v>
      </c>
      <c r="K214" s="25" t="s">
        <v>303</v>
      </c>
      <c r="L214" s="11" t="s">
        <v>327</v>
      </c>
      <c r="M214" s="11" t="s">
        <v>24</v>
      </c>
      <c r="N214" s="12" t="s">
        <v>174</v>
      </c>
      <c r="O214" s="19">
        <v>400000</v>
      </c>
      <c r="P214" s="19">
        <v>1034117</v>
      </c>
      <c r="Q214" s="46">
        <f>P214+O214</f>
        <v>1434117</v>
      </c>
      <c r="R214" s="13">
        <v>46099</v>
      </c>
      <c r="S214" s="24">
        <f t="shared" si="16"/>
        <v>31</v>
      </c>
      <c r="T214" s="11" t="s">
        <v>468</v>
      </c>
      <c r="U214" s="11" t="s">
        <v>443</v>
      </c>
    </row>
    <row r="215" spans="1:21" x14ac:dyDescent="0.35">
      <c r="A215" s="12" t="s">
        <v>469</v>
      </c>
      <c r="B215" s="12" t="s">
        <v>44</v>
      </c>
      <c r="C215" s="12">
        <v>58809268</v>
      </c>
      <c r="D215" s="12" t="s">
        <v>50</v>
      </c>
      <c r="E215" s="12" t="s">
        <v>478</v>
      </c>
      <c r="F215" s="12" t="s">
        <v>22</v>
      </c>
      <c r="G215" s="12" t="s">
        <v>23</v>
      </c>
      <c r="H215" s="14">
        <v>46076</v>
      </c>
      <c r="I215" s="14">
        <v>46099</v>
      </c>
      <c r="J215" s="24">
        <f t="shared" si="15"/>
        <v>18</v>
      </c>
      <c r="K215" s="25" t="s">
        <v>303</v>
      </c>
      <c r="L215" s="11" t="s">
        <v>304</v>
      </c>
      <c r="M215" s="11" t="s">
        <v>24</v>
      </c>
      <c r="N215" s="12" t="s">
        <v>49</v>
      </c>
      <c r="O215" s="19">
        <v>2000000</v>
      </c>
      <c r="P215" s="19">
        <v>462000</v>
      </c>
      <c r="Q215" s="46">
        <f>P215+O215</f>
        <v>2462000</v>
      </c>
      <c r="R215" s="13">
        <v>46100</v>
      </c>
      <c r="S215" s="24">
        <f t="shared" si="16"/>
        <v>19</v>
      </c>
      <c r="T215" s="11" t="s">
        <v>468</v>
      </c>
      <c r="U215" s="11" t="s">
        <v>443</v>
      </c>
    </row>
    <row r="216" spans="1:21" x14ac:dyDescent="0.35">
      <c r="A216" s="12" t="s">
        <v>58</v>
      </c>
      <c r="B216" s="12" t="s">
        <v>44</v>
      </c>
      <c r="C216" s="12">
        <v>56601140</v>
      </c>
      <c r="D216" s="12" t="s">
        <v>479</v>
      </c>
      <c r="E216" s="12" t="s">
        <v>480</v>
      </c>
      <c r="F216" s="12" t="s">
        <v>47</v>
      </c>
      <c r="G216" s="12" t="s">
        <v>23</v>
      </c>
      <c r="H216" s="14">
        <v>46035</v>
      </c>
      <c r="I216" s="14">
        <v>46098</v>
      </c>
      <c r="J216" s="24">
        <f t="shared" si="15"/>
        <v>46</v>
      </c>
      <c r="K216" s="25" t="s">
        <v>303</v>
      </c>
      <c r="L216" s="11" t="s">
        <v>327</v>
      </c>
      <c r="M216" s="11" t="s">
        <v>24</v>
      </c>
      <c r="N216" s="12" t="s">
        <v>49</v>
      </c>
      <c r="O216" s="19">
        <v>8033717</v>
      </c>
      <c r="P216" s="19">
        <v>400000</v>
      </c>
      <c r="Q216" s="46">
        <f>P216+O216</f>
        <v>8433717</v>
      </c>
      <c r="R216" s="13">
        <v>46100</v>
      </c>
      <c r="S216" s="24">
        <f t="shared" si="16"/>
        <v>48</v>
      </c>
      <c r="T216" s="11" t="s">
        <v>468</v>
      </c>
      <c r="U216" s="11" t="s">
        <v>443</v>
      </c>
    </row>
    <row r="217" spans="1:21" x14ac:dyDescent="0.35">
      <c r="A217" s="12" t="s">
        <v>481</v>
      </c>
      <c r="B217" s="12" t="s">
        <v>19</v>
      </c>
      <c r="C217" s="12">
        <v>59027644</v>
      </c>
      <c r="D217" s="12" t="s">
        <v>56</v>
      </c>
      <c r="E217" s="12" t="s">
        <v>482</v>
      </c>
      <c r="F217" s="12" t="s">
        <v>22</v>
      </c>
      <c r="G217" s="12" t="s">
        <v>23</v>
      </c>
      <c r="H217" s="14">
        <v>46079</v>
      </c>
      <c r="I217" s="14">
        <v>46091</v>
      </c>
      <c r="J217" s="24">
        <f t="shared" si="15"/>
        <v>9</v>
      </c>
      <c r="K217" s="25" t="s">
        <v>303</v>
      </c>
      <c r="L217" s="11" t="s">
        <v>304</v>
      </c>
      <c r="M217" s="11" t="s">
        <v>24</v>
      </c>
      <c r="N217" s="12" t="s">
        <v>29</v>
      </c>
      <c r="O217" s="19">
        <v>1500000</v>
      </c>
      <c r="P217" s="19">
        <v>700000</v>
      </c>
      <c r="Q217" s="46">
        <f>P217+O217</f>
        <v>2200000</v>
      </c>
      <c r="R217" s="13">
        <v>46100</v>
      </c>
      <c r="S217" s="24">
        <f t="shared" si="16"/>
        <v>16</v>
      </c>
      <c r="T217" s="11" t="s">
        <v>468</v>
      </c>
      <c r="U217" s="11" t="s">
        <v>443</v>
      </c>
    </row>
    <row r="218" spans="1:21" s="58" customFormat="1" ht="12" x14ac:dyDescent="0.3">
      <c r="A218" s="5" t="s">
        <v>483</v>
      </c>
      <c r="B218" s="11" t="s">
        <v>31</v>
      </c>
      <c r="C218" s="5">
        <v>59312351</v>
      </c>
      <c r="D218" s="11" t="s">
        <v>68</v>
      </c>
      <c r="E218" s="5">
        <v>2721252525</v>
      </c>
      <c r="F218" s="11" t="s">
        <v>33</v>
      </c>
      <c r="G218" s="11" t="s">
        <v>23</v>
      </c>
      <c r="H218" s="13">
        <v>46084</v>
      </c>
      <c r="I218" s="13">
        <v>46099</v>
      </c>
      <c r="J218" s="24">
        <f t="shared" si="15"/>
        <v>12</v>
      </c>
      <c r="K218" s="25" t="s">
        <v>303</v>
      </c>
      <c r="L218" s="11" t="s">
        <v>304</v>
      </c>
      <c r="M218" s="11" t="s">
        <v>24</v>
      </c>
      <c r="N218" s="11" t="s">
        <v>34</v>
      </c>
      <c r="O218" s="46">
        <v>150000</v>
      </c>
      <c r="P218" s="46">
        <v>40000</v>
      </c>
      <c r="Q218" s="46">
        <f t="shared" ref="Q218:Q224" si="18">P218+O218</f>
        <v>190000</v>
      </c>
      <c r="R218" s="13">
        <v>46100</v>
      </c>
      <c r="S218" s="24">
        <f t="shared" si="16"/>
        <v>13</v>
      </c>
      <c r="T218" s="11" t="s">
        <v>468</v>
      </c>
      <c r="U218" s="11" t="s">
        <v>443</v>
      </c>
    </row>
    <row r="219" spans="1:21" s="58" customFormat="1" ht="12" x14ac:dyDescent="0.3">
      <c r="A219" s="5" t="s">
        <v>484</v>
      </c>
      <c r="B219" s="11" t="s">
        <v>31</v>
      </c>
      <c r="C219" s="5">
        <v>60063122</v>
      </c>
      <c r="D219" s="11" t="s">
        <v>460</v>
      </c>
      <c r="E219" s="5">
        <v>2721711970</v>
      </c>
      <c r="F219" s="11" t="s">
        <v>33</v>
      </c>
      <c r="G219" s="11" t="s">
        <v>23</v>
      </c>
      <c r="H219" s="14">
        <v>46098</v>
      </c>
      <c r="I219" s="13">
        <v>46100</v>
      </c>
      <c r="J219" s="24">
        <f t="shared" si="15"/>
        <v>3</v>
      </c>
      <c r="K219" s="25" t="s">
        <v>303</v>
      </c>
      <c r="L219" s="11" t="s">
        <v>304</v>
      </c>
      <c r="M219" s="11" t="s">
        <v>24</v>
      </c>
      <c r="N219" s="11" t="s">
        <v>34</v>
      </c>
      <c r="O219" s="46">
        <v>150000</v>
      </c>
      <c r="P219" s="46">
        <v>40000</v>
      </c>
      <c r="Q219" s="46">
        <f t="shared" si="18"/>
        <v>190000</v>
      </c>
      <c r="R219" s="13">
        <v>46100</v>
      </c>
      <c r="S219" s="24">
        <f t="shared" si="16"/>
        <v>3</v>
      </c>
      <c r="T219" s="11" t="s">
        <v>468</v>
      </c>
      <c r="U219" s="11" t="s">
        <v>443</v>
      </c>
    </row>
    <row r="220" spans="1:21" s="58" customFormat="1" ht="12" x14ac:dyDescent="0.3">
      <c r="A220" s="5" t="s">
        <v>271</v>
      </c>
      <c r="B220" s="11" t="s">
        <v>31</v>
      </c>
      <c r="C220" s="5">
        <v>52805083</v>
      </c>
      <c r="D220" s="11" t="s">
        <v>20</v>
      </c>
      <c r="E220" s="5">
        <v>2722229570</v>
      </c>
      <c r="F220" s="11" t="s">
        <v>33</v>
      </c>
      <c r="G220" s="11" t="s">
        <v>23</v>
      </c>
      <c r="H220" s="14">
        <v>45960</v>
      </c>
      <c r="I220" s="32">
        <v>46037</v>
      </c>
      <c r="J220" s="24">
        <f t="shared" si="15"/>
        <v>56</v>
      </c>
      <c r="K220" s="25" t="s">
        <v>303</v>
      </c>
      <c r="L220" s="11" t="s">
        <v>310</v>
      </c>
      <c r="M220" s="11" t="s">
        <v>24</v>
      </c>
      <c r="N220" s="11" t="s">
        <v>34</v>
      </c>
      <c r="O220" s="46">
        <v>150000</v>
      </c>
      <c r="P220" s="46">
        <v>40000</v>
      </c>
      <c r="Q220" s="46">
        <f t="shared" si="18"/>
        <v>190000</v>
      </c>
      <c r="R220" s="13">
        <v>46100</v>
      </c>
      <c r="S220" s="24">
        <f t="shared" si="16"/>
        <v>101</v>
      </c>
      <c r="T220" s="11" t="s">
        <v>468</v>
      </c>
      <c r="U220" s="11" t="s">
        <v>443</v>
      </c>
    </row>
    <row r="221" spans="1:21" s="58" customFormat="1" ht="12" x14ac:dyDescent="0.3">
      <c r="A221" s="12" t="s">
        <v>485</v>
      </c>
      <c r="B221" s="12" t="s">
        <v>44</v>
      </c>
      <c r="C221" s="12">
        <v>58897521</v>
      </c>
      <c r="D221" s="12" t="s">
        <v>175</v>
      </c>
      <c r="E221" s="12" t="s">
        <v>486</v>
      </c>
      <c r="F221" s="12" t="s">
        <v>22</v>
      </c>
      <c r="G221" s="12" t="s">
        <v>23</v>
      </c>
      <c r="H221" s="14">
        <v>46079</v>
      </c>
      <c r="I221" s="14">
        <v>46099</v>
      </c>
      <c r="J221" s="24">
        <f t="shared" si="15"/>
        <v>15</v>
      </c>
      <c r="K221" s="25" t="s">
        <v>303</v>
      </c>
      <c r="L221" s="11" t="s">
        <v>304</v>
      </c>
      <c r="M221" s="11" t="s">
        <v>24</v>
      </c>
      <c r="N221" s="12" t="s">
        <v>84</v>
      </c>
      <c r="O221" s="19">
        <v>2400000</v>
      </c>
      <c r="P221" s="19">
        <v>275790</v>
      </c>
      <c r="Q221" s="46">
        <f t="shared" si="18"/>
        <v>2675790</v>
      </c>
      <c r="R221" s="13">
        <v>46105</v>
      </c>
      <c r="S221" s="24">
        <f t="shared" si="16"/>
        <v>19</v>
      </c>
      <c r="T221" s="11" t="s">
        <v>487</v>
      </c>
      <c r="U221" s="11" t="s">
        <v>443</v>
      </c>
    </row>
    <row r="222" spans="1:21" s="58" customFormat="1" ht="12" x14ac:dyDescent="0.3">
      <c r="A222" s="12" t="s">
        <v>172</v>
      </c>
      <c r="B222" s="12" t="s">
        <v>44</v>
      </c>
      <c r="C222" s="12">
        <v>58824101</v>
      </c>
      <c r="D222" s="12" t="s">
        <v>325</v>
      </c>
      <c r="E222" s="12" t="s">
        <v>488</v>
      </c>
      <c r="F222" s="12" t="s">
        <v>47</v>
      </c>
      <c r="G222" s="12" t="s">
        <v>41</v>
      </c>
      <c r="H222" s="14">
        <v>46076</v>
      </c>
      <c r="I222" s="14">
        <v>46098</v>
      </c>
      <c r="J222" s="24">
        <f t="shared" si="15"/>
        <v>17</v>
      </c>
      <c r="K222" s="25" t="s">
        <v>303</v>
      </c>
      <c r="L222" s="11" t="s">
        <v>304</v>
      </c>
      <c r="M222" s="11" t="s">
        <v>24</v>
      </c>
      <c r="N222" s="12" t="s">
        <v>197</v>
      </c>
      <c r="O222" s="19">
        <v>543324</v>
      </c>
      <c r="P222" s="19">
        <v>115000</v>
      </c>
      <c r="Q222" s="46">
        <f t="shared" si="18"/>
        <v>658324</v>
      </c>
      <c r="R222" s="13">
        <v>46105</v>
      </c>
      <c r="S222" s="24">
        <f t="shared" si="16"/>
        <v>22</v>
      </c>
      <c r="T222" s="11" t="s">
        <v>487</v>
      </c>
      <c r="U222" s="11" t="s">
        <v>444</v>
      </c>
    </row>
    <row r="223" spans="1:21" s="58" customFormat="1" ht="12" x14ac:dyDescent="0.3">
      <c r="A223" s="12" t="s">
        <v>489</v>
      </c>
      <c r="B223" s="12" t="s">
        <v>19</v>
      </c>
      <c r="C223" s="12">
        <v>59248227</v>
      </c>
      <c r="D223" s="12" t="s">
        <v>490</v>
      </c>
      <c r="E223" s="12" t="s">
        <v>491</v>
      </c>
      <c r="F223" s="12" t="s">
        <v>22</v>
      </c>
      <c r="G223" s="12" t="s">
        <v>23</v>
      </c>
      <c r="H223" s="14">
        <v>46083</v>
      </c>
      <c r="I223" s="14">
        <v>46104</v>
      </c>
      <c r="J223" s="24">
        <f t="shared" si="15"/>
        <v>16</v>
      </c>
      <c r="K223" s="25" t="s">
        <v>303</v>
      </c>
      <c r="L223" s="11" t="s">
        <v>304</v>
      </c>
      <c r="M223" s="11" t="s">
        <v>24</v>
      </c>
      <c r="N223" s="12" t="s">
        <v>105</v>
      </c>
      <c r="O223" s="19">
        <v>800000</v>
      </c>
      <c r="P223" s="19">
        <v>569818</v>
      </c>
      <c r="Q223" s="46">
        <f t="shared" si="18"/>
        <v>1369818</v>
      </c>
      <c r="R223" s="13">
        <v>46105</v>
      </c>
      <c r="S223" s="24">
        <f t="shared" si="16"/>
        <v>17</v>
      </c>
      <c r="T223" s="11" t="s">
        <v>487</v>
      </c>
      <c r="U223" s="11" t="s">
        <v>443</v>
      </c>
    </row>
    <row r="224" spans="1:21" s="58" customFormat="1" ht="12" x14ac:dyDescent="0.3">
      <c r="A224" s="12" t="s">
        <v>492</v>
      </c>
      <c r="B224" s="11" t="s">
        <v>44</v>
      </c>
      <c r="C224" s="12">
        <v>56800015</v>
      </c>
      <c r="D224" s="11" t="s">
        <v>493</v>
      </c>
      <c r="E224" s="12" t="s">
        <v>494</v>
      </c>
      <c r="F224" s="11" t="s">
        <v>22</v>
      </c>
      <c r="G224" s="11" t="s">
        <v>23</v>
      </c>
      <c r="H224" s="14">
        <v>46038</v>
      </c>
      <c r="I224" s="13">
        <v>46099</v>
      </c>
      <c r="J224" s="24">
        <f t="shared" si="15"/>
        <v>44</v>
      </c>
      <c r="K224" s="25" t="s">
        <v>303</v>
      </c>
      <c r="L224" s="11" t="s">
        <v>327</v>
      </c>
      <c r="M224" s="11" t="s">
        <v>24</v>
      </c>
      <c r="N224" s="11" t="s">
        <v>29</v>
      </c>
      <c r="O224" s="46">
        <v>0</v>
      </c>
      <c r="P224" s="46">
        <v>0</v>
      </c>
      <c r="Q224" s="46">
        <f t="shared" si="18"/>
        <v>0</v>
      </c>
      <c r="R224" s="13">
        <v>46106</v>
      </c>
      <c r="S224" s="24">
        <f t="shared" si="16"/>
        <v>49</v>
      </c>
      <c r="T224" s="11" t="s">
        <v>487</v>
      </c>
      <c r="U224" s="11" t="s">
        <v>444</v>
      </c>
    </row>
    <row r="225" spans="1:21" s="58" customFormat="1" ht="12" x14ac:dyDescent="0.3">
      <c r="A225" s="5" t="s">
        <v>495</v>
      </c>
      <c r="B225" s="11" t="s">
        <v>44</v>
      </c>
      <c r="C225" s="5">
        <v>59889656</v>
      </c>
      <c r="D225" s="11" t="s">
        <v>496</v>
      </c>
      <c r="E225" s="5" t="s">
        <v>497</v>
      </c>
      <c r="F225" s="11" t="s">
        <v>22</v>
      </c>
      <c r="G225" s="11" t="s">
        <v>23</v>
      </c>
      <c r="H225" s="13">
        <v>46094</v>
      </c>
      <c r="I225" s="13">
        <v>46107</v>
      </c>
      <c r="J225" s="24">
        <f t="shared" si="15"/>
        <v>10</v>
      </c>
      <c r="K225" s="25" t="s">
        <v>303</v>
      </c>
      <c r="L225" s="11" t="s">
        <v>304</v>
      </c>
      <c r="M225" s="11" t="s">
        <v>24</v>
      </c>
      <c r="N225" s="11" t="s">
        <v>498</v>
      </c>
      <c r="O225" s="46">
        <v>600000</v>
      </c>
      <c r="P225" s="46">
        <v>60000</v>
      </c>
      <c r="Q225" s="46">
        <f t="shared" ref="Q225:Q232" si="19">P225+O225</f>
        <v>660000</v>
      </c>
      <c r="R225" s="13">
        <v>46108</v>
      </c>
      <c r="S225" s="24">
        <f t="shared" si="16"/>
        <v>11</v>
      </c>
      <c r="T225" s="11" t="s">
        <v>487</v>
      </c>
      <c r="U225" s="11" t="s">
        <v>443</v>
      </c>
    </row>
    <row r="226" spans="1:21" s="58" customFormat="1" ht="12" x14ac:dyDescent="0.3">
      <c r="A226" s="5" t="s">
        <v>499</v>
      </c>
      <c r="B226" s="5" t="s">
        <v>44</v>
      </c>
      <c r="C226" s="5">
        <v>60025705</v>
      </c>
      <c r="D226" s="11" t="s">
        <v>500</v>
      </c>
      <c r="E226" s="5" t="s">
        <v>501</v>
      </c>
      <c r="F226" s="11" t="s">
        <v>47</v>
      </c>
      <c r="G226" s="11" t="s">
        <v>23</v>
      </c>
      <c r="H226" s="13">
        <v>46098</v>
      </c>
      <c r="I226" s="13">
        <v>46107</v>
      </c>
      <c r="J226" s="24">
        <f t="shared" si="15"/>
        <v>8</v>
      </c>
      <c r="K226" s="25" t="s">
        <v>303</v>
      </c>
      <c r="L226" s="11" t="s">
        <v>304</v>
      </c>
      <c r="M226" s="11" t="s">
        <v>24</v>
      </c>
      <c r="N226" s="11" t="s">
        <v>54</v>
      </c>
      <c r="O226" s="46">
        <v>0</v>
      </c>
      <c r="P226" s="46">
        <v>0</v>
      </c>
      <c r="Q226" s="46">
        <f t="shared" si="19"/>
        <v>0</v>
      </c>
      <c r="R226" s="13">
        <v>46108</v>
      </c>
      <c r="S226" s="24">
        <f t="shared" si="16"/>
        <v>9</v>
      </c>
      <c r="T226" s="11" t="s">
        <v>487</v>
      </c>
      <c r="U226" s="11" t="s">
        <v>443</v>
      </c>
    </row>
    <row r="227" spans="1:21" s="58" customFormat="1" ht="12" x14ac:dyDescent="0.3">
      <c r="A227" s="5" t="s">
        <v>502</v>
      </c>
      <c r="B227" s="5" t="s">
        <v>31</v>
      </c>
      <c r="C227" s="5">
        <v>59834036</v>
      </c>
      <c r="D227" s="11" t="s">
        <v>20</v>
      </c>
      <c r="E227" s="5">
        <v>2722516010</v>
      </c>
      <c r="F227" s="11" t="s">
        <v>33</v>
      </c>
      <c r="G227" s="11" t="s">
        <v>23</v>
      </c>
      <c r="H227" s="13">
        <v>46093</v>
      </c>
      <c r="I227" s="13">
        <v>46106</v>
      </c>
      <c r="J227" s="24">
        <f t="shared" si="15"/>
        <v>10</v>
      </c>
      <c r="K227" s="25" t="s">
        <v>303</v>
      </c>
      <c r="L227" s="11" t="s">
        <v>304</v>
      </c>
      <c r="M227" s="11" t="s">
        <v>24</v>
      </c>
      <c r="N227" s="11" t="s">
        <v>34</v>
      </c>
      <c r="O227" s="59">
        <v>570000</v>
      </c>
      <c r="P227" s="59">
        <v>141635</v>
      </c>
      <c r="Q227" s="46">
        <f t="shared" si="19"/>
        <v>711635</v>
      </c>
      <c r="R227" s="13">
        <v>46108</v>
      </c>
      <c r="S227" s="24">
        <f t="shared" si="16"/>
        <v>12</v>
      </c>
      <c r="T227" s="11" t="s">
        <v>487</v>
      </c>
      <c r="U227" s="11" t="s">
        <v>443</v>
      </c>
    </row>
    <row r="228" spans="1:21" s="58" customFormat="1" ht="12" x14ac:dyDescent="0.3">
      <c r="A228" s="5" t="s">
        <v>503</v>
      </c>
      <c r="B228" s="5" t="s">
        <v>87</v>
      </c>
      <c r="C228" s="5">
        <v>58407509</v>
      </c>
      <c r="D228" s="11" t="s">
        <v>504</v>
      </c>
      <c r="E228" s="5">
        <v>2720238050</v>
      </c>
      <c r="F228" s="11" t="s">
        <v>33</v>
      </c>
      <c r="G228" s="11" t="s">
        <v>23</v>
      </c>
      <c r="H228" s="13">
        <v>46069</v>
      </c>
      <c r="I228" s="13">
        <v>46107</v>
      </c>
      <c r="J228" s="24">
        <f t="shared" si="15"/>
        <v>29</v>
      </c>
      <c r="K228" s="25" t="s">
        <v>303</v>
      </c>
      <c r="L228" s="11" t="s">
        <v>304</v>
      </c>
      <c r="M228" s="11" t="s">
        <v>24</v>
      </c>
      <c r="N228" s="11" t="s">
        <v>84</v>
      </c>
      <c r="O228" s="59">
        <v>1000000</v>
      </c>
      <c r="P228" s="59">
        <v>231750</v>
      </c>
      <c r="Q228" s="46">
        <f t="shared" si="19"/>
        <v>1231750</v>
      </c>
      <c r="R228" s="13">
        <v>46108</v>
      </c>
      <c r="S228" s="24">
        <f t="shared" si="16"/>
        <v>30</v>
      </c>
      <c r="T228" s="11" t="s">
        <v>487</v>
      </c>
      <c r="U228" s="11" t="s">
        <v>443</v>
      </c>
    </row>
    <row r="229" spans="1:21" s="58" customFormat="1" ht="12" x14ac:dyDescent="0.3">
      <c r="A229" s="9" t="s">
        <v>505</v>
      </c>
      <c r="B229" s="9" t="s">
        <v>87</v>
      </c>
      <c r="C229" s="9">
        <v>54992969</v>
      </c>
      <c r="D229" s="11" t="s">
        <v>117</v>
      </c>
      <c r="E229" s="9">
        <v>2723489320</v>
      </c>
      <c r="F229" s="11" t="s">
        <v>33</v>
      </c>
      <c r="G229" s="11" t="s">
        <v>23</v>
      </c>
      <c r="H229" s="13">
        <v>46002</v>
      </c>
      <c r="I229" s="13">
        <v>46035</v>
      </c>
      <c r="J229" s="24">
        <f t="shared" si="15"/>
        <v>24</v>
      </c>
      <c r="K229" s="25" t="s">
        <v>303</v>
      </c>
      <c r="L229" s="11" t="s">
        <v>327</v>
      </c>
      <c r="M229" s="11" t="s">
        <v>24</v>
      </c>
      <c r="N229" s="11" t="s">
        <v>84</v>
      </c>
      <c r="O229" s="60">
        <v>1000000</v>
      </c>
      <c r="P229" s="60">
        <v>231750</v>
      </c>
      <c r="Q229" s="46">
        <f t="shared" si="19"/>
        <v>1231750</v>
      </c>
      <c r="R229" s="13">
        <v>46108</v>
      </c>
      <c r="S229" s="24">
        <f t="shared" si="16"/>
        <v>77</v>
      </c>
      <c r="T229" s="11" t="s">
        <v>487</v>
      </c>
      <c r="U229" s="11" t="s">
        <v>443</v>
      </c>
    </row>
    <row r="230" spans="1:21" s="58" customFormat="1" ht="12" x14ac:dyDescent="0.3">
      <c r="A230" s="9" t="s">
        <v>506</v>
      </c>
      <c r="B230" s="9" t="s">
        <v>31</v>
      </c>
      <c r="C230" s="9">
        <v>59888143</v>
      </c>
      <c r="D230" s="11" t="s">
        <v>36</v>
      </c>
      <c r="E230" s="9">
        <v>2720219745</v>
      </c>
      <c r="F230" s="11" t="s">
        <v>33</v>
      </c>
      <c r="G230" s="11" t="s">
        <v>23</v>
      </c>
      <c r="H230" s="13">
        <v>46094</v>
      </c>
      <c r="I230" s="13">
        <v>46108</v>
      </c>
      <c r="J230" s="24">
        <f t="shared" si="15"/>
        <v>11</v>
      </c>
      <c r="K230" s="25" t="s">
        <v>303</v>
      </c>
      <c r="L230" s="11" t="s">
        <v>304</v>
      </c>
      <c r="M230" s="11" t="s">
        <v>24</v>
      </c>
      <c r="N230" s="11" t="s">
        <v>34</v>
      </c>
      <c r="O230" s="60">
        <v>150000</v>
      </c>
      <c r="P230" s="60">
        <v>40000</v>
      </c>
      <c r="Q230" s="46">
        <f t="shared" si="19"/>
        <v>190000</v>
      </c>
      <c r="R230" s="13">
        <v>46108</v>
      </c>
      <c r="S230" s="24">
        <f t="shared" si="16"/>
        <v>11</v>
      </c>
      <c r="T230" s="11" t="s">
        <v>487</v>
      </c>
      <c r="U230" s="11" t="s">
        <v>443</v>
      </c>
    </row>
    <row r="231" spans="1:21" s="58" customFormat="1" ht="12" x14ac:dyDescent="0.3">
      <c r="A231" s="9" t="s">
        <v>507</v>
      </c>
      <c r="B231" s="9" t="s">
        <v>31</v>
      </c>
      <c r="C231" s="9">
        <v>60084243</v>
      </c>
      <c r="D231" s="11" t="s">
        <v>20</v>
      </c>
      <c r="E231" s="9">
        <v>2722487090</v>
      </c>
      <c r="F231" s="11" t="s">
        <v>33</v>
      </c>
      <c r="G231" s="11" t="s">
        <v>23</v>
      </c>
      <c r="H231" s="13">
        <v>46098</v>
      </c>
      <c r="I231" s="13">
        <v>46108</v>
      </c>
      <c r="J231" s="24">
        <f t="shared" si="15"/>
        <v>9</v>
      </c>
      <c r="K231" s="25" t="s">
        <v>303</v>
      </c>
      <c r="L231" s="11" t="s">
        <v>304</v>
      </c>
      <c r="M231" s="11" t="s">
        <v>24</v>
      </c>
      <c r="N231" s="11" t="s">
        <v>34</v>
      </c>
      <c r="O231" s="60">
        <v>570000</v>
      </c>
      <c r="P231" s="60">
        <v>221635</v>
      </c>
      <c r="Q231" s="46">
        <f t="shared" si="19"/>
        <v>791635</v>
      </c>
      <c r="R231" s="13">
        <v>46108</v>
      </c>
      <c r="S231" s="24">
        <f t="shared" si="16"/>
        <v>9</v>
      </c>
      <c r="T231" s="11" t="s">
        <v>487</v>
      </c>
      <c r="U231" s="11" t="s">
        <v>443</v>
      </c>
    </row>
    <row r="232" spans="1:21" s="58" customFormat="1" ht="12" x14ac:dyDescent="0.3">
      <c r="A232" s="9" t="s">
        <v>508</v>
      </c>
      <c r="B232" s="9" t="s">
        <v>31</v>
      </c>
      <c r="C232" s="9">
        <v>58650374</v>
      </c>
      <c r="D232" s="11" t="s">
        <v>20</v>
      </c>
      <c r="E232" s="9">
        <v>2722229765</v>
      </c>
      <c r="F232" s="11" t="s">
        <v>33</v>
      </c>
      <c r="G232" s="11" t="s">
        <v>23</v>
      </c>
      <c r="H232" s="13">
        <v>46073</v>
      </c>
      <c r="I232" s="13">
        <v>46108</v>
      </c>
      <c r="J232" s="24">
        <f t="shared" si="15"/>
        <v>26</v>
      </c>
      <c r="K232" s="25" t="s">
        <v>303</v>
      </c>
      <c r="L232" s="11" t="s">
        <v>304</v>
      </c>
      <c r="M232" s="11" t="s">
        <v>24</v>
      </c>
      <c r="N232" s="11" t="s">
        <v>34</v>
      </c>
      <c r="O232" s="60">
        <v>150000</v>
      </c>
      <c r="P232" s="60">
        <v>60000</v>
      </c>
      <c r="Q232" s="46">
        <f t="shared" si="19"/>
        <v>210000</v>
      </c>
      <c r="R232" s="13">
        <v>46108</v>
      </c>
      <c r="S232" s="24">
        <f t="shared" si="16"/>
        <v>26</v>
      </c>
      <c r="T232" s="11" t="s">
        <v>487</v>
      </c>
      <c r="U232" s="11" t="s">
        <v>443</v>
      </c>
    </row>
    <row r="233" spans="1:21" x14ac:dyDescent="0.35">
      <c r="A233" s="5" t="s">
        <v>509</v>
      </c>
      <c r="B233" s="5" t="s">
        <v>19</v>
      </c>
      <c r="C233" s="5" t="s">
        <v>510</v>
      </c>
      <c r="D233" s="5" t="s">
        <v>68</v>
      </c>
      <c r="E233" s="5" t="s">
        <v>511</v>
      </c>
      <c r="F233" s="5" t="s">
        <v>512</v>
      </c>
      <c r="G233" s="5" t="s">
        <v>513</v>
      </c>
      <c r="H233" s="61">
        <v>46098</v>
      </c>
      <c r="I233" s="61">
        <v>46107</v>
      </c>
      <c r="J233" s="24">
        <f t="shared" si="15"/>
        <v>8</v>
      </c>
      <c r="K233" s="5" t="s">
        <v>303</v>
      </c>
      <c r="L233" s="5" t="s">
        <v>304</v>
      </c>
      <c r="M233" s="5" t="s">
        <v>24</v>
      </c>
      <c r="N233" s="5" t="s">
        <v>54</v>
      </c>
      <c r="O233" s="5">
        <v>0</v>
      </c>
      <c r="P233" s="5">
        <v>0</v>
      </c>
      <c r="Q233" s="5">
        <v>0</v>
      </c>
      <c r="R233" s="13">
        <v>46108</v>
      </c>
      <c r="S233" s="24">
        <f t="shared" si="16"/>
        <v>9</v>
      </c>
      <c r="T233" s="11" t="s">
        <v>487</v>
      </c>
      <c r="U233" s="11" t="s">
        <v>443</v>
      </c>
    </row>
    <row r="234" spans="1:21" x14ac:dyDescent="0.35">
      <c r="A234" s="5" t="s">
        <v>514</v>
      </c>
      <c r="B234" s="5" t="s">
        <v>19</v>
      </c>
      <c r="C234" s="5">
        <v>57773018</v>
      </c>
      <c r="D234" s="5" t="s">
        <v>289</v>
      </c>
      <c r="E234" s="5" t="s">
        <v>515</v>
      </c>
      <c r="F234" s="5" t="s">
        <v>196</v>
      </c>
      <c r="G234" s="5" t="s">
        <v>23</v>
      </c>
      <c r="H234" s="61">
        <v>46057</v>
      </c>
      <c r="I234" s="61">
        <v>46107</v>
      </c>
      <c r="J234" s="24">
        <f t="shared" si="15"/>
        <v>37</v>
      </c>
      <c r="K234" s="5" t="s">
        <v>303</v>
      </c>
      <c r="L234" s="5" t="s">
        <v>304</v>
      </c>
      <c r="M234" s="5" t="s">
        <v>24</v>
      </c>
      <c r="N234" s="5" t="s">
        <v>174</v>
      </c>
      <c r="O234" s="15">
        <v>2600000</v>
      </c>
      <c r="P234" s="15">
        <v>1034117</v>
      </c>
      <c r="Q234" s="15">
        <v>3634117</v>
      </c>
      <c r="R234" s="13">
        <v>46108</v>
      </c>
      <c r="S234" s="24">
        <f t="shared" si="16"/>
        <v>38</v>
      </c>
      <c r="T234" s="11" t="s">
        <v>487</v>
      </c>
      <c r="U234" s="11" t="s">
        <v>443</v>
      </c>
    </row>
    <row r="235" spans="1:21" x14ac:dyDescent="0.35">
      <c r="A235" s="50" t="s">
        <v>516</v>
      </c>
      <c r="B235" s="34" t="s">
        <v>44</v>
      </c>
      <c r="C235" s="50">
        <v>60423011</v>
      </c>
      <c r="D235" s="34" t="s">
        <v>146</v>
      </c>
      <c r="E235" s="50" t="s">
        <v>517</v>
      </c>
      <c r="F235" s="34" t="s">
        <v>47</v>
      </c>
      <c r="G235" s="34" t="s">
        <v>23</v>
      </c>
      <c r="H235" s="67">
        <v>46105</v>
      </c>
      <c r="I235" s="67">
        <v>46111</v>
      </c>
      <c r="J235" s="24">
        <f t="shared" si="15"/>
        <v>5</v>
      </c>
      <c r="K235" s="45" t="s">
        <v>303</v>
      </c>
      <c r="L235" s="34" t="s">
        <v>304</v>
      </c>
      <c r="M235" s="34" t="s">
        <v>358</v>
      </c>
      <c r="N235" s="34" t="s">
        <v>29</v>
      </c>
      <c r="O235" s="47">
        <v>0</v>
      </c>
      <c r="P235" s="47">
        <v>0</v>
      </c>
      <c r="Q235" s="47">
        <f t="shared" ref="Q235:Q243" si="20">P235+O235</f>
        <v>0</v>
      </c>
      <c r="R235" s="35">
        <v>46111</v>
      </c>
      <c r="S235" s="24">
        <f t="shared" si="16"/>
        <v>5</v>
      </c>
      <c r="T235" s="34" t="s">
        <v>518</v>
      </c>
      <c r="U235" s="34" t="s">
        <v>443</v>
      </c>
    </row>
    <row r="236" spans="1:21" x14ac:dyDescent="0.35">
      <c r="A236" s="12" t="s">
        <v>516</v>
      </c>
      <c r="B236" s="11" t="s">
        <v>19</v>
      </c>
      <c r="C236" s="12">
        <v>60422373</v>
      </c>
      <c r="D236" s="11" t="s">
        <v>146</v>
      </c>
      <c r="E236" s="12" t="s">
        <v>519</v>
      </c>
      <c r="F236" s="11" t="s">
        <v>47</v>
      </c>
      <c r="G236" s="11" t="s">
        <v>23</v>
      </c>
      <c r="H236" s="14">
        <v>46105</v>
      </c>
      <c r="I236" s="14">
        <v>46111</v>
      </c>
      <c r="J236" s="24">
        <f t="shared" si="15"/>
        <v>5</v>
      </c>
      <c r="K236" s="25" t="s">
        <v>303</v>
      </c>
      <c r="L236" s="11" t="s">
        <v>304</v>
      </c>
      <c r="M236" s="11" t="s">
        <v>358</v>
      </c>
      <c r="N236" s="11" t="s">
        <v>148</v>
      </c>
      <c r="O236" s="46">
        <v>0</v>
      </c>
      <c r="P236" s="46">
        <v>0</v>
      </c>
      <c r="Q236" s="46">
        <f t="shared" si="20"/>
        <v>0</v>
      </c>
      <c r="R236" s="13">
        <v>46111</v>
      </c>
      <c r="S236" s="24">
        <f t="shared" si="16"/>
        <v>5</v>
      </c>
      <c r="T236" s="34" t="s">
        <v>518</v>
      </c>
      <c r="U236" s="11" t="s">
        <v>443</v>
      </c>
    </row>
    <row r="237" spans="1:21" x14ac:dyDescent="0.35">
      <c r="A237" s="12" t="s">
        <v>520</v>
      </c>
      <c r="B237" s="12" t="s">
        <v>19</v>
      </c>
      <c r="C237" s="12">
        <v>58144220</v>
      </c>
      <c r="D237" s="12" t="s">
        <v>20</v>
      </c>
      <c r="E237" s="12" t="s">
        <v>521</v>
      </c>
      <c r="F237" s="12" t="s">
        <v>22</v>
      </c>
      <c r="G237" s="12" t="s">
        <v>38</v>
      </c>
      <c r="H237" s="16">
        <v>46064</v>
      </c>
      <c r="I237" s="14">
        <v>46111</v>
      </c>
      <c r="J237" s="24">
        <f t="shared" si="15"/>
        <v>34</v>
      </c>
      <c r="K237" s="25" t="s">
        <v>303</v>
      </c>
      <c r="L237" s="11" t="s">
        <v>304</v>
      </c>
      <c r="M237" s="11" t="s">
        <v>24</v>
      </c>
      <c r="N237" s="12" t="s">
        <v>105</v>
      </c>
      <c r="O237" s="46">
        <v>0</v>
      </c>
      <c r="P237" s="46">
        <v>0</v>
      </c>
      <c r="Q237" s="46">
        <f t="shared" si="20"/>
        <v>0</v>
      </c>
      <c r="R237" s="13">
        <v>46111</v>
      </c>
      <c r="S237" s="24">
        <f t="shared" si="16"/>
        <v>34</v>
      </c>
      <c r="T237" s="34" t="s">
        <v>518</v>
      </c>
      <c r="U237" s="11" t="s">
        <v>443</v>
      </c>
    </row>
    <row r="238" spans="1:21" x14ac:dyDescent="0.35">
      <c r="A238" s="12" t="s">
        <v>522</v>
      </c>
      <c r="B238" s="12" t="s">
        <v>44</v>
      </c>
      <c r="C238" s="12">
        <v>58808846</v>
      </c>
      <c r="D238" s="12" t="s">
        <v>101</v>
      </c>
      <c r="E238" s="12" t="s">
        <v>523</v>
      </c>
      <c r="F238" s="12" t="s">
        <v>22</v>
      </c>
      <c r="G238" s="12" t="s">
        <v>23</v>
      </c>
      <c r="H238" s="14">
        <v>46076</v>
      </c>
      <c r="I238" s="14">
        <v>46108</v>
      </c>
      <c r="J238" s="24">
        <f t="shared" si="15"/>
        <v>25</v>
      </c>
      <c r="K238" s="25" t="s">
        <v>303</v>
      </c>
      <c r="L238" s="11" t="s">
        <v>304</v>
      </c>
      <c r="M238" s="11" t="s">
        <v>24</v>
      </c>
      <c r="N238" s="12" t="s">
        <v>49</v>
      </c>
      <c r="O238" s="19">
        <v>2000000</v>
      </c>
      <c r="P238" s="19">
        <v>462000</v>
      </c>
      <c r="Q238" s="46">
        <f t="shared" si="20"/>
        <v>2462000</v>
      </c>
      <c r="R238" s="13">
        <v>46111</v>
      </c>
      <c r="S238" s="24">
        <f t="shared" si="16"/>
        <v>26</v>
      </c>
      <c r="T238" s="34" t="s">
        <v>518</v>
      </c>
      <c r="U238" s="11" t="s">
        <v>443</v>
      </c>
    </row>
    <row r="239" spans="1:21" x14ac:dyDescent="0.35">
      <c r="A239" s="12" t="s">
        <v>524</v>
      </c>
      <c r="B239" s="11" t="s">
        <v>19</v>
      </c>
      <c r="C239" s="12">
        <v>59821965</v>
      </c>
      <c r="D239" s="11" t="s">
        <v>36</v>
      </c>
      <c r="E239" s="12" t="s">
        <v>525</v>
      </c>
      <c r="F239" s="12" t="s">
        <v>22</v>
      </c>
      <c r="G239" s="11" t="s">
        <v>23</v>
      </c>
      <c r="H239" s="14">
        <v>46093</v>
      </c>
      <c r="I239" s="14">
        <v>46111</v>
      </c>
      <c r="J239" s="24">
        <f t="shared" si="15"/>
        <v>13</v>
      </c>
      <c r="K239" s="25" t="s">
        <v>303</v>
      </c>
      <c r="L239" s="11" t="s">
        <v>304</v>
      </c>
      <c r="M239" s="11" t="s">
        <v>157</v>
      </c>
      <c r="N239" s="11" t="s">
        <v>148</v>
      </c>
      <c r="O239" s="46">
        <v>3000000</v>
      </c>
      <c r="P239" s="46">
        <v>0</v>
      </c>
      <c r="Q239" s="46">
        <f>P239+O239</f>
        <v>3000000</v>
      </c>
      <c r="R239" s="13">
        <v>46111</v>
      </c>
      <c r="S239" s="24">
        <f t="shared" si="16"/>
        <v>13</v>
      </c>
      <c r="T239" s="34" t="s">
        <v>518</v>
      </c>
      <c r="U239" s="11" t="s">
        <v>443</v>
      </c>
    </row>
    <row r="240" spans="1:21" x14ac:dyDescent="0.35">
      <c r="A240" s="12" t="s">
        <v>526</v>
      </c>
      <c r="B240" s="12" t="s">
        <v>19</v>
      </c>
      <c r="C240" s="12">
        <v>59894758</v>
      </c>
      <c r="D240" s="12" t="s">
        <v>20</v>
      </c>
      <c r="E240" s="12" t="s">
        <v>527</v>
      </c>
      <c r="F240" s="12" t="s">
        <v>22</v>
      </c>
      <c r="G240" s="12" t="s">
        <v>41</v>
      </c>
      <c r="H240" s="14">
        <v>46094</v>
      </c>
      <c r="I240" s="14">
        <v>46111</v>
      </c>
      <c r="J240" s="24">
        <f t="shared" si="15"/>
        <v>12</v>
      </c>
      <c r="K240" s="25" t="s">
        <v>303</v>
      </c>
      <c r="L240" s="11" t="s">
        <v>304</v>
      </c>
      <c r="M240" s="11" t="s">
        <v>24</v>
      </c>
      <c r="N240" s="12" t="s">
        <v>119</v>
      </c>
      <c r="O240" s="19">
        <v>1000000</v>
      </c>
      <c r="P240" s="19">
        <v>678945</v>
      </c>
      <c r="Q240" s="46">
        <f t="shared" si="20"/>
        <v>1678945</v>
      </c>
      <c r="R240" s="13">
        <v>46111</v>
      </c>
      <c r="S240" s="24">
        <f t="shared" si="16"/>
        <v>12</v>
      </c>
      <c r="T240" s="34" t="s">
        <v>518</v>
      </c>
      <c r="U240" s="11" t="s">
        <v>443</v>
      </c>
    </row>
    <row r="241" spans="1:21" x14ac:dyDescent="0.35">
      <c r="A241" s="12" t="s">
        <v>528</v>
      </c>
      <c r="B241" s="12" t="s">
        <v>44</v>
      </c>
      <c r="C241" s="12">
        <v>59278285</v>
      </c>
      <c r="D241" s="12" t="s">
        <v>529</v>
      </c>
      <c r="E241" s="12" t="s">
        <v>530</v>
      </c>
      <c r="F241" s="12" t="s">
        <v>47</v>
      </c>
      <c r="G241" s="12" t="s">
        <v>23</v>
      </c>
      <c r="H241" s="14">
        <v>46084</v>
      </c>
      <c r="I241" s="14">
        <v>46105</v>
      </c>
      <c r="J241" s="24">
        <f t="shared" si="15"/>
        <v>16</v>
      </c>
      <c r="K241" s="25" t="s">
        <v>303</v>
      </c>
      <c r="L241" s="11" t="s">
        <v>304</v>
      </c>
      <c r="M241" s="11" t="s">
        <v>24</v>
      </c>
      <c r="N241" s="12" t="s">
        <v>39</v>
      </c>
      <c r="O241" s="19">
        <v>1050000</v>
      </c>
      <c r="P241" s="19">
        <v>500000</v>
      </c>
      <c r="Q241" s="46">
        <f t="shared" si="20"/>
        <v>1550000</v>
      </c>
      <c r="R241" s="13">
        <v>46112</v>
      </c>
      <c r="S241" s="24">
        <f t="shared" si="16"/>
        <v>21</v>
      </c>
      <c r="T241" s="34" t="s">
        <v>518</v>
      </c>
      <c r="U241" s="11" t="s">
        <v>443</v>
      </c>
    </row>
    <row r="242" spans="1:21" x14ac:dyDescent="0.35">
      <c r="A242" s="12" t="s">
        <v>528</v>
      </c>
      <c r="B242" s="12" t="s">
        <v>44</v>
      </c>
      <c r="C242" s="12">
        <v>59278925</v>
      </c>
      <c r="D242" s="12" t="s">
        <v>68</v>
      </c>
      <c r="E242" s="12" t="s">
        <v>531</v>
      </c>
      <c r="F242" s="12" t="s">
        <v>22</v>
      </c>
      <c r="G242" s="12" t="s">
        <v>23</v>
      </c>
      <c r="H242" s="14">
        <v>46084</v>
      </c>
      <c r="I242" s="14">
        <v>46105</v>
      </c>
      <c r="J242" s="24">
        <f t="shared" si="15"/>
        <v>16</v>
      </c>
      <c r="K242" s="25" t="s">
        <v>303</v>
      </c>
      <c r="L242" s="11" t="s">
        <v>304</v>
      </c>
      <c r="M242" s="11" t="s">
        <v>24</v>
      </c>
      <c r="N242" s="12" t="s">
        <v>39</v>
      </c>
      <c r="O242" s="19">
        <v>1050000</v>
      </c>
      <c r="P242" s="19">
        <v>500000</v>
      </c>
      <c r="Q242" s="46">
        <f t="shared" si="20"/>
        <v>1550000</v>
      </c>
      <c r="R242" s="13">
        <v>46112</v>
      </c>
      <c r="S242" s="24">
        <f t="shared" si="16"/>
        <v>21</v>
      </c>
      <c r="T242" s="34" t="s">
        <v>518</v>
      </c>
      <c r="U242" s="11" t="s">
        <v>443</v>
      </c>
    </row>
    <row r="243" spans="1:21" x14ac:dyDescent="0.35">
      <c r="A243" s="12" t="s">
        <v>469</v>
      </c>
      <c r="B243" s="12" t="s">
        <v>44</v>
      </c>
      <c r="C243" s="5">
        <v>59300338</v>
      </c>
      <c r="D243" s="12" t="s">
        <v>50</v>
      </c>
      <c r="E243" s="12" t="s">
        <v>532</v>
      </c>
      <c r="F243" s="12" t="s">
        <v>22</v>
      </c>
      <c r="G243" s="12" t="s">
        <v>23</v>
      </c>
      <c r="H243" s="14">
        <v>46084</v>
      </c>
      <c r="I243" s="14">
        <v>46112</v>
      </c>
      <c r="J243" s="24">
        <f t="shared" si="15"/>
        <v>21</v>
      </c>
      <c r="K243" s="25" t="s">
        <v>303</v>
      </c>
      <c r="L243" s="11" t="s">
        <v>304</v>
      </c>
      <c r="M243" s="11" t="s">
        <v>24</v>
      </c>
      <c r="N243" s="12" t="s">
        <v>49</v>
      </c>
      <c r="O243" s="19">
        <v>2000000</v>
      </c>
      <c r="P243" s="19">
        <v>462000</v>
      </c>
      <c r="Q243" s="46">
        <f t="shared" si="20"/>
        <v>2462000</v>
      </c>
      <c r="R243" s="13">
        <v>46112</v>
      </c>
      <c r="S243" s="24">
        <f t="shared" si="16"/>
        <v>21</v>
      </c>
      <c r="T243" s="34" t="s">
        <v>518</v>
      </c>
      <c r="U243" s="11" t="s">
        <v>443</v>
      </c>
    </row>
    <row r="244" spans="1:21" x14ac:dyDescent="0.35">
      <c r="A244" s="12" t="s">
        <v>533</v>
      </c>
      <c r="B244" s="12" t="s">
        <v>44</v>
      </c>
      <c r="C244" s="12">
        <v>51053195</v>
      </c>
      <c r="D244" s="12" t="s">
        <v>152</v>
      </c>
      <c r="E244" s="12" t="s">
        <v>534</v>
      </c>
      <c r="F244" s="12" t="s">
        <v>47</v>
      </c>
      <c r="G244" s="12" t="s">
        <v>23</v>
      </c>
      <c r="H244" s="14">
        <v>45924</v>
      </c>
      <c r="I244" s="14">
        <v>46112</v>
      </c>
      <c r="J244" s="24">
        <f t="shared" si="15"/>
        <v>135</v>
      </c>
      <c r="K244" s="12" t="s">
        <v>303</v>
      </c>
      <c r="L244" s="12" t="s">
        <v>304</v>
      </c>
      <c r="M244" s="12" t="s">
        <v>48</v>
      </c>
      <c r="N244" s="12" t="s">
        <v>49</v>
      </c>
      <c r="O244" s="12">
        <v>200000</v>
      </c>
      <c r="P244" s="12">
        <v>0</v>
      </c>
      <c r="Q244" s="19">
        <v>200000</v>
      </c>
      <c r="R244" s="14">
        <v>46113</v>
      </c>
      <c r="S244" s="24">
        <f t="shared" si="16"/>
        <v>136</v>
      </c>
      <c r="T244" s="11" t="s">
        <v>518</v>
      </c>
      <c r="U244" s="11" t="s">
        <v>551</v>
      </c>
    </row>
    <row r="245" spans="1:21" x14ac:dyDescent="0.35">
      <c r="A245" s="12" t="s">
        <v>535</v>
      </c>
      <c r="B245" s="12" t="s">
        <v>44</v>
      </c>
      <c r="C245" s="12">
        <v>47878019</v>
      </c>
      <c r="D245" s="12" t="s">
        <v>170</v>
      </c>
      <c r="E245" s="12" t="s">
        <v>536</v>
      </c>
      <c r="F245" s="12" t="s">
        <v>22</v>
      </c>
      <c r="G245" s="12" t="s">
        <v>23</v>
      </c>
      <c r="H245" s="14">
        <v>45861</v>
      </c>
      <c r="I245" s="14">
        <v>46111</v>
      </c>
      <c r="J245" s="24">
        <f t="shared" si="15"/>
        <v>179</v>
      </c>
      <c r="K245" s="12" t="s">
        <v>303</v>
      </c>
      <c r="L245" s="12" t="s">
        <v>304</v>
      </c>
      <c r="M245" s="12" t="s">
        <v>48</v>
      </c>
      <c r="N245" s="12" t="s">
        <v>105</v>
      </c>
      <c r="O245" s="12">
        <v>1538480</v>
      </c>
      <c r="P245" s="12">
        <v>0</v>
      </c>
      <c r="Q245" s="19">
        <v>1538480</v>
      </c>
      <c r="R245" s="14">
        <v>46113</v>
      </c>
      <c r="S245" s="24">
        <f t="shared" si="16"/>
        <v>181</v>
      </c>
      <c r="T245" s="11" t="s">
        <v>518</v>
      </c>
      <c r="U245" s="11" t="s">
        <v>551</v>
      </c>
    </row>
    <row r="246" spans="1:21" x14ac:dyDescent="0.35">
      <c r="A246" s="12" t="s">
        <v>535</v>
      </c>
      <c r="B246" s="12" t="s">
        <v>44</v>
      </c>
      <c r="C246" s="12">
        <v>47653333</v>
      </c>
      <c r="D246" s="12" t="s">
        <v>45</v>
      </c>
      <c r="E246" s="12" t="s">
        <v>537</v>
      </c>
      <c r="F246" s="12" t="s">
        <v>47</v>
      </c>
      <c r="G246" s="12" t="s">
        <v>38</v>
      </c>
      <c r="H246" s="14">
        <v>45859</v>
      </c>
      <c r="I246" s="14">
        <v>46112</v>
      </c>
      <c r="J246" s="24">
        <f t="shared" si="15"/>
        <v>182</v>
      </c>
      <c r="K246" s="12" t="s">
        <v>303</v>
      </c>
      <c r="L246" s="12" t="s">
        <v>304</v>
      </c>
      <c r="M246" s="12" t="s">
        <v>48</v>
      </c>
      <c r="N246" s="12" t="s">
        <v>105</v>
      </c>
      <c r="O246" s="12">
        <v>350000</v>
      </c>
      <c r="P246" s="12">
        <v>0</v>
      </c>
      <c r="Q246" s="19">
        <v>350000</v>
      </c>
      <c r="R246" s="14">
        <v>46113</v>
      </c>
      <c r="S246" s="24">
        <f t="shared" si="16"/>
        <v>183</v>
      </c>
      <c r="T246" s="11" t="s">
        <v>518</v>
      </c>
      <c r="U246" s="11" t="s">
        <v>551</v>
      </c>
    </row>
    <row r="247" spans="1:21" x14ac:dyDescent="0.35">
      <c r="A247" s="12" t="s">
        <v>538</v>
      </c>
      <c r="B247" s="12" t="s">
        <v>31</v>
      </c>
      <c r="C247" s="12">
        <v>58488142</v>
      </c>
      <c r="D247" s="12" t="s">
        <v>36</v>
      </c>
      <c r="E247" s="12">
        <v>2720211797</v>
      </c>
      <c r="F247" s="12" t="s">
        <v>33</v>
      </c>
      <c r="G247" s="12" t="s">
        <v>23</v>
      </c>
      <c r="H247" s="14">
        <v>46070</v>
      </c>
      <c r="I247" s="14">
        <v>46112</v>
      </c>
      <c r="J247" s="24">
        <f t="shared" si="15"/>
        <v>31</v>
      </c>
      <c r="K247" s="12" t="s">
        <v>303</v>
      </c>
      <c r="L247" s="12" t="s">
        <v>304</v>
      </c>
      <c r="M247" s="12" t="s">
        <v>48</v>
      </c>
      <c r="N247" s="12" t="s">
        <v>34</v>
      </c>
      <c r="O247" s="12">
        <v>108000</v>
      </c>
      <c r="P247" s="12">
        <v>0</v>
      </c>
      <c r="Q247" s="19">
        <v>108000</v>
      </c>
      <c r="R247" s="14">
        <v>46116</v>
      </c>
      <c r="S247" s="24">
        <f t="shared" si="16"/>
        <v>34</v>
      </c>
      <c r="T247" s="11" t="s">
        <v>552</v>
      </c>
      <c r="U247" s="11" t="s">
        <v>551</v>
      </c>
    </row>
    <row r="248" spans="1:21" x14ac:dyDescent="0.35">
      <c r="A248" s="12" t="s">
        <v>459</v>
      </c>
      <c r="B248" s="12" t="s">
        <v>31</v>
      </c>
      <c r="C248" s="12">
        <v>58029496</v>
      </c>
      <c r="D248" s="12" t="s">
        <v>50</v>
      </c>
      <c r="E248" s="12">
        <v>2721358023</v>
      </c>
      <c r="F248" s="12" t="s">
        <v>33</v>
      </c>
      <c r="G248" s="12" t="s">
        <v>23</v>
      </c>
      <c r="H248" s="14">
        <v>46062</v>
      </c>
      <c r="I248" s="14">
        <v>46112</v>
      </c>
      <c r="J248" s="24">
        <f t="shared" si="15"/>
        <v>37</v>
      </c>
      <c r="K248" s="12" t="s">
        <v>303</v>
      </c>
      <c r="L248" s="12" t="s">
        <v>304</v>
      </c>
      <c r="M248" s="12" t="s">
        <v>48</v>
      </c>
      <c r="N248" s="12" t="s">
        <v>34</v>
      </c>
      <c r="O248" s="12">
        <v>60000</v>
      </c>
      <c r="P248" s="12">
        <v>0</v>
      </c>
      <c r="Q248" s="19">
        <v>60000</v>
      </c>
      <c r="R248" s="14">
        <v>46116</v>
      </c>
      <c r="S248" s="24">
        <f t="shared" si="16"/>
        <v>40</v>
      </c>
      <c r="T248" s="11" t="s">
        <v>552</v>
      </c>
      <c r="U248" s="11" t="s">
        <v>551</v>
      </c>
    </row>
    <row r="249" spans="1:21" x14ac:dyDescent="0.35">
      <c r="A249" s="12" t="s">
        <v>535</v>
      </c>
      <c r="B249" s="12" t="s">
        <v>31</v>
      </c>
      <c r="C249" s="12">
        <v>52741559</v>
      </c>
      <c r="D249" s="12" t="s">
        <v>89</v>
      </c>
      <c r="E249" s="12">
        <v>2721300130</v>
      </c>
      <c r="F249" s="12" t="s">
        <v>33</v>
      </c>
      <c r="G249" s="12" t="s">
        <v>23</v>
      </c>
      <c r="H249" s="14">
        <v>45959</v>
      </c>
      <c r="I249" s="14">
        <v>46112</v>
      </c>
      <c r="J249" s="24">
        <f t="shared" si="15"/>
        <v>110</v>
      </c>
      <c r="K249" s="12" t="s">
        <v>303</v>
      </c>
      <c r="L249" s="12" t="s">
        <v>304</v>
      </c>
      <c r="M249" s="12" t="s">
        <v>48</v>
      </c>
      <c r="N249" s="12" t="s">
        <v>34</v>
      </c>
      <c r="O249" s="12">
        <v>400000</v>
      </c>
      <c r="P249" s="12">
        <v>0</v>
      </c>
      <c r="Q249" s="19">
        <v>400000</v>
      </c>
      <c r="R249" s="14">
        <v>46116</v>
      </c>
      <c r="S249" s="24">
        <f t="shared" si="16"/>
        <v>113</v>
      </c>
      <c r="T249" s="11" t="s">
        <v>552</v>
      </c>
      <c r="U249" s="11" t="s">
        <v>551</v>
      </c>
    </row>
    <row r="250" spans="1:21" x14ac:dyDescent="0.35">
      <c r="A250" s="12" t="s">
        <v>539</v>
      </c>
      <c r="B250" s="12" t="s">
        <v>31</v>
      </c>
      <c r="C250" s="12">
        <v>58996002</v>
      </c>
      <c r="D250" s="12" t="s">
        <v>36</v>
      </c>
      <c r="E250" s="12">
        <v>2720306611</v>
      </c>
      <c r="F250" s="12" t="s">
        <v>33</v>
      </c>
      <c r="G250" s="12" t="s">
        <v>23</v>
      </c>
      <c r="H250" s="14">
        <v>46079</v>
      </c>
      <c r="I250" s="14">
        <v>46112</v>
      </c>
      <c r="J250" s="24">
        <f t="shared" si="15"/>
        <v>24</v>
      </c>
      <c r="K250" s="12" t="s">
        <v>303</v>
      </c>
      <c r="L250" s="12" t="s">
        <v>304</v>
      </c>
      <c r="M250" s="12" t="s">
        <v>48</v>
      </c>
      <c r="N250" s="12" t="s">
        <v>34</v>
      </c>
      <c r="O250" s="12">
        <v>60000</v>
      </c>
      <c r="P250" s="12">
        <v>0</v>
      </c>
      <c r="Q250" s="19">
        <v>60000</v>
      </c>
      <c r="R250" s="14">
        <v>46116</v>
      </c>
      <c r="S250" s="24">
        <f t="shared" si="16"/>
        <v>27</v>
      </c>
      <c r="T250" s="11" t="s">
        <v>552</v>
      </c>
      <c r="U250" s="11" t="s">
        <v>551</v>
      </c>
    </row>
    <row r="251" spans="1:21" x14ac:dyDescent="0.35">
      <c r="A251" s="12" t="s">
        <v>535</v>
      </c>
      <c r="B251" s="12" t="s">
        <v>31</v>
      </c>
      <c r="C251" s="12">
        <v>47639322</v>
      </c>
      <c r="D251" s="12" t="s">
        <v>50</v>
      </c>
      <c r="E251" s="12">
        <v>2734711025</v>
      </c>
      <c r="F251" s="12" t="s">
        <v>33</v>
      </c>
      <c r="G251" s="12" t="s">
        <v>23</v>
      </c>
      <c r="H251" s="14">
        <v>45856</v>
      </c>
      <c r="I251" s="14">
        <v>46113</v>
      </c>
      <c r="J251" s="24">
        <f t="shared" si="15"/>
        <v>184</v>
      </c>
      <c r="K251" s="12" t="s">
        <v>303</v>
      </c>
      <c r="L251" s="12" t="s">
        <v>304</v>
      </c>
      <c r="M251" s="12" t="s">
        <v>48</v>
      </c>
      <c r="N251" s="12" t="s">
        <v>34</v>
      </c>
      <c r="O251" s="12">
        <v>108000</v>
      </c>
      <c r="P251" s="12">
        <v>0</v>
      </c>
      <c r="Q251" s="19">
        <v>108000</v>
      </c>
      <c r="R251" s="14">
        <v>46116</v>
      </c>
      <c r="S251" s="24">
        <f t="shared" si="16"/>
        <v>186</v>
      </c>
      <c r="T251" s="11" t="s">
        <v>552</v>
      </c>
      <c r="U251" s="11" t="s">
        <v>551</v>
      </c>
    </row>
    <row r="252" spans="1:21" x14ac:dyDescent="0.35">
      <c r="A252" s="12" t="s">
        <v>540</v>
      </c>
      <c r="B252" s="12" t="s">
        <v>31</v>
      </c>
      <c r="C252" s="12">
        <v>60154802</v>
      </c>
      <c r="D252" s="12" t="s">
        <v>20</v>
      </c>
      <c r="E252" s="12">
        <v>2722520140</v>
      </c>
      <c r="F252" s="12" t="s">
        <v>33</v>
      </c>
      <c r="G252" s="12" t="s">
        <v>23</v>
      </c>
      <c r="H252" s="14">
        <v>46100</v>
      </c>
      <c r="I252" s="14">
        <v>46116</v>
      </c>
      <c r="J252" s="24">
        <f t="shared" si="15"/>
        <v>12</v>
      </c>
      <c r="K252" s="12" t="s">
        <v>303</v>
      </c>
      <c r="L252" s="12" t="s">
        <v>304</v>
      </c>
      <c r="M252" s="12" t="s">
        <v>24</v>
      </c>
      <c r="N252" s="12" t="s">
        <v>34</v>
      </c>
      <c r="O252" s="12">
        <v>150000</v>
      </c>
      <c r="P252" s="12">
        <v>40000</v>
      </c>
      <c r="Q252" s="19">
        <v>190000</v>
      </c>
      <c r="R252" s="14">
        <v>46119</v>
      </c>
      <c r="S252" s="24">
        <f t="shared" si="16"/>
        <v>14</v>
      </c>
      <c r="T252" s="11" t="s">
        <v>552</v>
      </c>
      <c r="U252" s="11" t="s">
        <v>551</v>
      </c>
    </row>
    <row r="253" spans="1:21" x14ac:dyDescent="0.35">
      <c r="A253" s="12" t="s">
        <v>541</v>
      </c>
      <c r="B253" s="12" t="s">
        <v>19</v>
      </c>
      <c r="C253" s="12">
        <v>47658350</v>
      </c>
      <c r="D253" s="12" t="s">
        <v>45</v>
      </c>
      <c r="E253" s="12" t="s">
        <v>542</v>
      </c>
      <c r="F253" s="12" t="s">
        <v>47</v>
      </c>
      <c r="G253" s="12" t="s">
        <v>23</v>
      </c>
      <c r="H253" s="14">
        <v>45859</v>
      </c>
      <c r="I253" s="14">
        <v>46115</v>
      </c>
      <c r="J253" s="24">
        <f t="shared" si="15"/>
        <v>185</v>
      </c>
      <c r="K253" s="12" t="s">
        <v>303</v>
      </c>
      <c r="L253" s="12" t="s">
        <v>304</v>
      </c>
      <c r="M253" s="12" t="s">
        <v>48</v>
      </c>
      <c r="N253" s="12" t="s">
        <v>197</v>
      </c>
      <c r="O253" s="12">
        <v>350000</v>
      </c>
      <c r="P253" s="12">
        <v>0</v>
      </c>
      <c r="Q253" s="19">
        <v>350000</v>
      </c>
      <c r="R253" s="14">
        <v>46119</v>
      </c>
      <c r="S253" s="24">
        <f t="shared" si="16"/>
        <v>187</v>
      </c>
      <c r="T253" s="11" t="s">
        <v>552</v>
      </c>
      <c r="U253" s="11" t="s">
        <v>551</v>
      </c>
    </row>
    <row r="254" spans="1:21" x14ac:dyDescent="0.35">
      <c r="A254" s="12" t="s">
        <v>43</v>
      </c>
      <c r="B254" s="12" t="s">
        <v>44</v>
      </c>
      <c r="C254" s="12">
        <v>48206525</v>
      </c>
      <c r="D254" s="12" t="s">
        <v>50</v>
      </c>
      <c r="E254" s="12" t="s">
        <v>543</v>
      </c>
      <c r="F254" s="12" t="s">
        <v>47</v>
      </c>
      <c r="G254" s="12" t="s">
        <v>23</v>
      </c>
      <c r="H254" s="14">
        <v>45869</v>
      </c>
      <c r="I254" s="14">
        <v>46116</v>
      </c>
      <c r="J254" s="24">
        <f t="shared" si="15"/>
        <v>177</v>
      </c>
      <c r="K254" s="12" t="s">
        <v>303</v>
      </c>
      <c r="L254" s="12" t="s">
        <v>304</v>
      </c>
      <c r="M254" s="12" t="s">
        <v>48</v>
      </c>
      <c r="N254" s="12" t="s">
        <v>42</v>
      </c>
      <c r="O254" s="12">
        <v>200000</v>
      </c>
      <c r="P254" s="12">
        <v>0</v>
      </c>
      <c r="Q254" s="19">
        <v>200000</v>
      </c>
      <c r="R254" s="14">
        <v>46119</v>
      </c>
      <c r="S254" s="24">
        <f t="shared" si="16"/>
        <v>179</v>
      </c>
      <c r="T254" s="11" t="s">
        <v>552</v>
      </c>
      <c r="U254" s="11" t="s">
        <v>551</v>
      </c>
    </row>
    <row r="255" spans="1:21" x14ac:dyDescent="0.35">
      <c r="A255" s="12" t="s">
        <v>43</v>
      </c>
      <c r="B255" s="12" t="s">
        <v>44</v>
      </c>
      <c r="C255" s="12">
        <v>59308240</v>
      </c>
      <c r="D255" s="12" t="s">
        <v>50</v>
      </c>
      <c r="E255" s="12" t="s">
        <v>544</v>
      </c>
      <c r="F255" s="12" t="s">
        <v>22</v>
      </c>
      <c r="G255" s="12" t="s">
        <v>23</v>
      </c>
      <c r="H255" s="14">
        <v>46084</v>
      </c>
      <c r="I255" s="14">
        <v>46113</v>
      </c>
      <c r="J255" s="24">
        <f t="shared" si="15"/>
        <v>22</v>
      </c>
      <c r="K255" s="12" t="s">
        <v>303</v>
      </c>
      <c r="L255" s="12" t="s">
        <v>304</v>
      </c>
      <c r="M255" s="12" t="s">
        <v>24</v>
      </c>
      <c r="N255" s="12" t="s">
        <v>49</v>
      </c>
      <c r="O255" s="12">
        <v>2000000</v>
      </c>
      <c r="P255" s="12">
        <v>462000</v>
      </c>
      <c r="Q255" s="19">
        <v>2462000</v>
      </c>
      <c r="R255" s="14">
        <v>46119</v>
      </c>
      <c r="S255" s="24">
        <f t="shared" si="16"/>
        <v>26</v>
      </c>
      <c r="T255" s="11" t="s">
        <v>552</v>
      </c>
      <c r="U255" s="11" t="s">
        <v>551</v>
      </c>
    </row>
    <row r="256" spans="1:21" x14ac:dyDescent="0.35">
      <c r="A256" s="12" t="s">
        <v>469</v>
      </c>
      <c r="B256" s="12" t="s">
        <v>44</v>
      </c>
      <c r="C256" s="12">
        <v>59301554</v>
      </c>
      <c r="D256" s="12" t="s">
        <v>545</v>
      </c>
      <c r="E256" s="12" t="s">
        <v>546</v>
      </c>
      <c r="F256" s="12" t="s">
        <v>22</v>
      </c>
      <c r="G256" s="12" t="s">
        <v>23</v>
      </c>
      <c r="H256" s="14">
        <v>46084</v>
      </c>
      <c r="I256" s="14">
        <v>46113</v>
      </c>
      <c r="J256" s="24">
        <f t="shared" si="15"/>
        <v>22</v>
      </c>
      <c r="K256" s="12" t="s">
        <v>303</v>
      </c>
      <c r="L256" s="12" t="s">
        <v>304</v>
      </c>
      <c r="M256" s="12" t="s">
        <v>24</v>
      </c>
      <c r="N256" s="12" t="s">
        <v>49</v>
      </c>
      <c r="O256" s="12">
        <v>2000000</v>
      </c>
      <c r="P256" s="12">
        <v>462000</v>
      </c>
      <c r="Q256" s="19">
        <v>2462000</v>
      </c>
      <c r="R256" s="14">
        <v>46119</v>
      </c>
      <c r="S256" s="24">
        <f t="shared" si="16"/>
        <v>26</v>
      </c>
      <c r="T256" s="64" t="s">
        <v>552</v>
      </c>
      <c r="U256" s="64" t="s">
        <v>551</v>
      </c>
    </row>
    <row r="257" spans="1:21" x14ac:dyDescent="0.35">
      <c r="A257" s="12" t="s">
        <v>547</v>
      </c>
      <c r="B257" s="12" t="s">
        <v>31</v>
      </c>
      <c r="C257" s="12">
        <v>59495495</v>
      </c>
      <c r="D257" s="12" t="s">
        <v>36</v>
      </c>
      <c r="E257" s="12">
        <v>2720219740</v>
      </c>
      <c r="F257" s="12" t="s">
        <v>33</v>
      </c>
      <c r="G257" s="12" t="s">
        <v>23</v>
      </c>
      <c r="H257" s="14">
        <v>46087</v>
      </c>
      <c r="I257" s="14">
        <v>46113</v>
      </c>
      <c r="J257" s="24">
        <f t="shared" si="15"/>
        <v>19</v>
      </c>
      <c r="K257" s="12" t="s">
        <v>303</v>
      </c>
      <c r="L257" s="12" t="s">
        <v>304</v>
      </c>
      <c r="M257" s="12" t="s">
        <v>24</v>
      </c>
      <c r="N257" s="12" t="s">
        <v>34</v>
      </c>
      <c r="O257" s="12">
        <v>150000</v>
      </c>
      <c r="P257" s="12">
        <v>40000</v>
      </c>
      <c r="Q257" s="19">
        <v>190000</v>
      </c>
      <c r="R257" s="14">
        <v>46120</v>
      </c>
      <c r="S257" s="24">
        <f t="shared" si="16"/>
        <v>24</v>
      </c>
      <c r="T257" s="11" t="s">
        <v>552</v>
      </c>
      <c r="U257" s="12" t="s">
        <v>551</v>
      </c>
    </row>
    <row r="258" spans="1:21" x14ac:dyDescent="0.35">
      <c r="A258" s="12" t="s">
        <v>548</v>
      </c>
      <c r="B258" s="12" t="s">
        <v>31</v>
      </c>
      <c r="C258" s="12">
        <v>60589306</v>
      </c>
      <c r="D258" s="12" t="s">
        <v>68</v>
      </c>
      <c r="E258" s="12">
        <v>2721351935</v>
      </c>
      <c r="F258" s="12" t="s">
        <v>33</v>
      </c>
      <c r="G258" s="12" t="s">
        <v>23</v>
      </c>
      <c r="H258" s="14">
        <v>46108</v>
      </c>
      <c r="I258" s="14">
        <v>46119</v>
      </c>
      <c r="J258" s="24">
        <f t="shared" si="15"/>
        <v>8</v>
      </c>
      <c r="K258" s="12" t="s">
        <v>303</v>
      </c>
      <c r="L258" s="12" t="s">
        <v>304</v>
      </c>
      <c r="M258" s="12" t="s">
        <v>24</v>
      </c>
      <c r="N258" s="12" t="s">
        <v>34</v>
      </c>
      <c r="O258" s="12">
        <v>150000</v>
      </c>
      <c r="P258" s="12">
        <v>60000</v>
      </c>
      <c r="Q258" s="19">
        <v>210000</v>
      </c>
      <c r="R258" s="14">
        <v>46120</v>
      </c>
      <c r="S258" s="24">
        <f t="shared" si="16"/>
        <v>9</v>
      </c>
      <c r="T258" s="11" t="s">
        <v>552</v>
      </c>
      <c r="U258" s="12" t="s">
        <v>551</v>
      </c>
    </row>
    <row r="259" spans="1:21" x14ac:dyDescent="0.35">
      <c r="A259" s="12" t="s">
        <v>549</v>
      </c>
      <c r="B259" s="12" t="s">
        <v>44</v>
      </c>
      <c r="C259" s="12">
        <v>48618333</v>
      </c>
      <c r="D259" s="12" t="s">
        <v>276</v>
      </c>
      <c r="E259" s="12" t="s">
        <v>550</v>
      </c>
      <c r="F259" s="12" t="s">
        <v>47</v>
      </c>
      <c r="G259" s="12" t="s">
        <v>23</v>
      </c>
      <c r="H259" s="14">
        <v>46108</v>
      </c>
      <c r="I259" s="14">
        <v>46119</v>
      </c>
      <c r="J259" s="24">
        <f t="shared" si="15"/>
        <v>8</v>
      </c>
      <c r="K259" s="12" t="s">
        <v>303</v>
      </c>
      <c r="L259" s="12" t="s">
        <v>304</v>
      </c>
      <c r="M259" s="12" t="s">
        <v>24</v>
      </c>
      <c r="N259" s="12" t="s">
        <v>64</v>
      </c>
      <c r="O259" s="12">
        <v>800000</v>
      </c>
      <c r="P259" s="12">
        <v>0</v>
      </c>
      <c r="Q259" s="19">
        <v>800000</v>
      </c>
      <c r="R259" s="14">
        <v>46120</v>
      </c>
      <c r="S259" s="24">
        <f t="shared" si="16"/>
        <v>9</v>
      </c>
      <c r="T259" s="11" t="s">
        <v>552</v>
      </c>
      <c r="U259" s="12" t="s">
        <v>551</v>
      </c>
    </row>
    <row r="260" spans="1:21" x14ac:dyDescent="0.35">
      <c r="A260" s="12" t="s">
        <v>553</v>
      </c>
      <c r="B260" s="68" t="s">
        <v>44</v>
      </c>
      <c r="C260" s="68">
        <v>48847621</v>
      </c>
      <c r="D260" s="68" t="s">
        <v>554</v>
      </c>
      <c r="E260" s="68" t="s">
        <v>555</v>
      </c>
      <c r="F260" s="68" t="s">
        <v>196</v>
      </c>
      <c r="G260" s="68" t="s">
        <v>23</v>
      </c>
      <c r="H260" s="69">
        <v>45887</v>
      </c>
      <c r="I260" s="69">
        <v>46099</v>
      </c>
      <c r="J260" s="24">
        <f t="shared" si="15"/>
        <v>153</v>
      </c>
      <c r="K260" s="68" t="s">
        <v>303</v>
      </c>
      <c r="L260" s="68" t="s">
        <v>327</v>
      </c>
      <c r="M260" s="68" t="s">
        <v>24</v>
      </c>
      <c r="N260" s="68" t="s">
        <v>105</v>
      </c>
      <c r="O260" s="68">
        <v>0</v>
      </c>
      <c r="P260" s="68">
        <v>0</v>
      </c>
      <c r="Q260" s="70">
        <v>0</v>
      </c>
      <c r="R260" s="69">
        <v>46121</v>
      </c>
      <c r="S260" s="24">
        <f t="shared" si="16"/>
        <v>169</v>
      </c>
      <c r="T260" s="11" t="s">
        <v>552</v>
      </c>
      <c r="U260" s="68" t="s">
        <v>564</v>
      </c>
    </row>
    <row r="261" spans="1:21" x14ac:dyDescent="0.35">
      <c r="A261" s="12" t="s">
        <v>556</v>
      </c>
      <c r="B261" s="68" t="s">
        <v>44</v>
      </c>
      <c r="C261" s="68">
        <v>54178346</v>
      </c>
      <c r="D261" s="68" t="s">
        <v>557</v>
      </c>
      <c r="E261" s="68" t="s">
        <v>558</v>
      </c>
      <c r="F261" s="68" t="s">
        <v>47</v>
      </c>
      <c r="G261" s="68" t="s">
        <v>23</v>
      </c>
      <c r="H261" s="69">
        <v>45994</v>
      </c>
      <c r="I261" s="69">
        <v>46092</v>
      </c>
      <c r="J261" s="24">
        <f t="shared" si="15"/>
        <v>71</v>
      </c>
      <c r="K261" s="68" t="s">
        <v>303</v>
      </c>
      <c r="L261" s="68" t="s">
        <v>327</v>
      </c>
      <c r="M261" s="68" t="s">
        <v>24</v>
      </c>
      <c r="N261" s="68" t="s">
        <v>49</v>
      </c>
      <c r="O261" s="68">
        <v>0</v>
      </c>
      <c r="P261" s="68">
        <v>0</v>
      </c>
      <c r="Q261" s="70">
        <v>0</v>
      </c>
      <c r="R261" s="69">
        <v>46121</v>
      </c>
      <c r="S261" s="24">
        <f t="shared" si="16"/>
        <v>92</v>
      </c>
      <c r="T261" s="11" t="s">
        <v>552</v>
      </c>
      <c r="U261" s="68" t="s">
        <v>564</v>
      </c>
    </row>
    <row r="262" spans="1:21" x14ac:dyDescent="0.35">
      <c r="A262" s="12" t="s">
        <v>559</v>
      </c>
      <c r="B262" s="68" t="s">
        <v>19</v>
      </c>
      <c r="C262" s="68">
        <v>60358121</v>
      </c>
      <c r="D262" s="68" t="s">
        <v>50</v>
      </c>
      <c r="E262" s="68" t="s">
        <v>560</v>
      </c>
      <c r="F262" s="68" t="s">
        <v>22</v>
      </c>
      <c r="G262" s="68" t="s">
        <v>23</v>
      </c>
      <c r="H262" s="69">
        <v>46104</v>
      </c>
      <c r="I262" s="69">
        <v>46121</v>
      </c>
      <c r="J262" s="24">
        <f t="shared" si="15"/>
        <v>14</v>
      </c>
      <c r="K262" s="68" t="s">
        <v>303</v>
      </c>
      <c r="L262" s="68" t="s">
        <v>304</v>
      </c>
      <c r="M262" s="68" t="s">
        <v>24</v>
      </c>
      <c r="N262" s="68" t="s">
        <v>54</v>
      </c>
      <c r="O262" s="68">
        <v>500000</v>
      </c>
      <c r="P262" s="68">
        <v>460000</v>
      </c>
      <c r="Q262" s="70">
        <v>960000</v>
      </c>
      <c r="R262" s="69">
        <v>46121</v>
      </c>
      <c r="S262" s="24">
        <f t="shared" si="16"/>
        <v>14</v>
      </c>
      <c r="T262" s="11" t="s">
        <v>552</v>
      </c>
      <c r="U262" s="68" t="s">
        <v>551</v>
      </c>
    </row>
    <row r="263" spans="1:21" x14ac:dyDescent="0.35">
      <c r="A263" s="12" t="s">
        <v>43</v>
      </c>
      <c r="B263" s="68" t="s">
        <v>44</v>
      </c>
      <c r="C263" s="68">
        <v>51016709</v>
      </c>
      <c r="D263" s="68" t="s">
        <v>561</v>
      </c>
      <c r="E263" s="68" t="s">
        <v>562</v>
      </c>
      <c r="F263" s="68" t="s">
        <v>47</v>
      </c>
      <c r="G263" s="68" t="s">
        <v>23</v>
      </c>
      <c r="H263" s="69">
        <v>45924</v>
      </c>
      <c r="I263" s="69">
        <v>46121</v>
      </c>
      <c r="J263" s="24">
        <f t="shared" si="15"/>
        <v>142</v>
      </c>
      <c r="K263" s="68" t="s">
        <v>303</v>
      </c>
      <c r="L263" s="68" t="s">
        <v>327</v>
      </c>
      <c r="M263" s="68" t="s">
        <v>48</v>
      </c>
      <c r="N263" s="68" t="s">
        <v>49</v>
      </c>
      <c r="O263" s="68">
        <v>200000</v>
      </c>
      <c r="P263" s="68">
        <v>0</v>
      </c>
      <c r="Q263" s="70">
        <v>200000</v>
      </c>
      <c r="R263" s="69">
        <v>46121</v>
      </c>
      <c r="S263" s="24">
        <f t="shared" si="16"/>
        <v>142</v>
      </c>
      <c r="T263" s="11" t="s">
        <v>552</v>
      </c>
      <c r="U263" s="68" t="s">
        <v>551</v>
      </c>
    </row>
    <row r="264" spans="1:21" x14ac:dyDescent="0.35">
      <c r="A264" s="12" t="s">
        <v>563</v>
      </c>
      <c r="B264" s="68" t="s">
        <v>31</v>
      </c>
      <c r="C264" s="68">
        <v>54962571</v>
      </c>
      <c r="D264" s="68" t="s">
        <v>50</v>
      </c>
      <c r="E264" s="68">
        <v>2721711850</v>
      </c>
      <c r="F264" s="68" t="s">
        <v>33</v>
      </c>
      <c r="G264" s="68" t="s">
        <v>23</v>
      </c>
      <c r="H264" s="69">
        <v>46002</v>
      </c>
      <c r="I264" s="69">
        <v>46121</v>
      </c>
      <c r="J264" s="24">
        <f t="shared" si="15"/>
        <v>86</v>
      </c>
      <c r="K264" s="68" t="s">
        <v>303</v>
      </c>
      <c r="L264" s="68" t="s">
        <v>327</v>
      </c>
      <c r="M264" s="68" t="s">
        <v>48</v>
      </c>
      <c r="N264" s="68" t="s">
        <v>57</v>
      </c>
      <c r="O264" s="68">
        <v>400000</v>
      </c>
      <c r="P264" s="68">
        <v>0</v>
      </c>
      <c r="Q264" s="70">
        <v>400000</v>
      </c>
      <c r="R264" s="69">
        <v>46121</v>
      </c>
      <c r="S264" s="24">
        <f t="shared" si="16"/>
        <v>86</v>
      </c>
      <c r="T264" s="11" t="s">
        <v>552</v>
      </c>
      <c r="U264" s="68" t="s">
        <v>551</v>
      </c>
    </row>
  </sheetData>
  <autoFilter ref="A1:U259" xr:uid="{00000000-0001-0000-0000-000000000000}"/>
  <conditionalFormatting sqref="C1">
    <cfRule type="duplicateValues" dxfId="85" priority="85"/>
    <cfRule type="duplicateValues" dxfId="84" priority="84"/>
    <cfRule type="duplicateValues" dxfId="83" priority="82"/>
    <cfRule type="duplicateValues" dxfId="82" priority="81"/>
    <cfRule type="duplicateValues" dxfId="81" priority="79"/>
    <cfRule type="duplicateValues" dxfId="80" priority="83"/>
  </conditionalFormatting>
  <conditionalFormatting sqref="C1:C205 C244:C1048576">
    <cfRule type="duplicateValues" dxfId="79" priority="102"/>
    <cfRule type="duplicateValues" dxfId="78" priority="103"/>
  </conditionalFormatting>
  <conditionalFormatting sqref="C1:C212 C244:C1048576">
    <cfRule type="duplicateValues" dxfId="77" priority="110"/>
  </conditionalFormatting>
  <conditionalFormatting sqref="C1:C232 C244:C1048576">
    <cfRule type="duplicateValues" dxfId="76" priority="114"/>
  </conditionalFormatting>
  <conditionalFormatting sqref="C2:C15 C17:C31">
    <cfRule type="duplicateValues" dxfId="75" priority="60"/>
    <cfRule type="duplicateValues" dxfId="74" priority="59"/>
  </conditionalFormatting>
  <conditionalFormatting sqref="C2:C58">
    <cfRule type="duplicateValues" dxfId="73" priority="40"/>
    <cfRule type="duplicateValues" dxfId="72" priority="39"/>
  </conditionalFormatting>
  <conditionalFormatting sqref="C2:C70">
    <cfRule type="duplicateValues" dxfId="71" priority="37"/>
  </conditionalFormatting>
  <conditionalFormatting sqref="C8">
    <cfRule type="duplicateValues" dxfId="70" priority="57"/>
    <cfRule type="duplicateValues" dxfId="69" priority="58"/>
  </conditionalFormatting>
  <conditionalFormatting sqref="C9">
    <cfRule type="duplicateValues" dxfId="68" priority="56"/>
  </conditionalFormatting>
  <conditionalFormatting sqref="C10">
    <cfRule type="duplicateValues" dxfId="67" priority="55"/>
  </conditionalFormatting>
  <conditionalFormatting sqref="C12">
    <cfRule type="duplicateValues" dxfId="66" priority="54"/>
  </conditionalFormatting>
  <conditionalFormatting sqref="C15">
    <cfRule type="duplicateValues" dxfId="65" priority="53"/>
  </conditionalFormatting>
  <conditionalFormatting sqref="C16">
    <cfRule type="duplicateValues" dxfId="64" priority="45"/>
  </conditionalFormatting>
  <conditionalFormatting sqref="C20:C31">
    <cfRule type="duplicateValues" dxfId="63" priority="52"/>
  </conditionalFormatting>
  <conditionalFormatting sqref="C32">
    <cfRule type="duplicateValues" dxfId="62" priority="50"/>
  </conditionalFormatting>
  <conditionalFormatting sqref="C33:C37">
    <cfRule type="duplicateValues" dxfId="61" priority="49"/>
  </conditionalFormatting>
  <conditionalFormatting sqref="C39">
    <cfRule type="duplicateValues" dxfId="60" priority="47"/>
  </conditionalFormatting>
  <conditionalFormatting sqref="C40">
    <cfRule type="duplicateValues" dxfId="59" priority="46"/>
  </conditionalFormatting>
  <conditionalFormatting sqref="C47">
    <cfRule type="duplicateValues" dxfId="58" priority="43"/>
  </conditionalFormatting>
  <conditionalFormatting sqref="C59:C66">
    <cfRule type="duplicateValues" dxfId="57" priority="38"/>
  </conditionalFormatting>
  <conditionalFormatting sqref="C73">
    <cfRule type="duplicateValues" dxfId="56" priority="36"/>
  </conditionalFormatting>
  <conditionalFormatting sqref="C75">
    <cfRule type="duplicateValues" dxfId="55" priority="35"/>
  </conditionalFormatting>
  <conditionalFormatting sqref="C77">
    <cfRule type="duplicateValues" dxfId="54" priority="78"/>
  </conditionalFormatting>
  <conditionalFormatting sqref="C77:C109 C1">
    <cfRule type="duplicateValues" dxfId="53" priority="87"/>
  </conditionalFormatting>
  <conditionalFormatting sqref="C78">
    <cfRule type="duplicateValues" dxfId="52" priority="77"/>
  </conditionalFormatting>
  <conditionalFormatting sqref="C80:C81">
    <cfRule type="duplicateValues" dxfId="51" priority="76"/>
  </conditionalFormatting>
  <conditionalFormatting sqref="C85">
    <cfRule type="duplicateValues" dxfId="50" priority="75"/>
    <cfRule type="duplicateValues" dxfId="49" priority="74"/>
  </conditionalFormatting>
  <conditionalFormatting sqref="C92">
    <cfRule type="duplicateValues" dxfId="48" priority="73"/>
  </conditionalFormatting>
  <conditionalFormatting sqref="C93">
    <cfRule type="duplicateValues" dxfId="47" priority="72"/>
  </conditionalFormatting>
  <conditionalFormatting sqref="C98">
    <cfRule type="duplicateValues" dxfId="46" priority="70"/>
  </conditionalFormatting>
  <conditionalFormatting sqref="C101">
    <cfRule type="duplicateValues" dxfId="45" priority="69"/>
  </conditionalFormatting>
  <conditionalFormatting sqref="C102">
    <cfRule type="duplicateValues" dxfId="44" priority="68"/>
    <cfRule type="duplicateValues" dxfId="43" priority="67"/>
  </conditionalFormatting>
  <conditionalFormatting sqref="C103:C109">
    <cfRule type="duplicateValues" dxfId="42" priority="66"/>
  </conditionalFormatting>
  <conditionalFormatting sqref="C114">
    <cfRule type="duplicateValues" dxfId="41" priority="64"/>
  </conditionalFormatting>
  <conditionalFormatting sqref="C115">
    <cfRule type="duplicateValues" dxfId="40" priority="63"/>
  </conditionalFormatting>
  <conditionalFormatting sqref="C145">
    <cfRule type="duplicateValues" dxfId="39" priority="33"/>
    <cfRule type="duplicateValues" dxfId="38" priority="34"/>
  </conditionalFormatting>
  <conditionalFormatting sqref="C157:C160">
    <cfRule type="duplicateValues" dxfId="37" priority="93"/>
  </conditionalFormatting>
  <conditionalFormatting sqref="C161:C163">
    <cfRule type="duplicateValues" dxfId="36" priority="31"/>
  </conditionalFormatting>
  <conditionalFormatting sqref="C166">
    <cfRule type="duplicateValues" dxfId="35" priority="30"/>
    <cfRule type="duplicateValues" dxfId="34" priority="29"/>
  </conditionalFormatting>
  <conditionalFormatting sqref="C167">
    <cfRule type="duplicateValues" dxfId="33" priority="28"/>
    <cfRule type="duplicateValues" dxfId="32" priority="27"/>
  </conditionalFormatting>
  <conditionalFormatting sqref="C168">
    <cfRule type="duplicateValues" dxfId="31" priority="26"/>
  </conditionalFormatting>
  <conditionalFormatting sqref="C170">
    <cfRule type="duplicateValues" dxfId="30" priority="25"/>
  </conditionalFormatting>
  <conditionalFormatting sqref="C171">
    <cfRule type="duplicateValues" dxfId="29" priority="24"/>
  </conditionalFormatting>
  <conditionalFormatting sqref="C173">
    <cfRule type="duplicateValues" dxfId="28" priority="21"/>
    <cfRule type="duplicateValues" dxfId="27" priority="22"/>
  </conditionalFormatting>
  <conditionalFormatting sqref="C174">
    <cfRule type="duplicateValues" dxfId="26" priority="20"/>
  </conditionalFormatting>
  <conditionalFormatting sqref="C175">
    <cfRule type="duplicateValues" dxfId="25" priority="19"/>
  </conditionalFormatting>
  <conditionalFormatting sqref="C177">
    <cfRule type="duplicateValues" dxfId="24" priority="16"/>
  </conditionalFormatting>
  <conditionalFormatting sqref="C177:C178">
    <cfRule type="duplicateValues" dxfId="23" priority="17"/>
  </conditionalFormatting>
  <conditionalFormatting sqref="C179">
    <cfRule type="duplicateValues" dxfId="22" priority="15"/>
    <cfRule type="duplicateValues" dxfId="21" priority="14"/>
  </conditionalFormatting>
  <conditionalFormatting sqref="C206:C212">
    <cfRule type="duplicateValues" dxfId="20" priority="7"/>
  </conditionalFormatting>
  <conditionalFormatting sqref="C207">
    <cfRule type="duplicateValues" dxfId="19" priority="9"/>
    <cfRule type="duplicateValues" dxfId="18" priority="8"/>
  </conditionalFormatting>
  <conditionalFormatting sqref="C208">
    <cfRule type="duplicateValues" dxfId="17" priority="10"/>
    <cfRule type="duplicateValues" dxfId="16" priority="11"/>
  </conditionalFormatting>
  <conditionalFormatting sqref="C218:C223">
    <cfRule type="duplicateValues" dxfId="15" priority="5"/>
  </conditionalFormatting>
  <conditionalFormatting sqref="C225:C232">
    <cfRule type="duplicateValues" dxfId="14" priority="4"/>
  </conditionalFormatting>
  <conditionalFormatting sqref="C233:C243">
    <cfRule type="duplicateValues" dxfId="13" priority="1"/>
  </conditionalFormatting>
  <conditionalFormatting sqref="E1">
    <cfRule type="duplicateValues" dxfId="12" priority="80"/>
    <cfRule type="duplicateValues" dxfId="11" priority="86"/>
  </conditionalFormatting>
  <conditionalFormatting sqref="E2:E15 E17:E31">
    <cfRule type="duplicateValues" dxfId="10" priority="62"/>
  </conditionalFormatting>
  <conditionalFormatting sqref="E16">
    <cfRule type="duplicateValues" dxfId="9" priority="44"/>
  </conditionalFormatting>
  <conditionalFormatting sqref="E20:E31">
    <cfRule type="duplicateValues" dxfId="8" priority="51"/>
  </conditionalFormatting>
  <conditionalFormatting sqref="E33">
    <cfRule type="duplicateValues" dxfId="7" priority="48"/>
  </conditionalFormatting>
  <conditionalFormatting sqref="E47">
    <cfRule type="duplicateValues" dxfId="6" priority="42"/>
  </conditionalFormatting>
  <conditionalFormatting sqref="E53">
    <cfRule type="duplicateValues" dxfId="5" priority="41"/>
  </conditionalFormatting>
  <conditionalFormatting sqref="E58">
    <cfRule type="duplicateValues" dxfId="4" priority="61"/>
  </conditionalFormatting>
  <conditionalFormatting sqref="E77:E97 E1">
    <cfRule type="duplicateValues" dxfId="3" priority="89"/>
  </conditionalFormatting>
  <conditionalFormatting sqref="E172">
    <cfRule type="duplicateValues" dxfId="2" priority="23"/>
  </conditionalFormatting>
  <conditionalFormatting sqref="E175">
    <cfRule type="duplicateValues" dxfId="1" priority="18"/>
  </conditionalFormatting>
  <conditionalFormatting sqref="E243">
    <cfRule type="duplicateValues" dxfId="0" priority="2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2026-04-10T19:54:34Z</dcterms:modified>
</cp:coreProperties>
</file>