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754" documentId="8_{96B9E37B-5941-46BA-AA97-B18EA540EAA4}" xr6:coauthVersionLast="47" xr6:coauthVersionMax="47" xr10:uidLastSave="{D75B285E-1600-4B0B-8575-D44C5BD0CFD1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4" i="1" l="1"/>
  <c r="J384" i="1"/>
  <c r="Q384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S363" i="1"/>
  <c r="S364" i="1"/>
  <c r="S365" i="1"/>
  <c r="S366" i="1"/>
  <c r="S367" i="1"/>
  <c r="S368" i="1"/>
  <c r="S369" i="1"/>
  <c r="S370" i="1"/>
  <c r="J363" i="1"/>
  <c r="J364" i="1"/>
  <c r="J365" i="1"/>
  <c r="J366" i="1"/>
  <c r="J367" i="1"/>
  <c r="J368" i="1"/>
  <c r="J369" i="1"/>
  <c r="J370" i="1"/>
  <c r="J362" i="1"/>
  <c r="S362" i="1"/>
  <c r="Q362" i="1"/>
  <c r="S360" i="1"/>
  <c r="S361" i="1"/>
  <c r="J360" i="1"/>
  <c r="J361" i="1"/>
  <c r="Q361" i="1"/>
  <c r="Q360" i="1"/>
  <c r="S358" i="1"/>
  <c r="S359" i="1"/>
  <c r="J358" i="1"/>
  <c r="J359" i="1"/>
  <c r="Q359" i="1"/>
  <c r="Q358" i="1"/>
  <c r="S356" i="1"/>
  <c r="S357" i="1"/>
  <c r="J356" i="1"/>
  <c r="J357" i="1"/>
  <c r="J349" i="1"/>
  <c r="J350" i="1"/>
  <c r="J351" i="1"/>
  <c r="J352" i="1"/>
  <c r="J353" i="1"/>
  <c r="J354" i="1"/>
  <c r="J355" i="1"/>
  <c r="S349" i="1"/>
  <c r="S350" i="1"/>
  <c r="S351" i="1"/>
  <c r="S352" i="1"/>
  <c r="S353" i="1"/>
  <c r="S354" i="1"/>
  <c r="S355" i="1"/>
  <c r="Q355" i="1"/>
  <c r="Q354" i="1"/>
  <c r="Q353" i="1"/>
  <c r="Q352" i="1"/>
  <c r="Q351" i="1"/>
  <c r="Q350" i="1"/>
  <c r="Q349" i="1"/>
  <c r="J348" i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<sst xmlns="http://schemas.openxmlformats.org/spreadsheetml/2006/main" count="4130" uniqueCount="764">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</sst>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2" xfId="0" applyNumberFormat="1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1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384"/>
  <sheetViews>
    <sheetView tabSelected="1" topLeftCell="H378" workbookViewId="0">
      <selection activeCell="Q378" sqref="Q1:Q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hidden="1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hidden="1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hidden="1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hidden="1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hidden="1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hidden="1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hidden="1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hidden="1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hidden="1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hidden="1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hidden="1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hidden="1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hidden="1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hidden="1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hidden="1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hidden="1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hidden="1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hidden="1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hidden="1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hidden="1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hidden="1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hidden="1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hidden="1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hidden="1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hidden="1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hidden="1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hidden="1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hidden="1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hidden="1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hidden="1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hidden="1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hidden="1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hidden="1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hidden="1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hidden="1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hidden="1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hidden="1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hidden="1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hidden="1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hidden="1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hidden="1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hidden="1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hidden="1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hidden="1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hidden="1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hidden="1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hidden="1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hidden="1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hidden="1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hidden="1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hidden="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hidden="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hidden="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hidden="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hidden="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hidden="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hidden="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hidden="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hidden="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hidden="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hidden="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hidden="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hidden="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hidden="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hidden="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hidden="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hidden="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hidden="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hidden="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hidden="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hidden="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hidden="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hidden="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hidden="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hidden="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hidden="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hidden="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hidden="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hidden="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hidden="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hidden="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hidden="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hidden="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hidden="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hidden="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hidden="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hidden="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hidden="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hidden="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hidden="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hidden="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hidden="1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hidden="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hidden="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hidden="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hidden="1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hidden="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hidden="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hidden="1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hidden="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hidden="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hidden="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hidden="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hidden="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hidden="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hidden="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hidden="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hidden="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hidden="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hidden="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hidden="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hidden="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hidden="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hidden="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hidden="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hidden="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hidden="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hidden="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hidden="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hidden="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hidden="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hidden="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hidden="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hidden="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hidden="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hidden="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hidden="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hidden="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hidden="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hidden="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hidden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hidden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hidden="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hidden="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hidden="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hidden="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hidden="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hidden="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hidden="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hidden="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hidden="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hidden="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hidden="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hidden="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hidden="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hidden="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hidden="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hidden="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hidden="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hidden="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hidden="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hidden="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hidden="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hidden="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hidden="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hidden="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hidden="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hidden="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hidden="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hidden="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hidden="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hidden="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hidden="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hidden="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hidden="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hidden="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hidden="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hidden="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hidden="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hidden="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hidden="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hidden="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hidden="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hidden="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hidden="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hidden="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hidden="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hidden="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hidden="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hidden="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hidden="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hidden="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hidden="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hidden="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hidden="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hidden="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hidden="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hidden="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hidden="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hidden="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hidden="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hidden="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hidden="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hidden="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hidden="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hidden="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hidden="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hidden="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hidden="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hidden="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hidden="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hidden="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hidden="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hidden="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hidden="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hidden="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hidden="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hidden="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hidden="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hidden="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hidden="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hidden="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hidden="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hidden="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hidden="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hidden="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hidden="1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hidden="1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hidden="1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hidden="1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hidden="1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hidden="1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hidden="1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hidden="1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hidden="1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hidden="1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hidden="1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hidden="1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hidden="1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hidden="1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hidden="1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hidden="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hidden="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hidden="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hidden="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hidden="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hidden="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hidden="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hidden="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hidden="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hidden="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hidden="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hidden="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hidden="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hidden="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hidden="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hidden="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hidden="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hidden="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hidden="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hidden="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hidden="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hidden="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hidden="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hidden="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hidden="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hidden="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hidden="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hidden="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hidden="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hidden="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hidden="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hidden="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hidden="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hidden="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hidden="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hidden="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hidden="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hidden="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hidden="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hidden="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hidden="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hidden="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hidden="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hidden="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hidden="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hidden="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hidden="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hidden="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hidden="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hidden="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hidden="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hidden="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hidden="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hidden="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hidden="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hidden="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hidden="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hidden="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hidden="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hidden="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hidden="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hidden="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hidden="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hidden="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hidden="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hidden="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hidden="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hidden="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hidden="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hidden="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hidden="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hidden="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hidden="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hidden="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hidden="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hidden="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hidden="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hidden="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hidden="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hidden="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hidden="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hidden="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hidden="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hidden="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hidden="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hidden="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hidden="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hidden="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hidden="1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hidden="1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hidden="1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hidden="1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hidden="1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hidden="1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hidden="1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hidden="1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hidden="1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84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84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 t="shared" ref="Q344:Q355" si="33"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 t="shared" si="33"/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 t="shared" si="33"/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 t="shared" si="33"/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 t="shared" si="33"/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  <row r="349" spans="1:23" x14ac:dyDescent="0.35">
      <c r="A349" s="6" t="s">
        <v>700</v>
      </c>
      <c r="B349" s="3" t="s">
        <v>19</v>
      </c>
      <c r="C349" s="6">
        <v>61363241</v>
      </c>
      <c r="D349" s="5" t="s">
        <v>50</v>
      </c>
      <c r="E349" s="6" t="s">
        <v>701</v>
      </c>
      <c r="F349" s="6" t="s">
        <v>22</v>
      </c>
      <c r="G349" s="5" t="s">
        <v>23</v>
      </c>
      <c r="H349" s="8">
        <v>46122</v>
      </c>
      <c r="I349" s="8">
        <v>46153</v>
      </c>
      <c r="J349" s="16">
        <f t="shared" si="29"/>
        <v>22</v>
      </c>
      <c r="K349" s="17" t="s">
        <v>303</v>
      </c>
      <c r="L349" s="5" t="s">
        <v>304</v>
      </c>
      <c r="M349" s="5" t="s">
        <v>48</v>
      </c>
      <c r="N349" s="5" t="s">
        <v>105</v>
      </c>
      <c r="O349" s="41">
        <v>0</v>
      </c>
      <c r="P349" s="41">
        <v>0</v>
      </c>
      <c r="Q349" s="33">
        <f t="shared" si="33"/>
        <v>0</v>
      </c>
      <c r="R349" s="7">
        <v>46153</v>
      </c>
      <c r="S349" s="16">
        <f t="shared" si="30"/>
        <v>22</v>
      </c>
      <c r="T349" s="5" t="s">
        <v>702</v>
      </c>
      <c r="U349" s="5" t="s">
        <v>551</v>
      </c>
    </row>
    <row r="350" spans="1:23" x14ac:dyDescent="0.35">
      <c r="A350" s="3" t="s">
        <v>703</v>
      </c>
      <c r="B350" s="3" t="s">
        <v>19</v>
      </c>
      <c r="C350" s="54">
        <v>62840921</v>
      </c>
      <c r="D350" s="5" t="s">
        <v>704</v>
      </c>
      <c r="E350" s="6" t="s">
        <v>705</v>
      </c>
      <c r="F350" s="6" t="s">
        <v>47</v>
      </c>
      <c r="G350" s="5" t="s">
        <v>23</v>
      </c>
      <c r="H350" s="8">
        <v>46148</v>
      </c>
      <c r="I350" s="8">
        <v>46150</v>
      </c>
      <c r="J350" s="16">
        <f t="shared" si="29"/>
        <v>3</v>
      </c>
      <c r="K350" s="17" t="s">
        <v>303</v>
      </c>
      <c r="L350" s="5" t="s">
        <v>304</v>
      </c>
      <c r="M350" s="5" t="s">
        <v>24</v>
      </c>
      <c r="N350" s="5" t="s">
        <v>706</v>
      </c>
      <c r="O350" s="41">
        <v>0</v>
      </c>
      <c r="P350" s="41">
        <v>0</v>
      </c>
      <c r="Q350" s="33">
        <f t="shared" si="33"/>
        <v>0</v>
      </c>
      <c r="R350" s="7">
        <v>46153</v>
      </c>
      <c r="S350" s="16">
        <f t="shared" si="30"/>
        <v>4</v>
      </c>
      <c r="T350" s="5" t="s">
        <v>702</v>
      </c>
      <c r="U350" s="5" t="s">
        <v>563</v>
      </c>
    </row>
    <row r="351" spans="1:23" x14ac:dyDescent="0.35">
      <c r="A351" s="14" t="s">
        <v>707</v>
      </c>
      <c r="B351" s="6" t="s">
        <v>19</v>
      </c>
      <c r="C351" s="6">
        <v>62742919</v>
      </c>
      <c r="D351" s="6" t="s">
        <v>20</v>
      </c>
      <c r="E351" s="6" t="s">
        <v>708</v>
      </c>
      <c r="F351" s="6" t="s">
        <v>22</v>
      </c>
      <c r="G351" s="6" t="s">
        <v>23</v>
      </c>
      <c r="H351" s="8">
        <v>46147</v>
      </c>
      <c r="I351" s="8">
        <v>46153</v>
      </c>
      <c r="J351" s="16">
        <f t="shared" si="29"/>
        <v>5</v>
      </c>
      <c r="K351" s="17" t="s">
        <v>303</v>
      </c>
      <c r="L351" s="5" t="s">
        <v>304</v>
      </c>
      <c r="M351" s="5" t="s">
        <v>24</v>
      </c>
      <c r="N351" s="6" t="s">
        <v>29</v>
      </c>
      <c r="O351" s="12">
        <v>0</v>
      </c>
      <c r="P351" s="12">
        <v>670000</v>
      </c>
      <c r="Q351" s="33">
        <f t="shared" si="33"/>
        <v>670000</v>
      </c>
      <c r="R351" s="7">
        <v>46153</v>
      </c>
      <c r="S351" s="16">
        <f t="shared" si="30"/>
        <v>5</v>
      </c>
      <c r="T351" s="5" t="s">
        <v>702</v>
      </c>
      <c r="U351" s="5" t="s">
        <v>551</v>
      </c>
    </row>
    <row r="352" spans="1:23" x14ac:dyDescent="0.35">
      <c r="A352" s="14" t="s">
        <v>143</v>
      </c>
      <c r="B352" s="6" t="s">
        <v>44</v>
      </c>
      <c r="C352" s="6">
        <v>57651441</v>
      </c>
      <c r="D352" s="6" t="s">
        <v>365</v>
      </c>
      <c r="E352" s="6" t="s">
        <v>709</v>
      </c>
      <c r="F352" s="6" t="s">
        <v>47</v>
      </c>
      <c r="G352" s="6" t="s">
        <v>23</v>
      </c>
      <c r="H352" s="8">
        <v>46055</v>
      </c>
      <c r="I352" s="8">
        <v>46154</v>
      </c>
      <c r="J352" s="16">
        <f t="shared" si="29"/>
        <v>72</v>
      </c>
      <c r="K352" s="17" t="s">
        <v>303</v>
      </c>
      <c r="L352" s="5" t="s">
        <v>310</v>
      </c>
      <c r="M352" s="5" t="s">
        <v>24</v>
      </c>
      <c r="N352" s="6" t="s">
        <v>64</v>
      </c>
      <c r="O352" s="12">
        <v>1635147</v>
      </c>
      <c r="P352" s="12">
        <v>270000</v>
      </c>
      <c r="Q352" s="33">
        <f t="shared" si="33"/>
        <v>1905147</v>
      </c>
      <c r="R352" s="43">
        <v>46154</v>
      </c>
      <c r="S352" s="16">
        <f t="shared" si="30"/>
        <v>72</v>
      </c>
      <c r="T352" s="5" t="s">
        <v>702</v>
      </c>
      <c r="U352" s="5" t="s">
        <v>551</v>
      </c>
    </row>
    <row r="353" spans="1:21" x14ac:dyDescent="0.35">
      <c r="A353" s="1" t="s">
        <v>685</v>
      </c>
      <c r="B353" s="1" t="s">
        <v>31</v>
      </c>
      <c r="C353" s="1">
        <v>62415793</v>
      </c>
      <c r="D353" s="5" t="s">
        <v>36</v>
      </c>
      <c r="E353" s="1">
        <v>2720310777</v>
      </c>
      <c r="F353" s="6" t="s">
        <v>33</v>
      </c>
      <c r="G353" s="5" t="s">
        <v>23</v>
      </c>
      <c r="H353" s="7">
        <v>46140</v>
      </c>
      <c r="I353" s="7">
        <v>46147</v>
      </c>
      <c r="J353" s="16">
        <f t="shared" si="29"/>
        <v>6</v>
      </c>
      <c r="K353" s="17" t="s">
        <v>303</v>
      </c>
      <c r="L353" s="5" t="s">
        <v>304</v>
      </c>
      <c r="M353" s="5" t="s">
        <v>48</v>
      </c>
      <c r="N353" s="5" t="s">
        <v>57</v>
      </c>
      <c r="O353" s="1">
        <v>228000</v>
      </c>
      <c r="P353" s="1">
        <v>0</v>
      </c>
      <c r="Q353" s="33">
        <f t="shared" si="33"/>
        <v>228000</v>
      </c>
      <c r="R353" s="43">
        <v>46154</v>
      </c>
      <c r="S353" s="16">
        <f t="shared" si="30"/>
        <v>11</v>
      </c>
      <c r="T353" s="5" t="s">
        <v>702</v>
      </c>
      <c r="U353" s="5" t="s">
        <v>551</v>
      </c>
    </row>
    <row r="354" spans="1:21" x14ac:dyDescent="0.35">
      <c r="A354" s="1" t="s">
        <v>710</v>
      </c>
      <c r="B354" s="6" t="s">
        <v>31</v>
      </c>
      <c r="C354" s="1">
        <v>62416938</v>
      </c>
      <c r="D354" s="6" t="s">
        <v>36</v>
      </c>
      <c r="E354" s="1">
        <v>2720208110</v>
      </c>
      <c r="F354" s="6" t="s">
        <v>33</v>
      </c>
      <c r="G354" s="6" t="s">
        <v>23</v>
      </c>
      <c r="H354" s="8">
        <v>46140</v>
      </c>
      <c r="I354" s="7">
        <v>46147</v>
      </c>
      <c r="J354" s="16">
        <f t="shared" si="29"/>
        <v>6</v>
      </c>
      <c r="K354" s="17" t="s">
        <v>303</v>
      </c>
      <c r="L354" s="5" t="s">
        <v>304</v>
      </c>
      <c r="M354" s="5" t="s">
        <v>48</v>
      </c>
      <c r="N354" s="6" t="s">
        <v>34</v>
      </c>
      <c r="O354" s="33">
        <v>60000</v>
      </c>
      <c r="P354" s="33">
        <v>0</v>
      </c>
      <c r="Q354" s="33">
        <f t="shared" si="33"/>
        <v>60000</v>
      </c>
      <c r="R354" s="43">
        <v>46154</v>
      </c>
      <c r="S354" s="16">
        <f t="shared" si="30"/>
        <v>11</v>
      </c>
      <c r="T354" s="5" t="s">
        <v>702</v>
      </c>
      <c r="U354" s="5" t="s">
        <v>551</v>
      </c>
    </row>
    <row r="355" spans="1:21" x14ac:dyDescent="0.35">
      <c r="A355" s="1" t="s">
        <v>710</v>
      </c>
      <c r="B355" s="6" t="s">
        <v>31</v>
      </c>
      <c r="C355" s="1">
        <v>62417396</v>
      </c>
      <c r="D355" s="6" t="s">
        <v>36</v>
      </c>
      <c r="E355" s="1">
        <v>2720312270</v>
      </c>
      <c r="F355" s="6" t="s">
        <v>33</v>
      </c>
      <c r="G355" s="6" t="s">
        <v>23</v>
      </c>
      <c r="H355" s="8">
        <v>46140</v>
      </c>
      <c r="I355" s="7">
        <v>46147</v>
      </c>
      <c r="J355" s="16">
        <f t="shared" si="29"/>
        <v>6</v>
      </c>
      <c r="K355" s="17" t="s">
        <v>303</v>
      </c>
      <c r="L355" s="5" t="s">
        <v>304</v>
      </c>
      <c r="M355" s="5" t="s">
        <v>48</v>
      </c>
      <c r="N355" s="6" t="s">
        <v>57</v>
      </c>
      <c r="O355" s="12">
        <v>108000</v>
      </c>
      <c r="P355" s="12">
        <v>0</v>
      </c>
      <c r="Q355" s="33">
        <f t="shared" si="33"/>
        <v>108000</v>
      </c>
      <c r="R355" s="43">
        <v>46154</v>
      </c>
      <c r="S355" s="16">
        <f t="shared" si="30"/>
        <v>11</v>
      </c>
      <c r="T355" s="5" t="s">
        <v>702</v>
      </c>
      <c r="U355" s="5" t="s">
        <v>551</v>
      </c>
    </row>
    <row r="356" spans="1:21" x14ac:dyDescent="0.35">
      <c r="A356" s="6" t="s">
        <v>711</v>
      </c>
      <c r="B356" s="55" t="s">
        <v>19</v>
      </c>
      <c r="C356" s="55">
        <v>62852675</v>
      </c>
      <c r="D356" s="55" t="s">
        <v>20</v>
      </c>
      <c r="E356" s="55" t="s">
        <v>712</v>
      </c>
      <c r="F356" s="55" t="s">
        <v>47</v>
      </c>
      <c r="G356" s="55" t="s">
        <v>23</v>
      </c>
      <c r="H356" s="56">
        <v>46148</v>
      </c>
      <c r="I356" s="56">
        <v>46153</v>
      </c>
      <c r="J356" s="16">
        <f t="shared" si="29"/>
        <v>4</v>
      </c>
      <c r="K356" s="6" t="s">
        <v>303</v>
      </c>
      <c r="L356" s="6" t="s">
        <v>304</v>
      </c>
      <c r="M356" s="6" t="s">
        <v>24</v>
      </c>
      <c r="N356" s="6" t="s">
        <v>29</v>
      </c>
      <c r="O356" s="6">
        <v>1416000</v>
      </c>
      <c r="P356" s="6">
        <v>0</v>
      </c>
      <c r="Q356" s="12">
        <v>1416000</v>
      </c>
      <c r="R356" s="8">
        <v>46155</v>
      </c>
      <c r="S356" s="16">
        <f t="shared" si="30"/>
        <v>6</v>
      </c>
      <c r="T356" s="6" t="s">
        <v>702</v>
      </c>
      <c r="U356" s="6" t="s">
        <v>551</v>
      </c>
    </row>
    <row r="357" spans="1:21" x14ac:dyDescent="0.35">
      <c r="A357" s="6" t="s">
        <v>707</v>
      </c>
      <c r="B357" s="55" t="s">
        <v>19</v>
      </c>
      <c r="C357" s="55">
        <v>62746621</v>
      </c>
      <c r="D357" s="55" t="s">
        <v>446</v>
      </c>
      <c r="E357" s="55" t="s">
        <v>713</v>
      </c>
      <c r="F357" s="55" t="s">
        <v>47</v>
      </c>
      <c r="G357" s="55" t="s">
        <v>23</v>
      </c>
      <c r="H357" s="56">
        <v>46147</v>
      </c>
      <c r="I357" s="56">
        <v>46154</v>
      </c>
      <c r="J357" s="16">
        <f t="shared" si="29"/>
        <v>6</v>
      </c>
      <c r="K357" s="6" t="s">
        <v>303</v>
      </c>
      <c r="L357" s="6" t="s">
        <v>304</v>
      </c>
      <c r="M357" s="6" t="s">
        <v>24</v>
      </c>
      <c r="N357" s="6" t="s">
        <v>29</v>
      </c>
      <c r="O357" s="6">
        <v>0</v>
      </c>
      <c r="P357" s="6">
        <v>670000</v>
      </c>
      <c r="Q357" s="12">
        <v>670000</v>
      </c>
      <c r="R357" s="8">
        <v>46155</v>
      </c>
      <c r="S357" s="16">
        <f t="shared" si="30"/>
        <v>7</v>
      </c>
      <c r="T357" s="6" t="s">
        <v>702</v>
      </c>
      <c r="U357" s="6" t="s">
        <v>551</v>
      </c>
    </row>
    <row r="358" spans="1:21" x14ac:dyDescent="0.35">
      <c r="A358" s="6" t="s">
        <v>714</v>
      </c>
      <c r="B358" s="6" t="s">
        <v>19</v>
      </c>
      <c r="C358" s="6">
        <v>60026486</v>
      </c>
      <c r="D358" s="6" t="s">
        <v>124</v>
      </c>
      <c r="E358" s="6" t="s">
        <v>715</v>
      </c>
      <c r="F358" s="6" t="s">
        <v>196</v>
      </c>
      <c r="G358" s="6" t="s">
        <v>38</v>
      </c>
      <c r="H358" s="10">
        <v>46098</v>
      </c>
      <c r="I358" s="8">
        <v>46140</v>
      </c>
      <c r="J358" s="16">
        <f t="shared" si="29"/>
        <v>31</v>
      </c>
      <c r="K358" s="17" t="s">
        <v>303</v>
      </c>
      <c r="L358" s="5" t="s">
        <v>304</v>
      </c>
      <c r="M358" s="5" t="s">
        <v>24</v>
      </c>
      <c r="N358" s="6" t="s">
        <v>54</v>
      </c>
      <c r="O358" s="12">
        <v>0</v>
      </c>
      <c r="P358" s="12">
        <v>0</v>
      </c>
      <c r="Q358" s="33">
        <f>P358+O358</f>
        <v>0</v>
      </c>
      <c r="R358" s="7">
        <v>46158</v>
      </c>
      <c r="S358" s="16">
        <f t="shared" si="30"/>
        <v>44</v>
      </c>
      <c r="T358" s="5" t="s">
        <v>702</v>
      </c>
      <c r="U358" s="6" t="s">
        <v>625</v>
      </c>
    </row>
    <row r="359" spans="1:21" x14ac:dyDescent="0.35">
      <c r="A359" s="6" t="s">
        <v>172</v>
      </c>
      <c r="B359" s="6" t="s">
        <v>19</v>
      </c>
      <c r="C359" s="6">
        <v>57706849</v>
      </c>
      <c r="D359" s="6" t="s">
        <v>36</v>
      </c>
      <c r="E359" s="6" t="s">
        <v>716</v>
      </c>
      <c r="F359" s="6" t="s">
        <v>22</v>
      </c>
      <c r="G359" s="6" t="s">
        <v>38</v>
      </c>
      <c r="H359" s="8">
        <v>46056</v>
      </c>
      <c r="I359" s="8">
        <v>46155</v>
      </c>
      <c r="J359" s="16">
        <f t="shared" si="29"/>
        <v>72</v>
      </c>
      <c r="K359" s="17" t="s">
        <v>353</v>
      </c>
      <c r="L359" s="5" t="s">
        <v>668</v>
      </c>
      <c r="M359" s="5" t="s">
        <v>24</v>
      </c>
      <c r="N359" s="6" t="s">
        <v>29</v>
      </c>
      <c r="O359" s="33">
        <v>0</v>
      </c>
      <c r="P359" s="33">
        <v>0</v>
      </c>
      <c r="Q359" s="33">
        <f>P359+O359</f>
        <v>0</v>
      </c>
      <c r="R359" s="7">
        <v>46158</v>
      </c>
      <c r="S359" s="16">
        <f t="shared" si="30"/>
        <v>74</v>
      </c>
      <c r="T359" s="5" t="s">
        <v>702</v>
      </c>
      <c r="U359" s="5" t="s">
        <v>551</v>
      </c>
    </row>
    <row r="360" spans="1:21" x14ac:dyDescent="0.35">
      <c r="A360" s="1" t="s">
        <v>717</v>
      </c>
      <c r="B360" s="5" t="s">
        <v>87</v>
      </c>
      <c r="C360" s="1">
        <v>62546484</v>
      </c>
      <c r="D360" s="5" t="s">
        <v>20</v>
      </c>
      <c r="E360" s="6">
        <v>2722224600</v>
      </c>
      <c r="F360" s="6" t="s">
        <v>33</v>
      </c>
      <c r="G360" s="5" t="s">
        <v>23</v>
      </c>
      <c r="H360" s="7">
        <v>46142</v>
      </c>
      <c r="I360" s="7">
        <v>46154</v>
      </c>
      <c r="J360" s="16">
        <f t="shared" si="29"/>
        <v>9</v>
      </c>
      <c r="K360" s="17" t="s">
        <v>303</v>
      </c>
      <c r="L360" s="5" t="s">
        <v>304</v>
      </c>
      <c r="M360" s="5" t="s">
        <v>24</v>
      </c>
      <c r="N360" s="5" t="s">
        <v>84</v>
      </c>
      <c r="O360" s="9">
        <v>1000000</v>
      </c>
      <c r="P360" s="1">
        <v>231750</v>
      </c>
      <c r="Q360" s="57">
        <f t="shared" ref="Q360:Q361" si="34">P360+O360</f>
        <v>1231750</v>
      </c>
      <c r="R360" s="7">
        <v>46160</v>
      </c>
      <c r="S360" s="16">
        <f t="shared" si="30"/>
        <v>13</v>
      </c>
      <c r="T360" s="5" t="s">
        <v>718</v>
      </c>
      <c r="U360" s="5" t="s">
        <v>551</v>
      </c>
    </row>
    <row r="361" spans="1:21" x14ac:dyDescent="0.35">
      <c r="A361" s="1" t="s">
        <v>719</v>
      </c>
      <c r="B361" s="5" t="s">
        <v>31</v>
      </c>
      <c r="C361" s="1">
        <v>61702838</v>
      </c>
      <c r="D361" s="5" t="s">
        <v>720</v>
      </c>
      <c r="E361" s="6">
        <v>2734710371</v>
      </c>
      <c r="F361" s="6" t="s">
        <v>33</v>
      </c>
      <c r="G361" s="5" t="s">
        <v>23</v>
      </c>
      <c r="H361" s="7">
        <v>46128</v>
      </c>
      <c r="I361" s="7">
        <v>46154</v>
      </c>
      <c r="J361" s="16">
        <f t="shared" si="29"/>
        <v>19</v>
      </c>
      <c r="K361" s="17" t="s">
        <v>303</v>
      </c>
      <c r="L361" s="5" t="s">
        <v>304</v>
      </c>
      <c r="M361" s="5" t="s">
        <v>24</v>
      </c>
      <c r="N361" s="5" t="s">
        <v>34</v>
      </c>
      <c r="O361" s="9">
        <v>150000</v>
      </c>
      <c r="P361" s="9">
        <v>40000</v>
      </c>
      <c r="Q361" s="58">
        <f t="shared" si="34"/>
        <v>190000</v>
      </c>
      <c r="R361" s="7">
        <v>46160</v>
      </c>
      <c r="S361" s="16">
        <f t="shared" si="30"/>
        <v>23</v>
      </c>
      <c r="T361" s="5" t="s">
        <v>718</v>
      </c>
      <c r="U361" s="5" t="s">
        <v>551</v>
      </c>
    </row>
    <row r="362" spans="1:21" x14ac:dyDescent="0.35">
      <c r="A362" s="6" t="s">
        <v>721</v>
      </c>
      <c r="B362" s="6" t="s">
        <v>19</v>
      </c>
      <c r="C362" s="6">
        <v>62241651</v>
      </c>
      <c r="D362" s="6" t="s">
        <v>36</v>
      </c>
      <c r="E362" s="6" t="s">
        <v>722</v>
      </c>
      <c r="F362" s="6" t="s">
        <v>22</v>
      </c>
      <c r="G362" s="6" t="s">
        <v>23</v>
      </c>
      <c r="H362" s="8">
        <v>46137</v>
      </c>
      <c r="I362" s="8">
        <v>46157</v>
      </c>
      <c r="J362" s="16">
        <f t="shared" si="29"/>
        <v>15</v>
      </c>
      <c r="K362" s="17" t="s">
        <v>303</v>
      </c>
      <c r="L362" s="5" t="s">
        <v>304</v>
      </c>
      <c r="M362" s="59" t="s">
        <v>24</v>
      </c>
      <c r="N362" s="55" t="s">
        <v>39</v>
      </c>
      <c r="O362" s="60">
        <v>500000</v>
      </c>
      <c r="P362" s="60">
        <v>943235</v>
      </c>
      <c r="Q362" s="58">
        <f>P362+O362</f>
        <v>1443235</v>
      </c>
      <c r="R362" s="61">
        <v>46160</v>
      </c>
      <c r="S362" s="16">
        <f t="shared" si="30"/>
        <v>16</v>
      </c>
      <c r="T362" s="5" t="s">
        <v>718</v>
      </c>
      <c r="U362" s="5" t="s">
        <v>551</v>
      </c>
    </row>
    <row r="363" spans="1:21" x14ac:dyDescent="0.35">
      <c r="A363" s="6" t="s">
        <v>723</v>
      </c>
      <c r="B363" s="55" t="s">
        <v>44</v>
      </c>
      <c r="C363" s="55">
        <v>62544794</v>
      </c>
      <c r="D363" s="55" t="s">
        <v>724</v>
      </c>
      <c r="E363" s="55" t="s">
        <v>725</v>
      </c>
      <c r="F363" s="55" t="s">
        <v>22</v>
      </c>
      <c r="G363" s="55" t="s">
        <v>23</v>
      </c>
      <c r="H363" s="56">
        <v>46142</v>
      </c>
      <c r="I363" s="56">
        <v>46160</v>
      </c>
      <c r="J363" s="16">
        <f t="shared" si="29"/>
        <v>13</v>
      </c>
      <c r="K363" s="55" t="s">
        <v>303</v>
      </c>
      <c r="L363" s="55" t="s">
        <v>304</v>
      </c>
      <c r="M363" s="55" t="s">
        <v>24</v>
      </c>
      <c r="N363" s="55" t="s">
        <v>49</v>
      </c>
      <c r="O363" s="55">
        <v>500000</v>
      </c>
      <c r="P363" s="55">
        <v>250000</v>
      </c>
      <c r="Q363" s="60">
        <v>750000</v>
      </c>
      <c r="R363" s="56">
        <v>46160</v>
      </c>
      <c r="S363" s="16">
        <f t="shared" si="30"/>
        <v>13</v>
      </c>
      <c r="T363" s="55" t="s">
        <v>718</v>
      </c>
      <c r="U363" s="55" t="s">
        <v>551</v>
      </c>
    </row>
    <row r="364" spans="1:21" x14ac:dyDescent="0.35">
      <c r="A364" s="6" t="s">
        <v>726</v>
      </c>
      <c r="B364" s="55" t="s">
        <v>31</v>
      </c>
      <c r="C364" s="55">
        <v>61700587</v>
      </c>
      <c r="D364" s="55" t="s">
        <v>529</v>
      </c>
      <c r="E364" s="55">
        <v>2722419000</v>
      </c>
      <c r="F364" s="55" t="s">
        <v>33</v>
      </c>
      <c r="G364" s="55" t="s">
        <v>23</v>
      </c>
      <c r="H364" s="56">
        <v>46128</v>
      </c>
      <c r="I364" s="56">
        <v>46160</v>
      </c>
      <c r="J364" s="16">
        <f t="shared" si="29"/>
        <v>23</v>
      </c>
      <c r="K364" s="55" t="s">
        <v>303</v>
      </c>
      <c r="L364" s="55" t="s">
        <v>304</v>
      </c>
      <c r="M364" s="55" t="s">
        <v>24</v>
      </c>
      <c r="N364" s="55" t="s">
        <v>34</v>
      </c>
      <c r="O364" s="55">
        <v>150000</v>
      </c>
      <c r="P364" s="55">
        <v>40000</v>
      </c>
      <c r="Q364" s="60">
        <v>190000</v>
      </c>
      <c r="R364" s="56">
        <v>46160</v>
      </c>
      <c r="S364" s="16">
        <f t="shared" si="30"/>
        <v>23</v>
      </c>
      <c r="T364" s="55" t="s">
        <v>718</v>
      </c>
      <c r="U364" s="55" t="s">
        <v>551</v>
      </c>
    </row>
    <row r="365" spans="1:21" x14ac:dyDescent="0.35">
      <c r="A365" s="6" t="s">
        <v>727</v>
      </c>
      <c r="B365" s="55" t="s">
        <v>31</v>
      </c>
      <c r="C365" s="55">
        <v>62249046</v>
      </c>
      <c r="D365" s="55" t="s">
        <v>20</v>
      </c>
      <c r="E365" s="55">
        <v>2722560065</v>
      </c>
      <c r="F365" s="55" t="s">
        <v>33</v>
      </c>
      <c r="G365" s="55" t="s">
        <v>23</v>
      </c>
      <c r="H365" s="56">
        <v>46137</v>
      </c>
      <c r="I365" s="56">
        <v>46160</v>
      </c>
      <c r="J365" s="16">
        <f t="shared" si="29"/>
        <v>16</v>
      </c>
      <c r="K365" s="55" t="s">
        <v>303</v>
      </c>
      <c r="L365" s="55" t="s">
        <v>304</v>
      </c>
      <c r="M365" s="55" t="s">
        <v>24</v>
      </c>
      <c r="N365" s="55" t="s">
        <v>34</v>
      </c>
      <c r="O365" s="55">
        <v>150000</v>
      </c>
      <c r="P365" s="55">
        <v>40000</v>
      </c>
      <c r="Q365" s="60">
        <v>190000</v>
      </c>
      <c r="R365" s="56">
        <v>46160</v>
      </c>
      <c r="S365" s="16">
        <f t="shared" si="30"/>
        <v>16</v>
      </c>
      <c r="T365" s="55" t="s">
        <v>718</v>
      </c>
      <c r="U365" s="55" t="s">
        <v>551</v>
      </c>
    </row>
    <row r="366" spans="1:21" x14ac:dyDescent="0.35">
      <c r="A366" s="6" t="s">
        <v>728</v>
      </c>
      <c r="B366" s="55" t="s">
        <v>31</v>
      </c>
      <c r="C366" s="55">
        <v>59480507</v>
      </c>
      <c r="D366" s="55" t="s">
        <v>729</v>
      </c>
      <c r="E366" s="55">
        <v>2721712020</v>
      </c>
      <c r="F366" s="55" t="s">
        <v>33</v>
      </c>
      <c r="G366" s="55" t="s">
        <v>23</v>
      </c>
      <c r="H366" s="56">
        <v>46087</v>
      </c>
      <c r="I366" s="56">
        <v>46160</v>
      </c>
      <c r="J366" s="16">
        <f t="shared" si="29"/>
        <v>52</v>
      </c>
      <c r="K366" s="55" t="s">
        <v>303</v>
      </c>
      <c r="L366" s="55" t="s">
        <v>327</v>
      </c>
      <c r="M366" s="55" t="s">
        <v>24</v>
      </c>
      <c r="N366" s="55" t="s">
        <v>34</v>
      </c>
      <c r="O366" s="55">
        <v>150000</v>
      </c>
      <c r="P366" s="55">
        <v>40000</v>
      </c>
      <c r="Q366" s="60">
        <v>190000</v>
      </c>
      <c r="R366" s="56">
        <v>46160</v>
      </c>
      <c r="S366" s="16">
        <f t="shared" si="30"/>
        <v>52</v>
      </c>
      <c r="T366" s="55" t="s">
        <v>718</v>
      </c>
      <c r="U366" s="55" t="s">
        <v>551</v>
      </c>
    </row>
    <row r="367" spans="1:21" x14ac:dyDescent="0.35">
      <c r="A367" s="6" t="s">
        <v>559</v>
      </c>
      <c r="B367" s="55" t="s">
        <v>19</v>
      </c>
      <c r="C367" s="55">
        <v>60356605</v>
      </c>
      <c r="D367" s="55" t="s">
        <v>730</v>
      </c>
      <c r="E367" s="55" t="s">
        <v>731</v>
      </c>
      <c r="F367" s="55" t="s">
        <v>22</v>
      </c>
      <c r="G367" s="55" t="s">
        <v>23</v>
      </c>
      <c r="H367" s="56">
        <v>46104</v>
      </c>
      <c r="I367" s="56">
        <v>46160</v>
      </c>
      <c r="J367" s="16">
        <f t="shared" si="29"/>
        <v>41</v>
      </c>
      <c r="K367" s="55" t="s">
        <v>303</v>
      </c>
      <c r="L367" s="55" t="s">
        <v>327</v>
      </c>
      <c r="M367" s="55" t="s">
        <v>24</v>
      </c>
      <c r="N367" s="55" t="s">
        <v>54</v>
      </c>
      <c r="O367" s="55">
        <v>1000000</v>
      </c>
      <c r="P367" s="55">
        <v>460000</v>
      </c>
      <c r="Q367" s="60">
        <v>1460000</v>
      </c>
      <c r="R367" s="56">
        <v>46161</v>
      </c>
      <c r="S367" s="16">
        <f t="shared" si="30"/>
        <v>42</v>
      </c>
      <c r="T367" s="55" t="s">
        <v>718</v>
      </c>
      <c r="U367" s="55" t="s">
        <v>551</v>
      </c>
    </row>
    <row r="368" spans="1:21" x14ac:dyDescent="0.35">
      <c r="A368" s="6" t="s">
        <v>707</v>
      </c>
      <c r="B368" s="55" t="s">
        <v>44</v>
      </c>
      <c r="C368" s="55">
        <v>62748443</v>
      </c>
      <c r="D368" s="55" t="s">
        <v>20</v>
      </c>
      <c r="E368" s="55" t="s">
        <v>732</v>
      </c>
      <c r="F368" s="55" t="s">
        <v>47</v>
      </c>
      <c r="G368" s="55" t="s">
        <v>23</v>
      </c>
      <c r="H368" s="56">
        <v>46147</v>
      </c>
      <c r="I368" s="56">
        <v>46160</v>
      </c>
      <c r="J368" s="16">
        <f t="shared" si="29"/>
        <v>10</v>
      </c>
      <c r="K368" s="55" t="s">
        <v>303</v>
      </c>
      <c r="L368" s="55" t="s">
        <v>304</v>
      </c>
      <c r="M368" s="55" t="s">
        <v>24</v>
      </c>
      <c r="N368" s="55" t="s">
        <v>29</v>
      </c>
      <c r="O368" s="55">
        <v>0</v>
      </c>
      <c r="P368" s="55">
        <v>500000</v>
      </c>
      <c r="Q368" s="60">
        <v>500000</v>
      </c>
      <c r="R368" s="56">
        <v>46161</v>
      </c>
      <c r="S368" s="16">
        <f t="shared" si="30"/>
        <v>11</v>
      </c>
      <c r="T368" s="55" t="s">
        <v>718</v>
      </c>
      <c r="U368" s="55" t="s">
        <v>551</v>
      </c>
    </row>
    <row r="369" spans="1:21" x14ac:dyDescent="0.35">
      <c r="A369" s="6" t="s">
        <v>733</v>
      </c>
      <c r="B369" s="55" t="s">
        <v>19</v>
      </c>
      <c r="C369" s="55">
        <v>63302106</v>
      </c>
      <c r="D369" s="55" t="s">
        <v>202</v>
      </c>
      <c r="E369" s="55" t="s">
        <v>734</v>
      </c>
      <c r="F369" s="55" t="s">
        <v>47</v>
      </c>
      <c r="G369" s="55" t="s">
        <v>23</v>
      </c>
      <c r="H369" s="56">
        <v>46157</v>
      </c>
      <c r="I369" s="56">
        <v>46161</v>
      </c>
      <c r="J369" s="16">
        <f t="shared" si="29"/>
        <v>3</v>
      </c>
      <c r="K369" s="55" t="s">
        <v>303</v>
      </c>
      <c r="L369" s="55" t="s">
        <v>304</v>
      </c>
      <c r="M369" s="55" t="s">
        <v>157</v>
      </c>
      <c r="N369" s="55" t="s">
        <v>39</v>
      </c>
      <c r="O369" s="55">
        <v>946305</v>
      </c>
      <c r="P369" s="55">
        <v>0</v>
      </c>
      <c r="Q369" s="60">
        <v>946305</v>
      </c>
      <c r="R369" s="56">
        <v>46162</v>
      </c>
      <c r="S369" s="16">
        <f t="shared" si="30"/>
        <v>4</v>
      </c>
      <c r="T369" s="55" t="s">
        <v>718</v>
      </c>
      <c r="U369" s="55" t="s">
        <v>551</v>
      </c>
    </row>
    <row r="370" spans="1:21" x14ac:dyDescent="0.35">
      <c r="A370" s="6" t="s">
        <v>733</v>
      </c>
      <c r="B370" s="55" t="s">
        <v>19</v>
      </c>
      <c r="C370" s="55">
        <v>63303380</v>
      </c>
      <c r="D370" s="55" t="s">
        <v>202</v>
      </c>
      <c r="E370" s="55" t="s">
        <v>735</v>
      </c>
      <c r="F370" s="55" t="s">
        <v>47</v>
      </c>
      <c r="G370" s="55" t="s">
        <v>23</v>
      </c>
      <c r="H370" s="56">
        <v>46157</v>
      </c>
      <c r="I370" s="56">
        <v>46161</v>
      </c>
      <c r="J370" s="16">
        <f t="shared" si="29"/>
        <v>3</v>
      </c>
      <c r="K370" s="55" t="s">
        <v>303</v>
      </c>
      <c r="L370" s="55" t="s">
        <v>304</v>
      </c>
      <c r="M370" s="55" t="s">
        <v>157</v>
      </c>
      <c r="N370" s="55" t="s">
        <v>148</v>
      </c>
      <c r="O370" s="55">
        <v>4053290</v>
      </c>
      <c r="P370" s="55">
        <v>0</v>
      </c>
      <c r="Q370" s="60">
        <v>4053290</v>
      </c>
      <c r="R370" s="56">
        <v>46162</v>
      </c>
      <c r="S370" s="16">
        <f t="shared" si="30"/>
        <v>4</v>
      </c>
      <c r="T370" s="55" t="s">
        <v>718</v>
      </c>
      <c r="U370" s="55" t="s">
        <v>551</v>
      </c>
    </row>
    <row r="371" spans="1:21" x14ac:dyDescent="0.35">
      <c r="A371" s="1" t="s">
        <v>736</v>
      </c>
      <c r="B371" s="5" t="s">
        <v>87</v>
      </c>
      <c r="C371" s="1">
        <v>61240462</v>
      </c>
      <c r="D371" s="5" t="s">
        <v>737</v>
      </c>
      <c r="E371" s="1" t="s">
        <v>738</v>
      </c>
      <c r="F371" s="6" t="s">
        <v>33</v>
      </c>
      <c r="G371" s="5" t="s">
        <v>38</v>
      </c>
      <c r="H371" s="8">
        <v>46120</v>
      </c>
      <c r="I371" s="7">
        <v>46162</v>
      </c>
      <c r="J371" s="16">
        <f t="shared" si="29"/>
        <v>31</v>
      </c>
      <c r="K371" s="6" t="s">
        <v>303</v>
      </c>
      <c r="L371" s="6" t="s">
        <v>310</v>
      </c>
      <c r="M371" s="6" t="s">
        <v>24</v>
      </c>
      <c r="N371" s="6" t="s">
        <v>84</v>
      </c>
      <c r="O371" s="6">
        <v>0</v>
      </c>
      <c r="P371" s="6">
        <v>0</v>
      </c>
      <c r="Q371" s="12">
        <v>0</v>
      </c>
      <c r="R371" s="8">
        <v>46162</v>
      </c>
      <c r="S371" s="16">
        <f t="shared" si="30"/>
        <v>31</v>
      </c>
      <c r="T371" s="6" t="s">
        <v>718</v>
      </c>
      <c r="U371" s="6" t="s">
        <v>625</v>
      </c>
    </row>
    <row r="372" spans="1:21" x14ac:dyDescent="0.35">
      <c r="A372" s="1" t="s">
        <v>739</v>
      </c>
      <c r="B372" s="5" t="s">
        <v>31</v>
      </c>
      <c r="C372" s="1">
        <v>62715782</v>
      </c>
      <c r="D372" s="5" t="s">
        <v>740</v>
      </c>
      <c r="E372" s="1">
        <v>2722520200</v>
      </c>
      <c r="F372" s="6" t="s">
        <v>33</v>
      </c>
      <c r="G372" s="5" t="s">
        <v>23</v>
      </c>
      <c r="H372" s="8">
        <v>46146</v>
      </c>
      <c r="I372" s="7">
        <v>46162</v>
      </c>
      <c r="J372" s="16">
        <f t="shared" si="29"/>
        <v>13</v>
      </c>
      <c r="K372" s="6" t="s">
        <v>303</v>
      </c>
      <c r="L372" s="6" t="s">
        <v>304</v>
      </c>
      <c r="M372" s="6" t="s">
        <v>24</v>
      </c>
      <c r="N372" s="6" t="s">
        <v>34</v>
      </c>
      <c r="O372" s="6">
        <v>150000</v>
      </c>
      <c r="P372" s="6">
        <v>40000</v>
      </c>
      <c r="Q372" s="12">
        <v>190000</v>
      </c>
      <c r="R372" s="8">
        <v>46162</v>
      </c>
      <c r="S372" s="16">
        <f t="shared" si="30"/>
        <v>13</v>
      </c>
      <c r="T372" s="6" t="s">
        <v>718</v>
      </c>
      <c r="U372" s="6" t="s">
        <v>551</v>
      </c>
    </row>
    <row r="373" spans="1:21" x14ac:dyDescent="0.35">
      <c r="A373" s="6" t="s">
        <v>741</v>
      </c>
      <c r="B373" s="6" t="s">
        <v>19</v>
      </c>
      <c r="C373" s="1">
        <v>62243628</v>
      </c>
      <c r="D373" s="6" t="s">
        <v>101</v>
      </c>
      <c r="E373" s="6" t="s">
        <v>742</v>
      </c>
      <c r="F373" s="6" t="s">
        <v>22</v>
      </c>
      <c r="G373" s="6" t="s">
        <v>23</v>
      </c>
      <c r="H373" s="8">
        <v>46137</v>
      </c>
      <c r="I373" s="8">
        <v>46163</v>
      </c>
      <c r="J373" s="16">
        <f t="shared" si="29"/>
        <v>19</v>
      </c>
      <c r="K373" s="6" t="s">
        <v>303</v>
      </c>
      <c r="L373" s="6" t="s">
        <v>304</v>
      </c>
      <c r="M373" s="6" t="s">
        <v>24</v>
      </c>
      <c r="N373" s="6" t="s">
        <v>39</v>
      </c>
      <c r="O373" s="6">
        <v>500000</v>
      </c>
      <c r="P373" s="6">
        <v>850000</v>
      </c>
      <c r="Q373" s="12">
        <v>1350000</v>
      </c>
      <c r="R373" s="8">
        <v>46163</v>
      </c>
      <c r="S373" s="16">
        <f t="shared" si="30"/>
        <v>19</v>
      </c>
      <c r="T373" s="6" t="s">
        <v>718</v>
      </c>
      <c r="U373" s="6" t="s">
        <v>551</v>
      </c>
    </row>
    <row r="374" spans="1:21" x14ac:dyDescent="0.35">
      <c r="A374" s="6" t="s">
        <v>743</v>
      </c>
      <c r="B374" s="5" t="s">
        <v>19</v>
      </c>
      <c r="C374" s="19" t="s">
        <v>744</v>
      </c>
      <c r="D374" s="5" t="s">
        <v>20</v>
      </c>
      <c r="E374" s="6" t="s">
        <v>745</v>
      </c>
      <c r="F374" s="5" t="s">
        <v>47</v>
      </c>
      <c r="G374" s="5" t="s">
        <v>23</v>
      </c>
      <c r="H374" s="8">
        <v>46150</v>
      </c>
      <c r="I374" s="7">
        <v>46160</v>
      </c>
      <c r="J374" s="16">
        <f t="shared" si="29"/>
        <v>7</v>
      </c>
      <c r="K374" s="6" t="s">
        <v>303</v>
      </c>
      <c r="L374" s="6" t="s">
        <v>304</v>
      </c>
      <c r="M374" s="6" t="s">
        <v>157</v>
      </c>
      <c r="N374" s="6" t="s">
        <v>39</v>
      </c>
      <c r="O374" s="6">
        <v>2881416</v>
      </c>
      <c r="P374" s="6">
        <v>0</v>
      </c>
      <c r="Q374" s="12">
        <v>2881416</v>
      </c>
      <c r="R374" s="8">
        <v>46163</v>
      </c>
      <c r="S374" s="16">
        <f t="shared" si="30"/>
        <v>10</v>
      </c>
      <c r="T374" s="6" t="s">
        <v>718</v>
      </c>
      <c r="U374" s="6" t="s">
        <v>551</v>
      </c>
    </row>
    <row r="375" spans="1:21" x14ac:dyDescent="0.35">
      <c r="A375" s="6" t="s">
        <v>746</v>
      </c>
      <c r="B375" s="5" t="s">
        <v>19</v>
      </c>
      <c r="C375" s="6">
        <v>59684312</v>
      </c>
      <c r="D375" s="5" t="s">
        <v>68</v>
      </c>
      <c r="E375" s="6" t="s">
        <v>747</v>
      </c>
      <c r="F375" s="5" t="s">
        <v>22</v>
      </c>
      <c r="G375" s="6" t="s">
        <v>23</v>
      </c>
      <c r="H375" s="8">
        <v>46098</v>
      </c>
      <c r="I375" s="8">
        <v>46162</v>
      </c>
      <c r="J375" s="16">
        <f t="shared" si="29"/>
        <v>47</v>
      </c>
      <c r="K375" s="6" t="s">
        <v>303</v>
      </c>
      <c r="L375" s="6" t="s">
        <v>304</v>
      </c>
      <c r="M375" s="6" t="s">
        <v>24</v>
      </c>
      <c r="N375" s="6" t="s">
        <v>105</v>
      </c>
      <c r="O375" s="6">
        <v>0</v>
      </c>
      <c r="P375" s="6">
        <v>0</v>
      </c>
      <c r="Q375" s="12">
        <v>0</v>
      </c>
      <c r="R375" s="8">
        <v>46163</v>
      </c>
      <c r="S375" s="16">
        <f t="shared" si="30"/>
        <v>48</v>
      </c>
      <c r="T375" s="6" t="s">
        <v>718</v>
      </c>
      <c r="U375" s="6" t="s">
        <v>563</v>
      </c>
    </row>
    <row r="376" spans="1:21" ht="24.5" x14ac:dyDescent="0.35">
      <c r="A376" s="21" t="s">
        <v>748</v>
      </c>
      <c r="B376" s="5" t="s">
        <v>19</v>
      </c>
      <c r="C376" s="6">
        <v>62014200</v>
      </c>
      <c r="D376" s="5" t="s">
        <v>20</v>
      </c>
      <c r="E376" s="6" t="s">
        <v>749</v>
      </c>
      <c r="F376" s="5" t="s">
        <v>22</v>
      </c>
      <c r="G376" s="5" t="s">
        <v>23</v>
      </c>
      <c r="H376" s="8">
        <v>46133</v>
      </c>
      <c r="I376" s="8">
        <v>46162</v>
      </c>
      <c r="J376" s="16">
        <f t="shared" si="29"/>
        <v>22</v>
      </c>
      <c r="K376" s="6" t="s">
        <v>303</v>
      </c>
      <c r="L376" s="6" t="s">
        <v>304</v>
      </c>
      <c r="M376" s="6" t="s">
        <v>157</v>
      </c>
      <c r="N376" s="6" t="s">
        <v>94</v>
      </c>
      <c r="O376" s="6">
        <v>0</v>
      </c>
      <c r="P376" s="6">
        <v>0</v>
      </c>
      <c r="Q376" s="12">
        <v>0</v>
      </c>
      <c r="R376" s="8">
        <v>46163</v>
      </c>
      <c r="S376" s="16">
        <f t="shared" si="30"/>
        <v>23</v>
      </c>
      <c r="T376" s="6" t="s">
        <v>718</v>
      </c>
      <c r="U376" s="6" t="s">
        <v>551</v>
      </c>
    </row>
    <row r="377" spans="1:21" x14ac:dyDescent="0.35">
      <c r="A377" s="6" t="s">
        <v>750</v>
      </c>
      <c r="B377" s="5" t="s">
        <v>19</v>
      </c>
      <c r="C377" s="6">
        <v>63143165</v>
      </c>
      <c r="D377" s="5" t="s">
        <v>50</v>
      </c>
      <c r="E377" s="6" t="s">
        <v>751</v>
      </c>
      <c r="F377" s="5" t="s">
        <v>47</v>
      </c>
      <c r="G377" s="5" t="s">
        <v>23</v>
      </c>
      <c r="H377" s="10">
        <v>46154</v>
      </c>
      <c r="I377" s="8">
        <v>46161</v>
      </c>
      <c r="J377" s="16">
        <f t="shared" si="29"/>
        <v>6</v>
      </c>
      <c r="K377" s="6" t="s">
        <v>303</v>
      </c>
      <c r="L377" s="6" t="s">
        <v>304</v>
      </c>
      <c r="M377" s="6" t="s">
        <v>157</v>
      </c>
      <c r="N377" s="6" t="s">
        <v>148</v>
      </c>
      <c r="O377" s="6">
        <v>7837678</v>
      </c>
      <c r="P377" s="6">
        <v>0</v>
      </c>
      <c r="Q377" s="12">
        <v>7837678</v>
      </c>
      <c r="R377" s="8">
        <v>46163</v>
      </c>
      <c r="S377" s="16">
        <f t="shared" si="30"/>
        <v>8</v>
      </c>
      <c r="T377" s="6" t="s">
        <v>718</v>
      </c>
      <c r="U377" s="6" t="s">
        <v>551</v>
      </c>
    </row>
    <row r="378" spans="1:21" x14ac:dyDescent="0.35">
      <c r="A378" s="6" t="s">
        <v>752</v>
      </c>
      <c r="B378" s="5" t="s">
        <v>19</v>
      </c>
      <c r="C378" s="6">
        <v>63518049</v>
      </c>
      <c r="D378" s="5" t="s">
        <v>202</v>
      </c>
      <c r="E378" s="6" t="s">
        <v>753</v>
      </c>
      <c r="F378" s="5" t="s">
        <v>47</v>
      </c>
      <c r="G378" s="5" t="s">
        <v>23</v>
      </c>
      <c r="H378" s="8">
        <v>46161</v>
      </c>
      <c r="I378" s="8">
        <v>46163</v>
      </c>
      <c r="J378" s="16">
        <f t="shared" si="29"/>
        <v>3</v>
      </c>
      <c r="K378" s="6" t="s">
        <v>303</v>
      </c>
      <c r="L378" s="6" t="s">
        <v>304</v>
      </c>
      <c r="M378" s="6" t="s">
        <v>157</v>
      </c>
      <c r="N378" s="6" t="s">
        <v>29</v>
      </c>
      <c r="O378" s="6">
        <v>1100000</v>
      </c>
      <c r="P378" s="6">
        <v>0</v>
      </c>
      <c r="Q378" s="12">
        <v>1100000</v>
      </c>
      <c r="R378" s="8">
        <v>46163</v>
      </c>
      <c r="S378" s="16">
        <f t="shared" si="30"/>
        <v>3</v>
      </c>
      <c r="T378" s="6" t="s">
        <v>718</v>
      </c>
      <c r="U378" s="6" t="s">
        <v>551</v>
      </c>
    </row>
    <row r="379" spans="1:21" x14ac:dyDescent="0.35">
      <c r="A379" s="6" t="s">
        <v>752</v>
      </c>
      <c r="B379" s="5" t="s">
        <v>19</v>
      </c>
      <c r="C379" s="6">
        <v>63518010</v>
      </c>
      <c r="D379" s="5" t="s">
        <v>202</v>
      </c>
      <c r="E379" s="6" t="s">
        <v>754</v>
      </c>
      <c r="F379" s="5" t="s">
        <v>47</v>
      </c>
      <c r="G379" s="5" t="s">
        <v>23</v>
      </c>
      <c r="H379" s="8">
        <v>46161</v>
      </c>
      <c r="I379" s="8">
        <v>46163</v>
      </c>
      <c r="J379" s="16">
        <f t="shared" si="29"/>
        <v>3</v>
      </c>
      <c r="K379" s="6" t="s">
        <v>303</v>
      </c>
      <c r="L379" s="6" t="s">
        <v>304</v>
      </c>
      <c r="M379" s="6" t="s">
        <v>157</v>
      </c>
      <c r="N379" s="6" t="s">
        <v>29</v>
      </c>
      <c r="O379" s="6">
        <v>1100000</v>
      </c>
      <c r="P379" s="6">
        <v>0</v>
      </c>
      <c r="Q379" s="12">
        <v>1100000</v>
      </c>
      <c r="R379" s="8">
        <v>46163</v>
      </c>
      <c r="S379" s="16">
        <f t="shared" si="30"/>
        <v>3</v>
      </c>
      <c r="T379" s="6" t="s">
        <v>718</v>
      </c>
      <c r="U379" s="6" t="s">
        <v>551</v>
      </c>
    </row>
    <row r="380" spans="1:21" x14ac:dyDescent="0.35">
      <c r="A380" s="1" t="s">
        <v>755</v>
      </c>
      <c r="B380" s="5" t="s">
        <v>31</v>
      </c>
      <c r="C380" s="1">
        <v>60874276</v>
      </c>
      <c r="D380" s="5" t="s">
        <v>20</v>
      </c>
      <c r="E380" s="1">
        <v>2722229530</v>
      </c>
      <c r="F380" s="6" t="s">
        <v>33</v>
      </c>
      <c r="G380" s="5" t="s">
        <v>23</v>
      </c>
      <c r="H380" s="7">
        <v>46113</v>
      </c>
      <c r="I380" s="8">
        <v>46163</v>
      </c>
      <c r="J380" s="16">
        <f t="shared" si="29"/>
        <v>37</v>
      </c>
      <c r="K380" s="6" t="s">
        <v>303</v>
      </c>
      <c r="L380" s="6" t="s">
        <v>304</v>
      </c>
      <c r="M380" s="6" t="s">
        <v>48</v>
      </c>
      <c r="N380" s="6" t="s">
        <v>34</v>
      </c>
      <c r="O380" s="6">
        <v>60000</v>
      </c>
      <c r="P380" s="6">
        <v>0</v>
      </c>
      <c r="Q380" s="12">
        <v>60000</v>
      </c>
      <c r="R380" s="8">
        <v>46163</v>
      </c>
      <c r="S380" s="16">
        <f t="shared" si="30"/>
        <v>37</v>
      </c>
      <c r="T380" s="6" t="s">
        <v>718</v>
      </c>
      <c r="U380" s="6" t="s">
        <v>551</v>
      </c>
    </row>
    <row r="381" spans="1:21" x14ac:dyDescent="0.35">
      <c r="A381" s="6" t="s">
        <v>756</v>
      </c>
      <c r="B381" s="6" t="s">
        <v>44</v>
      </c>
      <c r="C381" s="6">
        <v>62170297</v>
      </c>
      <c r="D381" s="6" t="s">
        <v>757</v>
      </c>
      <c r="E381" s="6" t="s">
        <v>758</v>
      </c>
      <c r="F381" s="6" t="s">
        <v>22</v>
      </c>
      <c r="G381" s="6" t="s">
        <v>23</v>
      </c>
      <c r="H381" s="8">
        <v>46136</v>
      </c>
      <c r="I381" s="8">
        <v>46163</v>
      </c>
      <c r="J381" s="16">
        <f t="shared" si="29"/>
        <v>20</v>
      </c>
      <c r="K381" s="6" t="s">
        <v>303</v>
      </c>
      <c r="L381" s="6" t="s">
        <v>304</v>
      </c>
      <c r="M381" s="6" t="s">
        <v>24</v>
      </c>
      <c r="N381" s="6" t="s">
        <v>29</v>
      </c>
      <c r="O381" s="6">
        <v>1500000</v>
      </c>
      <c r="P381" s="6">
        <v>456057</v>
      </c>
      <c r="Q381" s="12">
        <v>1956057</v>
      </c>
      <c r="R381" s="8">
        <v>46164</v>
      </c>
      <c r="S381" s="16">
        <f t="shared" si="30"/>
        <v>21</v>
      </c>
      <c r="T381" s="6" t="s">
        <v>718</v>
      </c>
      <c r="U381" s="6" t="s">
        <v>551</v>
      </c>
    </row>
    <row r="382" spans="1:21" ht="24" x14ac:dyDescent="0.35">
      <c r="A382" s="14" t="s">
        <v>344</v>
      </c>
      <c r="B382" s="14" t="s">
        <v>44</v>
      </c>
      <c r="C382" s="6">
        <v>58896886</v>
      </c>
      <c r="D382" s="5" t="s">
        <v>759</v>
      </c>
      <c r="E382" s="6" t="s">
        <v>760</v>
      </c>
      <c r="F382" s="5" t="s">
        <v>47</v>
      </c>
      <c r="G382" s="5" t="s">
        <v>23</v>
      </c>
      <c r="H382" s="8">
        <v>46079</v>
      </c>
      <c r="I382" s="8">
        <v>46163</v>
      </c>
      <c r="J382" s="16">
        <f t="shared" si="29"/>
        <v>61</v>
      </c>
      <c r="K382" s="6" t="s">
        <v>303</v>
      </c>
      <c r="L382" s="6" t="s">
        <v>304</v>
      </c>
      <c r="M382" s="6" t="s">
        <v>24</v>
      </c>
      <c r="N382" s="6" t="s">
        <v>84</v>
      </c>
      <c r="O382" s="6">
        <v>2000000</v>
      </c>
      <c r="P382" s="6">
        <v>0</v>
      </c>
      <c r="Q382" s="12">
        <v>2000000</v>
      </c>
      <c r="R382" s="8">
        <v>46164</v>
      </c>
      <c r="S382" s="16">
        <f t="shared" si="30"/>
        <v>62</v>
      </c>
      <c r="T382" s="6" t="s">
        <v>718</v>
      </c>
      <c r="U382" s="6" t="s">
        <v>551</v>
      </c>
    </row>
    <row r="383" spans="1:21" x14ac:dyDescent="0.35">
      <c r="A383" s="6" t="s">
        <v>43</v>
      </c>
      <c r="B383" s="6" t="s">
        <v>44</v>
      </c>
      <c r="C383" s="6">
        <v>58797846</v>
      </c>
      <c r="D383" s="6" t="s">
        <v>50</v>
      </c>
      <c r="E383" s="6" t="s">
        <v>761</v>
      </c>
      <c r="F383" s="6" t="s">
        <v>22</v>
      </c>
      <c r="G383" s="6" t="s">
        <v>23</v>
      </c>
      <c r="H383" s="8">
        <v>46076</v>
      </c>
      <c r="I383" s="8">
        <v>46164</v>
      </c>
      <c r="J383" s="16">
        <f t="shared" si="29"/>
        <v>65</v>
      </c>
      <c r="K383" s="6" t="s">
        <v>303</v>
      </c>
      <c r="L383" s="6" t="s">
        <v>327</v>
      </c>
      <c r="M383" s="6" t="s">
        <v>24</v>
      </c>
      <c r="N383" s="6" t="s">
        <v>49</v>
      </c>
      <c r="O383" s="6">
        <v>2000000</v>
      </c>
      <c r="P383" s="6">
        <v>462000</v>
      </c>
      <c r="Q383" s="12">
        <v>2462000</v>
      </c>
      <c r="R383" s="8">
        <v>46164</v>
      </c>
      <c r="S383" s="16">
        <f t="shared" si="30"/>
        <v>65</v>
      </c>
      <c r="T383" s="6" t="s">
        <v>718</v>
      </c>
      <c r="U383" s="6" t="s">
        <v>551</v>
      </c>
    </row>
    <row r="384" spans="1:21" x14ac:dyDescent="0.35">
      <c r="A384" s="6" t="s">
        <v>762</v>
      </c>
      <c r="B384" s="6" t="s">
        <v>19</v>
      </c>
      <c r="C384" s="6">
        <v>61828334</v>
      </c>
      <c r="D384" s="6" t="s">
        <v>329</v>
      </c>
      <c r="E384" s="6" t="s">
        <v>763</v>
      </c>
      <c r="F384" s="6" t="s">
        <v>22</v>
      </c>
      <c r="G384" s="6" t="s">
        <v>23</v>
      </c>
      <c r="H384" s="8">
        <v>46130</v>
      </c>
      <c r="I384" s="8">
        <v>46162</v>
      </c>
      <c r="J384" s="16">
        <f t="shared" si="29"/>
        <v>23</v>
      </c>
      <c r="K384" s="17" t="s">
        <v>303</v>
      </c>
      <c r="L384" s="5" t="s">
        <v>310</v>
      </c>
      <c r="M384" s="5" t="s">
        <v>24</v>
      </c>
      <c r="N384" s="42" t="s">
        <v>29</v>
      </c>
      <c r="O384" s="12">
        <v>1000000</v>
      </c>
      <c r="P384" s="12">
        <v>678945</v>
      </c>
      <c r="Q384" s="33">
        <f>P384+O384</f>
        <v>1678945</v>
      </c>
      <c r="R384" s="7">
        <v>46164</v>
      </c>
      <c r="S384" s="16">
        <f t="shared" si="30"/>
        <v>25</v>
      </c>
      <c r="T384" s="5" t="s">
        <v>718</v>
      </c>
      <c r="U384" s="5" t="s">
        <v>551</v>
      </c>
    </row>
  </sheetData>
  <autoFilter ref="A1:U384" xr:uid="{00000000-0001-0000-0000-000000000000}">
    <filterColumn colId="17">
      <filters>
        <dateGroupItem year="2026" month="5" dateTimeGrouping="month"/>
      </filters>
    </filterColumn>
  </autoFilter>
  <conditionalFormatting sqref="C1">
    <cfRule type="duplicateValues" dxfId="92" priority="86"/>
    <cfRule type="duplicateValues" dxfId="91" priority="88"/>
    <cfRule type="duplicateValues" dxfId="90" priority="89"/>
    <cfRule type="duplicateValues" dxfId="89" priority="90"/>
    <cfRule type="duplicateValues" dxfId="88" priority="91"/>
    <cfRule type="duplicateValues" dxfId="87" priority="92"/>
  </conditionalFormatting>
  <conditionalFormatting sqref="C1:C205 C244:C287 C304:C329 C356:C357 C363:C370 C385:C1048576">
    <cfRule type="duplicateValues" dxfId="86" priority="180"/>
    <cfRule type="duplicateValues" dxfId="85" priority="181"/>
  </conditionalFormatting>
  <conditionalFormatting sqref="C1:C212 C244:C287 C304:C329 C356:C357 C363:C370 C385:C1048576">
    <cfRule type="duplicateValues" dxfId="84" priority="190"/>
  </conditionalFormatting>
  <conditionalFormatting sqref="C1:C232 C244:C287 C304:C329 C356:C357 C363:C370 C385:C1048576">
    <cfRule type="duplicateValues" dxfId="83" priority="195"/>
  </conditionalFormatting>
  <conditionalFormatting sqref="C1:C294 C304:C329 C356:C357 C363:C370 C385:C1048576">
    <cfRule type="duplicateValues" dxfId="82" priority="200"/>
  </conditionalFormatting>
  <conditionalFormatting sqref="C1:C295 C304:C329 C356:C357 C363:C370 C385:C1048576">
    <cfRule type="duplicateValues" dxfId="81" priority="176"/>
  </conditionalFormatting>
  <conditionalFormatting sqref="C1:C370 C385:C1048576">
    <cfRule type="duplicateValues" dxfId="80" priority="4"/>
  </conditionalFormatting>
  <conditionalFormatting sqref="C2:C15 C17:C31">
    <cfRule type="duplicateValues" dxfId="79" priority="66"/>
    <cfRule type="duplicateValues" dxfId="78" priority="67"/>
  </conditionalFormatting>
  <conditionalFormatting sqref="C2:C58">
    <cfRule type="duplicateValues" dxfId="77" priority="46"/>
    <cfRule type="duplicateValues" dxfId="76" priority="47"/>
  </conditionalFormatting>
  <conditionalFormatting sqref="C2:C70">
    <cfRule type="duplicateValues" dxfId="75" priority="44"/>
  </conditionalFormatting>
  <conditionalFormatting sqref="C8">
    <cfRule type="duplicateValues" dxfId="74" priority="64"/>
    <cfRule type="duplicateValues" dxfId="73" priority="65"/>
  </conditionalFormatting>
  <conditionalFormatting sqref="C9">
    <cfRule type="duplicateValues" dxfId="72" priority="63"/>
  </conditionalFormatting>
  <conditionalFormatting sqref="C10">
    <cfRule type="duplicateValues" dxfId="71" priority="62"/>
  </conditionalFormatting>
  <conditionalFormatting sqref="C12">
    <cfRule type="duplicateValues" dxfId="70" priority="61"/>
  </conditionalFormatting>
  <conditionalFormatting sqref="C15">
    <cfRule type="duplicateValues" dxfId="69" priority="60"/>
  </conditionalFormatting>
  <conditionalFormatting sqref="C16">
    <cfRule type="duplicateValues" dxfId="68" priority="52"/>
  </conditionalFormatting>
  <conditionalFormatting sqref="C20:C31">
    <cfRule type="duplicateValues" dxfId="67" priority="59"/>
  </conditionalFormatting>
  <conditionalFormatting sqref="C32">
    <cfRule type="duplicateValues" dxfId="66" priority="57"/>
  </conditionalFormatting>
  <conditionalFormatting sqref="C33:C37">
    <cfRule type="duplicateValues" dxfId="65" priority="56"/>
  </conditionalFormatting>
  <conditionalFormatting sqref="C39">
    <cfRule type="duplicateValues" dxfId="64" priority="54"/>
  </conditionalFormatting>
  <conditionalFormatting sqref="C40">
    <cfRule type="duplicateValues" dxfId="63" priority="53"/>
  </conditionalFormatting>
  <conditionalFormatting sqref="C47">
    <cfRule type="duplicateValues" dxfId="62" priority="50"/>
  </conditionalFormatting>
  <conditionalFormatting sqref="C59:C66">
    <cfRule type="duplicateValues" dxfId="61" priority="45"/>
  </conditionalFormatting>
  <conditionalFormatting sqref="C73">
    <cfRule type="duplicateValues" dxfId="60" priority="43"/>
  </conditionalFormatting>
  <conditionalFormatting sqref="C75">
    <cfRule type="duplicateValues" dxfId="59" priority="42"/>
  </conditionalFormatting>
  <conditionalFormatting sqref="C77">
    <cfRule type="duplicateValues" dxfId="58" priority="85"/>
  </conditionalFormatting>
  <conditionalFormatting sqref="C77:C109 C1">
    <cfRule type="duplicateValues" dxfId="57" priority="94"/>
  </conditionalFormatting>
  <conditionalFormatting sqref="C78">
    <cfRule type="duplicateValues" dxfId="56" priority="84"/>
  </conditionalFormatting>
  <conditionalFormatting sqref="C80:C81">
    <cfRule type="duplicateValues" dxfId="55" priority="83"/>
  </conditionalFormatting>
  <conditionalFormatting sqref="C85">
    <cfRule type="duplicateValues" dxfId="54" priority="81"/>
    <cfRule type="duplicateValues" dxfId="53" priority="82"/>
  </conditionalFormatting>
  <conditionalFormatting sqref="C92">
    <cfRule type="duplicateValues" dxfId="52" priority="80"/>
  </conditionalFormatting>
  <conditionalFormatting sqref="C93">
    <cfRule type="duplicateValues" dxfId="51" priority="79"/>
  </conditionalFormatting>
  <conditionalFormatting sqref="C98">
    <cfRule type="duplicateValues" dxfId="50" priority="77"/>
  </conditionalFormatting>
  <conditionalFormatting sqref="C101">
    <cfRule type="duplicateValues" dxfId="49" priority="76"/>
  </conditionalFormatting>
  <conditionalFormatting sqref="C102">
    <cfRule type="duplicateValues" dxfId="48" priority="74"/>
    <cfRule type="duplicateValues" dxfId="47" priority="75"/>
  </conditionalFormatting>
  <conditionalFormatting sqref="C103:C109">
    <cfRule type="duplicateValues" dxfId="46" priority="73"/>
  </conditionalFormatting>
  <conditionalFormatting sqref="C114">
    <cfRule type="duplicateValues" dxfId="45" priority="71"/>
  </conditionalFormatting>
  <conditionalFormatting sqref="C115">
    <cfRule type="duplicateValues" dxfId="44" priority="70"/>
  </conditionalFormatting>
  <conditionalFormatting sqref="C145">
    <cfRule type="duplicateValues" dxfId="43" priority="40"/>
    <cfRule type="duplicateValues" dxfId="42" priority="41"/>
  </conditionalFormatting>
  <conditionalFormatting sqref="C157:C160">
    <cfRule type="duplicateValues" dxfId="41" priority="100"/>
  </conditionalFormatting>
  <conditionalFormatting sqref="C161:C163">
    <cfRule type="duplicateValues" dxfId="40" priority="38"/>
  </conditionalFormatting>
  <conditionalFormatting sqref="C166">
    <cfRule type="duplicateValues" dxfId="39" priority="36"/>
    <cfRule type="duplicateValues" dxfId="38" priority="37"/>
  </conditionalFormatting>
  <conditionalFormatting sqref="C167">
    <cfRule type="duplicateValues" dxfId="37" priority="34"/>
    <cfRule type="duplicateValues" dxfId="36" priority="35"/>
  </conditionalFormatting>
  <conditionalFormatting sqref="C168">
    <cfRule type="duplicateValues" dxfId="35" priority="33"/>
  </conditionalFormatting>
  <conditionalFormatting sqref="C170">
    <cfRule type="duplicateValues" dxfId="34" priority="32"/>
  </conditionalFormatting>
  <conditionalFormatting sqref="C171">
    <cfRule type="duplicateValues" dxfId="33" priority="31"/>
  </conditionalFormatting>
  <conditionalFormatting sqref="C173">
    <cfRule type="duplicateValues" dxfId="32" priority="28"/>
    <cfRule type="duplicateValues" dxfId="31" priority="29"/>
  </conditionalFormatting>
  <conditionalFormatting sqref="C174">
    <cfRule type="duplicateValues" dxfId="30" priority="27"/>
  </conditionalFormatting>
  <conditionalFormatting sqref="C175">
    <cfRule type="duplicateValues" dxfId="29" priority="26"/>
  </conditionalFormatting>
  <conditionalFormatting sqref="C177">
    <cfRule type="duplicateValues" dxfId="28" priority="23"/>
  </conditionalFormatting>
  <conditionalFormatting sqref="C177:C178">
    <cfRule type="duplicateValues" dxfId="27" priority="24"/>
  </conditionalFormatting>
  <conditionalFormatting sqref="C179">
    <cfRule type="duplicateValues" dxfId="26" priority="21"/>
    <cfRule type="duplicateValues" dxfId="25" priority="22"/>
  </conditionalFormatting>
  <conditionalFormatting sqref="C206:C212">
    <cfRule type="duplicateValues" dxfId="24" priority="14"/>
  </conditionalFormatting>
  <conditionalFormatting sqref="C207">
    <cfRule type="duplicateValues" dxfId="23" priority="15"/>
    <cfRule type="duplicateValues" dxfId="22" priority="16"/>
  </conditionalFormatting>
  <conditionalFormatting sqref="C208">
    <cfRule type="duplicateValues" dxfId="21" priority="17"/>
    <cfRule type="duplicateValues" dxfId="20" priority="18"/>
  </conditionalFormatting>
  <conditionalFormatting sqref="C218:C223">
    <cfRule type="duplicateValues" dxfId="19" priority="12"/>
  </conditionalFormatting>
  <conditionalFormatting sqref="C225:C232">
    <cfRule type="duplicateValues" dxfId="18" priority="11"/>
  </conditionalFormatting>
  <conditionalFormatting sqref="C233:C243">
    <cfRule type="duplicateValues" dxfId="17" priority="8"/>
  </conditionalFormatting>
  <conditionalFormatting sqref="C341:C347">
    <cfRule type="duplicateValues" dxfId="16" priority="5"/>
  </conditionalFormatting>
  <conditionalFormatting sqref="E1">
    <cfRule type="duplicateValues" dxfId="15" priority="87"/>
    <cfRule type="duplicateValues" dxfId="14" priority="93"/>
  </conditionalFormatting>
  <conditionalFormatting sqref="E2:E15 E17:E31">
    <cfRule type="duplicateValues" dxfId="13" priority="69"/>
  </conditionalFormatting>
  <conditionalFormatting sqref="E16">
    <cfRule type="duplicateValues" dxfId="12" priority="51"/>
  </conditionalFormatting>
  <conditionalFormatting sqref="E20:E31">
    <cfRule type="duplicateValues" dxfId="11" priority="58"/>
  </conditionalFormatting>
  <conditionalFormatting sqref="E33">
    <cfRule type="duplicateValues" dxfId="10" priority="55"/>
  </conditionalFormatting>
  <conditionalFormatting sqref="E47">
    <cfRule type="duplicateValues" dxfId="9" priority="49"/>
  </conditionalFormatting>
  <conditionalFormatting sqref="E53">
    <cfRule type="duplicateValues" dxfId="8" priority="48"/>
  </conditionalFormatting>
  <conditionalFormatting sqref="E58">
    <cfRule type="duplicateValues" dxfId="7" priority="68"/>
  </conditionalFormatting>
  <conditionalFormatting sqref="E77:E97 E1">
    <cfRule type="duplicateValues" dxfId="6" priority="96"/>
  </conditionalFormatting>
  <conditionalFormatting sqref="E172">
    <cfRule type="duplicateValues" dxfId="5" priority="30"/>
  </conditionalFormatting>
  <conditionalFormatting sqref="E175">
    <cfRule type="duplicateValues" dxfId="4" priority="25"/>
  </conditionalFormatting>
  <conditionalFormatting sqref="E243">
    <cfRule type="duplicateValues" dxfId="3" priority="9"/>
  </conditionalFormatting>
  <conditionalFormatting sqref="C371:C381">
    <cfRule type="duplicateValues" dxfId="2" priority="3"/>
  </conditionalFormatting>
  <conditionalFormatting sqref="C384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2026-05-22T17:05:03Z</dcterms:modified>
</cp:coreProperties>
</file>