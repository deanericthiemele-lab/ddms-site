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390" documentId="11_26573A825B844769D80B0CAB0943EC1510201055" xr6:coauthVersionLast="47" xr6:coauthVersionMax="47" xr10:uidLastSave="{16286856-D51F-4325-8991-207BCE5B9CD8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MES!$A$1:$U$642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35" i="1" l="1"/>
  <c r="S636" i="1"/>
  <c r="J635" i="1"/>
  <c r="J636" i="1"/>
  <c r="S639" i="1"/>
  <c r="S640" i="1"/>
  <c r="S641" i="1"/>
  <c r="S642" i="1"/>
  <c r="J639" i="1"/>
  <c r="J640" i="1"/>
  <c r="J641" i="1"/>
  <c r="J642" i="1"/>
  <c r="S638" i="1"/>
  <c r="J638" i="1"/>
  <c r="S637" i="1"/>
  <c r="J637" i="1"/>
  <c r="S634" i="1"/>
  <c r="J634" i="1"/>
  <c r="S623" i="1"/>
  <c r="S624" i="1"/>
  <c r="S625" i="1"/>
  <c r="S626" i="1"/>
  <c r="S627" i="1"/>
  <c r="S628" i="1"/>
  <c r="S629" i="1"/>
  <c r="S630" i="1"/>
  <c r="S631" i="1"/>
  <c r="S632" i="1"/>
  <c r="S633" i="1"/>
  <c r="J623" i="1"/>
  <c r="J624" i="1"/>
  <c r="J625" i="1"/>
  <c r="J626" i="1"/>
  <c r="J627" i="1"/>
  <c r="J628" i="1"/>
  <c r="J629" i="1"/>
  <c r="J630" i="1"/>
  <c r="J631" i="1"/>
  <c r="J632" i="1"/>
  <c r="J633" i="1"/>
  <c r="S614" i="1"/>
  <c r="S615" i="1"/>
  <c r="S616" i="1"/>
  <c r="S617" i="1"/>
  <c r="S618" i="1"/>
  <c r="S619" i="1"/>
  <c r="S620" i="1"/>
  <c r="S621" i="1"/>
  <c r="S622" i="1"/>
  <c r="J614" i="1"/>
  <c r="J615" i="1"/>
  <c r="J616" i="1"/>
  <c r="J617" i="1"/>
  <c r="J618" i="1"/>
  <c r="J619" i="1"/>
  <c r="J620" i="1"/>
  <c r="J621" i="1"/>
  <c r="J622" i="1"/>
  <c r="S609" i="1"/>
  <c r="J609" i="1"/>
  <c r="S610" i="1" l="1"/>
  <c r="S611" i="1"/>
  <c r="S612" i="1"/>
  <c r="S613" i="1"/>
  <c r="J610" i="1"/>
  <c r="J611" i="1"/>
  <c r="J612" i="1"/>
  <c r="J613" i="1"/>
  <c r="S599" i="1" l="1"/>
  <c r="S600" i="1"/>
  <c r="S601" i="1"/>
  <c r="S602" i="1"/>
  <c r="S603" i="1"/>
  <c r="S604" i="1"/>
  <c r="S605" i="1"/>
  <c r="S606" i="1"/>
  <c r="S607" i="1"/>
  <c r="S608" i="1"/>
  <c r="J599" i="1"/>
  <c r="J600" i="1"/>
  <c r="J601" i="1"/>
  <c r="J602" i="1"/>
  <c r="J603" i="1"/>
  <c r="J604" i="1"/>
  <c r="J605" i="1"/>
  <c r="J606" i="1"/>
  <c r="J607" i="1"/>
  <c r="J608" i="1"/>
  <c r="S588" i="1"/>
  <c r="S589" i="1"/>
  <c r="S590" i="1"/>
  <c r="S591" i="1"/>
  <c r="S592" i="1"/>
  <c r="S593" i="1"/>
  <c r="S594" i="1"/>
  <c r="S595" i="1"/>
  <c r="S596" i="1"/>
  <c r="S597" i="1"/>
  <c r="S598" i="1"/>
  <c r="J588" i="1"/>
  <c r="J589" i="1"/>
  <c r="J590" i="1"/>
  <c r="J591" i="1"/>
  <c r="J592" i="1"/>
  <c r="J593" i="1"/>
  <c r="J594" i="1"/>
  <c r="J595" i="1"/>
  <c r="J596" i="1"/>
  <c r="J597" i="1"/>
  <c r="J598" i="1"/>
  <c r="S587" i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<sst xmlns="http://schemas.openxmlformats.org/spreadsheetml/2006/main" count="7437" uniqueCount="1185">
  <si>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</si>
  <si>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</si>
  <si>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</si>
  <si>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</si>
  <si>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</si>
  <si>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</si>
  <si>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</si>
  <si>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</si>
  <si>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</si>
  <si>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</si>
  <si>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</si>
  <si>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</si>
  <si>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</si>
  <si>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</si>
  <si>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</si>
  <si>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</si>
  <si>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</si>
  <si>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</si>
  <si>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</si>
  <si>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</si>
  <si>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</si>
  <si>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</si>
  <si>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</si>
  <si>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</si>
  <si>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</si>
  <si>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</si>
  <si>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</si>
  <si>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</si>
  <si>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</si>
  <si>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</si>
  <si>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</si>
  <si>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</si>
  <si>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</si>
  <si>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</si>
  <si>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</si>
  <si>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</si>
  <si>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</si>
  <si>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</si>
  <si>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</si>
  <si>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</si>
  <si>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</si>
  <si>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</si>
  <si>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</si>
  <si>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</si>
  <si>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</si>
  <si>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</si>
  <si>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</si>
  <si>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</si>
  <si>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</si>
  <si>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</si>
  <si>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</si>
  <si>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</si>
  <si>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</si>
  <si>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</si>
  <si>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</si>
  <si>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</si>
  <si>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</si>
  <si>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</si>
  <si>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</si>
  <si>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</si>
  <si>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</si>
  <si>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</si>
  <si>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</si>
  <si>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</si>
  <si>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</si>
  <si>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</si>
  <si>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</si>
  <si>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</si>
  <si>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</si>
  <si>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</si>
  <si>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</si>
  <si>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</si>
  <si>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</si>
  <si>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</si>
  <si>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</si>
  <si>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</si>
  <si>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</si>
  <si>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</si>
  <si>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</si>
  <si>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</si>
  <si>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</si>
  <si>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</si>
  <si>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</si>
  <si>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</si>
  <si>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</si>
  <si>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</si>
  <si>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</si>
  <si>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</si>
  <si>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</si>
  <si>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</si>
  <si>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</si>
  <si>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</si>
  <si>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</si>
  <si>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</si>
  <si>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</si>
  <si>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</si>
  <si>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</si>
  <si>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</si>
  <si>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</si>
  <si>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</si>
  <si>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</si>
  <si>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</si>
  <si>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</si>
  <si>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</si>
  <si>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</si>
  <si>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</si>
  <si>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</si>
  <si>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</si>
  <si>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</si>
  <si>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</si>
  <si>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</si>
  <si>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</si>
  <si>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</si>
  <si>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</si>
  <si>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</si>
  <si>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</si>
  <si>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</si>
  <si>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</si>
  <si>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</si>
  <si>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</si>
  <si>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</si>
  <si>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</si>
  <si>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</si>
  <si>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</si>
  <si>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</si>
  <si>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</si>
  <si>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</si>
  <si>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</si>
  <si>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</si>
  <si>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</si>
  <si>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</si>
  <si>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</si>
  <si>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</si>
  <si>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</si>
  <si>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</si>
  <si>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</si>
  <si>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</si>
  <si>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</si>
  <si>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</si>
  <si>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</si>
  <si>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</si>
  <si>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</si>
  <si>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</si>
  <si>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</si>
  <si>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</si>
  <si>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</si>
  <si>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</si>
  <si>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</si>
  <si>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</si>
  <si>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</si>
  <si>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</si>
  <si>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</si>
  <si>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</si>
  <si>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</si>
  <si>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</si>
  <si>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</si>
  <si>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</si>
  <si>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</si>
  <si>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</si>
  <si>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</si>
  <si>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</si>
  <si>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</si>
  <si>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</si>
  <si>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</si>
  <si>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</si>
  <si>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</si>
  <si>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</si>
  <si>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</si>
  <si>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</si>
  <si>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</si>
  <si>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</si>
  <si>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</si>
  <si>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</si>
  <si>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</si>
  <si>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</si>
  <si>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</si>
  <si>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</si>
  <si>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</si>
  <si>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</si>
  <si>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</si>
  <si>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</si>
  <si>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</si>
  <si>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</si>
  <si>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</si>
  <si>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</si>
  <si>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</si>
  <si>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</si>
  <si>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</si>
  <si>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</si>
  <si>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</si>
  <si>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</si>
  <si>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</si>
  <si>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</si>
  <si>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</si>
  <si>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</si>
  <si>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</si>
  <si>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</si>
  <si>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</si>
  <si>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</si>
  <si>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</si>
  <si>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</si>
  <si>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</si>
  <si>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</si>
  <si>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</si>
  <si>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</si>
  <si>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</si>
  <si>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</si>
  <si>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</si>
  <si>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</si>
  <si>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</si>
  <si>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</si>
  <si>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</si>
  <si>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</si>
  <si>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</si>
  <si>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</si>
  <si>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</si>
  <si>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</si>
  <si>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</si>
  <si>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</si>
  <si>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</si>
  <si>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</si>
  <si>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</si>
  <si>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</si>
  <si>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</si>
  <si>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</si>
  <si>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</si>
  <si>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</si>
  <si>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</si>
  <si>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</si>
  <si>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</si>
  <si>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</si>
  <si>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</si>
  <si>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</si>
  <si>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</si>
  <si>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</si>
  <si>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</si>
  <si>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</si>
  <si>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</si>
  <si>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</si>
  <si>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</si>
  <si>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</si>
  <si>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</si>
  <si>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</si>
  <si>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</si>
  <si>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</si>
  <si>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</si>
  <si>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</si>
  <si>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</si>
  <si>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</si>
  <si>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</si>
  <si>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</si>
  <si>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</si>
  <si>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</si>
  <si>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</si>
  <si>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</si>
  <si>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</si>
  <si>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</si>
  <si>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</si>
  <si>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</si>
  <si>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</si>
  <si>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</si>
  <si>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</si>
  <si>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</si>
  <si>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</si>
  <si>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</si>
  <si>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</si>
  <si>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</si>
  <si>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</si>
  <si>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</si>
  <si>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</si>
  <si>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</si>
  <si>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</si>
  <si>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</si>
  <si>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</si>
  <si>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</si>
  <si>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</si>
  <si>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</si>
  <si>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</si>
  <si>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</si>
  <si>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</si>
  <si>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</si>
  <si>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</si>
  <si>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</si>
  <si>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</si>
  <si>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</si>
  <si>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</si>
  <si>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</si>
  <si>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</si>
  <si>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</si>
  <si>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</si>
  <si>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</si>
  <si>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</si>
  <si>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</si>
  <si>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</si>
  <si>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</si>
  <si>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</si>
  <si>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</si>
  <si>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</si>
  <si>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</si>
  <si>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</si>
  <si>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</si>
  <si>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</si>
  <si>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</si>
  <si>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</si>
  <si>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</si>
  <si>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</si>
  <si>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</si>
  <si>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</si>
  <si>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</si>
  <si>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</si>
  <si>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</si>
  <si>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</si>
  <si>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</si>
  <si>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</si>
  <si>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</si>
  <si>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</si>
  <si>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</si>
  <si>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</si>
  <si>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</si>
  <si>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</si>
  <si>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</si>
  <si>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</si>
  <si>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</si>
  <si>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</si>
  <si>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</si>
  <si>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</si>
  <si>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</si>
  <si>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</si>
  <si>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</si>
  <si>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</si>
  <si>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</si>
  <si>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</si>
  <si>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</si>
  <si>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</si>
  <si>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</si>
  <si>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</si>
  <si>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</si>
  <si>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</si>
  <si>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</si>
  <si>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</si>
  <si>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</si>
  <si>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</si>
  <si>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</si>
  <si>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</si>
  <si>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</si>
  <si>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</si>
  <si>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</si>
  <si>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</si>
  <si>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</si>
  <si>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</si>
  <si>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</si>
  <si>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</si>
  <si>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</si>
  <si>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</si>
  <si>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</si>
  <si>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</si>
  <si>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</si>
  <si>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</si>
  <si>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</si>
  <si>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</si>
  <si>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</si>
  <si>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</si>
  <si>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</si>
  <si>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</si>
  <si>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</si>
  <si>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</si>
  <si>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</si>
  <si>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</si>
  <si>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</si>
  <si>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</si>
  <si>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</si>
  <si>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</si>
  <si>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</si>
  <si>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</si>
  <si>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</si>
  <si>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</si>
  <si>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</si>
  <si>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</si>
  <si>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</si>
  <si>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</si>
  <si>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</si>
  <si>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</si>
  <si>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</si>
  <si>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</si>
  <si>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</si>
  <si>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</si>
  <si>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</si>
  <si>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</si>
  <si>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</si>
  <si>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</si>
  <si>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</si>
  <si>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</si>
  <si>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</si>
  <si>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</si>
  <si>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</si>
  <si>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</si>
  <si>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</si>
  <si>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</si>
  <si>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</si>
  <si>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</si>
  <si>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</si>
  <si>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</si>
  <si>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</si>
  <si>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</si>
  <si>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</si>
  <si>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</si>
  <si>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</si>
  <si>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</si>
  <si>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</si>
  <si>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</si>
  <si>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</si>
  <si>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</si>
  <si>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</si>
  <si>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</si>
  <si>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</si>
  <si>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</si>
  <si>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</si>
  <si>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</si>
  <si>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</si>
  <si>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</si>
  <si>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</si>
  <si>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</si>
  <si>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</si>
  <si>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</si>
  <si>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</si>
  <si>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</si>
  <si>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</si>
  <si>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</si>
  <si>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</si>
  <si>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</si>
  <si>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</si>
  <si>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</si>
  <si>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</si>
  <si>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</si>
  <si>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</si>
  <si>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</si>
  <si>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</si>
  <si>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</si>
  <si>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</si>
  <si>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</si>
  <si>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</si>
  <si>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</si>
  <si>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</si>
  <si>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</si>
  <si>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</si>
  <si>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</si>
  <si>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</si>
  <si>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</si>
  <si>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</si>
  <si>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</si>
  <si>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</si>
  <si>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</si>
  <si>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</si>
  <si>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</si>
  <si>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</si>
  <si>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</si>
  <si>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</si>
  <si>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</si>
  <si>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</si>
  <si>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</si>
  <si>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</si>
  <si>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</si>
  <si>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</si>
  <si>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</si>
  <si>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</si>
  <si>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</si>
  <si>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</si>
  <si>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</si>
  <si>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</si>
  <si>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</si>
  <si>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</si>
  <si>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</si>
  <si>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</si>
  <si>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</si>
  <si>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</si>
  <si>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</si>
  <si>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</si>
  <si>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</si>
  <si>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</si>
  <si>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</si>
  <si>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</si>
  <si>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</si>
  <si>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</si>
  <si>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</si>
  <si>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</si>
  <si>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</si>
  <si>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</si>
  <si>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</si>
  <si>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</si>
  <si>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</si>
  <si>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</si>
  <si>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</si>
  <si>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</si>
  <si>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</si>
  <si>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</si>
  <si>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</si>
  <si>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</si>
  <si>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</si>
  <si>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</si>
  <si>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</si>
  <si>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</si>
  <si>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</si>
  <si>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</si>
  <si>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</si>
  <si>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</si>
  <si>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</si>
  <si>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</si>
  <si>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</si>
  <si>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</si>
  <si>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</si>
  <si>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</si>
  <si>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</si>
  <si>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</si>
  <si>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</si>
  <si>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</si>
  <si>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</si>
  <si>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</si>
  <si>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</si>
  <si>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</si>
  <si>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</si>
  <si>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</si>
  <si>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</si>
  <si>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</si>
  <si>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</si>
  <si>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</si>
  <si>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</si>
  <si>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</si>
  <si>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</si>
  <si>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</si>
  <si>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</si>
  <si>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</si>
  <si>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</si>
  <si>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</si>
  <si>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</si>
  <si>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</si>
  <si>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</si>
  <si>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</si>
  <si>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</si>
  <si>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</si>
  <si>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</si>
  <si>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</si>
  <si>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</si>
  <si>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</si>
  <si>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</si>
  <si>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</si>
  <si>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</si>
  <si>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</si>
  <si>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</si>
  <si>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</si>
  <si>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</si>
  <si>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</si>
  <si>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</si>
  <si>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</si>
  <si>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</si>
  <si>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</si>
  <si>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</si>
  <si>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</si>
  <si>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</si>
  <si>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</si>
  <si>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</si>
  <si>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</si>
  <si>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</si>
  <si>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</si>
  <si>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</si>
  <si>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</si>
  <si>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</si>
  <si>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</si>
  <si>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</si>
  <si>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</si>
  <si>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</si>
  <si>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</si>
  <si>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</si>
  <si>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</si>
  <si>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</si>
  <si>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</si>
  <si>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</si>
  <si>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</si>
  <si>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</si>
  <si>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</si>
  <si>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</si>
  <si>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</si>
  <si>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</si>
  <si>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</si>
  <si>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</si>
  <si>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</si>
  <si>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</si>
  <si>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</si>
  <si>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</si>
  <si>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</si>
  <si>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</si>
  <si>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</si>
  <si>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</si>
  <si>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</si>
  <si>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</si>
  <si>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</si>
  <si>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</si>
  <si>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</si>
  <si>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</si>
  <si>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</si>
  <si>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</si>
  <si>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</si>
  <si>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</si>
  <si>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</si>
  <si>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</si>
  <si>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</si>
  <si>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</si>
  <si>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</si>
  <si>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</si>
  <si>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</si>
  <si>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</si>
  <si>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</si>
  <si>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</si>
  <si>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</si>
  <si>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</si>
  <si>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</si>
  <si>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</si>
  <si>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</si>
  <si>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</si>
  <si>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</si>
  <si>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</si>
  <si>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</si>
  <si>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</si>
  <si>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</si>
  <si>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</si>
  <si>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</si>
  <si>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</si>
  <si>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</si>
  <si>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</si>
  <si>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</si>
  <si>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</si>
  <si>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</si>
  <si>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</si>
  <si>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</si>
  <si>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</si>
  <si>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</si>
  <si>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</si>
  <si>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</si>
  <si>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</si>
  <si>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</si>
  <si>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</si>
  <si>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</si>
  <si>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</si>
  <si>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</si>
  <si>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</si>
  <si>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</si>
  <si>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</si>
  <si>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</si>
  <si>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</si>
  <si>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</si>
  <si>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</si>
  <si>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</si>
  <si>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</si>
  <si>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</si>
  <si>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</si>
  <si>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</si>
  <si>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</si>
  <si>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</si>
  <si>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</si>
  <si>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</si>
  <si>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</si>
  <si>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</si>
  <si>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</si>
  <si>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</si>
  <si>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</si>
  <si>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</si>
  <si>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</si>
  <si>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</si>
  <si>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</si>
  <si>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</si>
  <si>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</si>
  <si>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</si>
  <si>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</si>
  <si>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</si>
  <si>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</si>
  <si>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</si>
  <si>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</si>
  <si>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</si>
  <si>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</si>
  <si>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</si>
  <si>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</si>
  <si>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</si>
  <si>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</si>
  <si>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</si>
  <si>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</si>
  <si>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</si>
  <si>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</si>
  <si>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</si>
  <si>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</si>
  <si>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</si>
  <si>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</si>
  <si>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</si>
  <si>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</si>
  <si>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</si>
  <si>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</si>
  <si>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</si>
  <si>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</si>
  <si>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</si>
  <si>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</si>
  <si>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</si>
  <si>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</si>
  <si>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</si>
  <si>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</si>
  <si>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</si>
  <si>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</si>
  <si>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</si>
  <si>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</si>
  <si>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</si>
  <si>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</si>
  <si>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</si>
  <si>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</si>
  <si>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</si>
  <si>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</si>
  <si>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</si>
  <si>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</si>
  <si>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</si>
  <si>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</si>
  <si>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</si>
  <si>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</si>
  <si>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</si>
  <si>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</si>
  <si>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</si>
  <si>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</si>
  <si>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</si>
  <si>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</si>
  <si>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</si>
  <si>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</si>
  <si>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</si>
  <si>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</si>
  <si>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</si>
  <si>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</si>
  <si>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</si>
  <si>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</si>
  <si>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</si>
  <si>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</si>
  <si>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</si>
  <si>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</si>
  <si>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</si>
  <si>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</si>
  <si>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</si>
  <si>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</si>
  <si>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</si>
  <si>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</si>
  <si>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</si>
  <si>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</si>
  <si>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</si>
  <si>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</si>
  <si>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</si>
  <si>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</si>
  <si>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</si>
  <si>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</si>
  <si>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</si>
  <si>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</si>
  <si>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</si>
  <si>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</si>
  <si>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</si>
  <si>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</si>
  <si>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</si>
  <si>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</si>
  <si>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</si>
  <si>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</si>
  <si>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</si>
  <si>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</si>
  <si>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</si>
  <si>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</si>
  <si>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</si>
  <si>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</si>
  <si>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</si>
  <si>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</si>
  <si>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</si>
  <si>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</si>
  <si>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</si>
  <si>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</si>
  <si>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</si>
  <si>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</si>
  <si>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</si>
  <si>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</si>
  <si>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</si>
  <si>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</si>
  <si>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</si>
  <si>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</si>
  <si>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</si>
  <si>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</si>
  <si>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</si>
  <si>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</si>
  <si>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</si>
  <si>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</si>
  <si>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</si>
  <si>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</si>
  <si>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</si>
  <si>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</si>
  <si>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</si>
  <si>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</si>
  <si>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</si>
  <si>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</si>
  <si>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</si>
  <si>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</si>
  <si>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</si>
  <si>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</si>
  <si>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</si>
  <si>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</si>
  <si>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</si>
  <si>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</si>
  <si>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</si>
  <si>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</si>
  <si>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</si>
  <si>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</si>
  <si>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</si>
  <si>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</si>
  <si>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</si>
  <si>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</si>
  <si>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</si>
  <si>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</si>
  <si>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</si>
  <si>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</si>
  <si>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</si>
  <si>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</si>
  <si>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</si>
  <si>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</si>
  <si>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</si>
  <si>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</si>
  <si>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</si>
  <si>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</si>
  <si>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</si>
  <si>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</si>
  <si>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</si>
  <si>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</si>
  <si>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</si>
  <si>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</si>
  <si>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</si>
  <si>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</si>
  <si>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</si>
  <si>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</si>
  <si>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</si>
  <si>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</si>
  <si>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</si>
  <si>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</si>
  <si>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</si>
  <si>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</si>
  <si>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</si>
  <si>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</si>
  <si>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</si>
  <si>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</si>
  <si>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</si>
  <si>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</si>
  <si>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</si>
  <si>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</si>
  <si>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</si>
  <si>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</si>
  <si>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</si>
  <si>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</si>
  <si>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</si>
  <si>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</si>
  <si>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</si>
  <si>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</si>
  <si>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</si>
  <si>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</si>
  <si>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</si>
  <si>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</si>
  <si>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</si>
  <si>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</si>
  <si>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</si>
  <si>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</si>
  <si>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</si>
  <si>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</si>
  <si>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</si>
  <si>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</si>
  <si>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</si>
  <si>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</si>
  <si>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</si>
  <si>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</si>
  <si>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</si>
  <si>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</si>
  <si>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</si>
  <si>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</si>
  <si>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</si>
  <si>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</si>
  <si>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</si>
  <si>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</si>
  <si>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</si>
  <si>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</si>
  <si>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</si>
  <si>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</si>
  <si>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</si>
  <si>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</si>
  <si>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</si>
  <si>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</si>
  <si>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</si>
  <si>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</si>
  <si>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</si>
  <si>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</si>
  <si>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</si>
  <si>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</si>
  <si>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</si>
  <si>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</si>
  <si>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</si>
  <si>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</si>
  <si>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</si>
  <si>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</si>
  <si>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</si>
  <si>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</si>
  <si>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</si>
  <si>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</si>
  <si>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</si>
  <si>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</si>
  <si>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</si>
  <si>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</si>
  <si>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</si>
  <si>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</si>
  <si>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</si>
  <si>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</si>
  <si>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</si>
  <si>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</si>
  <si>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</si>
  <si>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</si>
  <si>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</si>
  <si>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</si>
  <si>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</si>
  <si>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</si>
  <si>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</si>
  <si>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</si>
  <si>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</si>
  <si>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</si>
  <si>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</si>
  <si>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</si>
  <si>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</si>
  <si>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</si>
  <si>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</si>
  <si>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</si>
  <si>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</si>
  <si>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</si>
  <si>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</si>
  <si>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</si>
  <si>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</si>
  <si>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</si>
  <si>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</si>
  <si>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</si>
  <si>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</si>
  <si>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</si>
  <si>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</si>
  <si>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</si>
  <si>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</si>
  <si>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</si>
  <si>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</si>
  <si>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</si>
  <si>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</si>
  <si>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</si>
  <si>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</si>
  <si>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</si>
  <si>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</si>
  <si>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</si>
  <si>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</si>
  <si>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</si>
  <si>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</si>
  <si>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</si>
  <si>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</si>
  <si>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</si>
  <si>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</si>
  <si>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</si>
  <si>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</si>
  <si>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</si>
  <si>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</si>
  <si>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</si>
  <si>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</si>
  <si>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</si>
  <si>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</si>
  <si>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</si>
  <si>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</si>
  <si>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</si>
  <si>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</si>
  <si>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</si>
  <si>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</si>
  <si>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</si>
  <si>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</si>
  <si>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</si>
  <si>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</si>
  <si>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</si>
  <si>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</si>
  <si>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</si>
  <si>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</si>
  <si>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</si>
  <si>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</si>
  <si>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</si>
  <si>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</si>
  <si>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</si>
  <si>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</si>
  <si>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</si>
  <si>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</si>
  <si>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</si>
  <si>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</si>
  <si>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</si>
  <si>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</si>
  <si>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</si>
  <si>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</si>
  <si>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</si>
  <si>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</si>
  <si>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</si>
  <si>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</si>
  <si>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</si>
  <si>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</si>
  <si>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</si>
  <si>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</si>
  <si>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</si>
  <si>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</si>
  <si>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</si>
  <si>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</si>
  <si>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</si>
  <si>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</si>
  <si>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</si>
  <si>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</si>
  <si>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</si>
  <si>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</si>
  <si>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</si>
  <si>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</si>
  <si>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</si>
  <si>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</si>
  <si>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</si>
  <si>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</si>
  <si>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</si>
  <si>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</si>
  <si>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</si>
  <si>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</si>
  <si>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</si>
  <si>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</si>
  <si>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</si>
  <si>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</si>
  <si>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</si>
  <si>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</si>
  <si>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</si>
  <si>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</si>
  <si>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</si>
  <si>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</si>
  <si>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</si>
  <si>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</si>
  <si>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</si>
  <si>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</si>
  <si>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</si>
  <si>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</si>
  <si>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</si>
  <si>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</si>
  <si>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</si>
  <si>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</si>
  <si>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</si>
  <si>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</si>
  <si>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</si>
  <si>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</si>
  <si>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</si>
  <si>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</si>
  <si>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</si>
  <si>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</si>
  <si>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</si>
  <si>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</si>
  <si>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</si>
  <si>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</si>
  <si>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</si>
  <si>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</si>
  <si>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</si>
  <si>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</si>
  <si>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</si>
  <si>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</si>
  <si>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</si>
  <si>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</si>
  <si>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</si>
  <si>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</si>
  <si>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</si>
  <si>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</si>
  <si>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</si>
  <si>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</si>
  <si>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</si>
  <si>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</si>
  <si>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</si>
  <si>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</si>
  <si>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</si>
  <si>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</si>
  <si>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</si>
  <si>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</si>
  <si>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</si>
  <si>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</si>
  <si>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</si>
  <si>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</si>
  <si>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</si>
  <si>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</si>
  <si>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</si>
  <si>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</si>
  <si>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</si>
  <si>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</si>
  <si>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</si>
  <si>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</si>
  <si>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</si>
  <si>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</si>
  <si>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</si>
  <si>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</si>
  <si>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</si>
  <si>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</si>
  <si>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</si>
  <si>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</si>
  <si>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</si>
  <si>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</si>
  <si>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</si>
  <si>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</si>
  <si>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</si>
  <si>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</si>
  <si>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</si>
  <si>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</si>
  <si>
    <t>PROJET MINISTERE DE LA JUSTICE ET DES DROITS DE L'HOMME</t>
  </si>
  <si>
    <t>TABOU</t>
  </si>
  <si>
    <t>BUVPN260134</t>
  </si>
  <si>
    <t>BUVPN260136</t>
  </si>
  <si>
    <t xml:space="preserve">BUVPN260133 </t>
  </si>
  <si>
    <t>BOUNDIALI</t>
  </si>
  <si>
    <t>BUVPN260137</t>
  </si>
  <si>
    <t>BUVPN260153</t>
  </si>
  <si>
    <t>BUVPN260145</t>
  </si>
  <si>
    <t>CNR INTERNATIONAL</t>
  </si>
  <si>
    <t>NOUVELLE GENERAION DE SERVICE</t>
  </si>
  <si>
    <t>BUVPN260144</t>
  </si>
  <si>
    <t>BUVPN260132</t>
  </si>
  <si>
    <t>SOGEA SATOM CI</t>
  </si>
  <si>
    <t>SYTHD260230</t>
  </si>
  <si>
    <t>PORT</t>
  </si>
  <si>
    <t>S36</t>
  </si>
  <si>
    <t>SYTHD250061</t>
  </si>
  <si>
    <t>BUVPN260155</t>
  </si>
  <si>
    <t>BUVPN260119</t>
  </si>
  <si>
    <t>CONCENTRIX</t>
  </si>
  <si>
    <t>SYTHD260212</t>
  </si>
  <si>
    <t>ORANGE BUSINESS SERVICES CI</t>
  </si>
  <si>
    <t>SYTHD260217</t>
  </si>
  <si>
    <t>STUDIO 374</t>
  </si>
  <si>
    <t>SYTHD260237</t>
  </si>
  <si>
    <t>OFFICE NATIONAL DES SPORTS</t>
  </si>
  <si>
    <t>SYTHD230086</t>
  </si>
  <si>
    <t>AERIA BUVPN 2 AEROPORT</t>
  </si>
  <si>
    <t>BUVPN260142</t>
  </si>
  <si>
    <t>AFRICAN MMA‐ LEAGUE</t>
  </si>
  <si>
    <t>SYTHD260238</t>
  </si>
  <si>
    <t>CLINIQUE DES YEUX LASERS</t>
  </si>
  <si>
    <t>SYTHD260236</t>
  </si>
  <si>
    <t>PALACE HOTEL JACQUEVILLE</t>
  </si>
  <si>
    <t>SYTHD260226</t>
  </si>
  <si>
    <t>ABOBOTE</t>
  </si>
  <si>
    <t>BUVPN200043</t>
  </si>
  <si>
    <t>TIOBLI</t>
  </si>
  <si>
    <t>BUVPN260130</t>
  </si>
  <si>
    <t xml:space="preserve">SYTHD260232 </t>
  </si>
  <si>
    <t>SYTHD260231</t>
  </si>
  <si>
    <t>BUVPN180106</t>
  </si>
  <si>
    <t>CI2M AERIA</t>
  </si>
  <si>
    <t>SYTHD260233</t>
  </si>
  <si>
    <t>LES TROIS SIRENES</t>
  </si>
  <si>
    <t>GRAND BEREBY</t>
  </si>
  <si>
    <t xml:space="preserve">BUVPN260160 </t>
  </si>
  <si>
    <t>NOUVELLE BRASSERIE DE COTE D'IVOIRE</t>
  </si>
  <si>
    <t>HUMAN RESSOURCES SOLUTION</t>
  </si>
  <si>
    <t>AUTORITE DE REGULATION DU SYSTEME DE RECEPISSE D'ENTREPOSAGE</t>
  </si>
  <si>
    <t>S37</t>
  </si>
  <si>
    <t>DOUANES TOTAL ENERGIES</t>
  </si>
  <si>
    <t>BUVPN260125</t>
  </si>
  <si>
    <t>NPSP</t>
  </si>
  <si>
    <t>63693483 </t>
  </si>
  <si>
    <t>SYTHD260224</t>
  </si>
  <si>
    <t xml:space="preserve">BUVPN260159 </t>
  </si>
  <si>
    <t>BUVPN260164</t>
  </si>
  <si>
    <t>BUVPN260163</t>
  </si>
  <si>
    <t>LAKOTA</t>
  </si>
  <si>
    <t>BUVPN260135</t>
  </si>
  <si>
    <t>BUVPN260154</t>
  </si>
  <si>
    <t>BUVPN260139</t>
  </si>
  <si>
    <t>CLOUD TELEPHONY</t>
  </si>
  <si>
    <t>SYTHD200123</t>
  </si>
  <si>
    <t>BUVPN260158</t>
  </si>
  <si>
    <t xml:space="preserve"> MONTAGE EXPLOITATION SERVICES</t>
  </si>
  <si>
    <t>M'BAHAKRO</t>
  </si>
  <si>
    <t>BUVPN260140</t>
  </si>
  <si>
    <t>S38</t>
  </si>
  <si>
    <t>CLINIQUE DES YEUX LASER</t>
  </si>
  <si>
    <t>CORIS BANK</t>
  </si>
  <si>
    <t>COCODY RIVIERA 3</t>
  </si>
  <si>
    <t>BUVPN260152</t>
  </si>
  <si>
    <t>OFFICE IVOIRIEN DES CHARGEURS</t>
  </si>
  <si>
    <t>NOE</t>
  </si>
  <si>
    <t>SYTHD260234</t>
  </si>
  <si>
    <t>BUVPN260034</t>
  </si>
  <si>
    <t>SOUDOTEC</t>
  </si>
  <si>
    <t>MINIERE DE LA LOBO</t>
  </si>
  <si>
    <t>SYTHD230030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</si>
</sst>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Display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4" fontId="15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14" fontId="16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42"/>
  <sheetViews>
    <sheetView tabSelected="1" topLeftCell="A627" workbookViewId="0">
      <selection activeCell="Q1" sqref="Q1:Q1048576"/>
    </sheetView>
  </sheetViews>
  <sheetFormatPr baseColWidth="10" defaultRowHeight="14.5" x14ac:dyDescent="0.35"/>
  <cols>
    <col min="1" max="1" width="39.54296875" style="2" customWidth="1"/>
    <col min="3" max="3" width="11.63281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ht="24.5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ht="24.5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ht="24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24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8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618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  <row r="588" spans="1:21" x14ac:dyDescent="0.35">
      <c r="A588" s="17" t="s">
        <v>1103</v>
      </c>
      <c r="B588" s="17" t="s">
        <v>43</v>
      </c>
      <c r="C588" s="17">
        <v>66545687</v>
      </c>
      <c r="D588" s="17" t="s">
        <v>1104</v>
      </c>
      <c r="E588" s="17" t="s">
        <v>1105</v>
      </c>
      <c r="F588" s="17" t="s">
        <v>46</v>
      </c>
      <c r="G588" s="17" t="s">
        <v>23</v>
      </c>
      <c r="H588" s="18">
        <v>46217</v>
      </c>
      <c r="I588" s="18">
        <v>46252</v>
      </c>
      <c r="J588" s="8">
        <f t="shared" si="28"/>
        <v>26</v>
      </c>
      <c r="K588" s="65" t="s">
        <v>295</v>
      </c>
      <c r="L588" s="65" t="s">
        <v>296</v>
      </c>
      <c r="M588" s="65" t="s">
        <v>24</v>
      </c>
      <c r="N588" s="65" t="s">
        <v>191</v>
      </c>
      <c r="O588" s="65">
        <v>3500000</v>
      </c>
      <c r="P588" s="65">
        <v>165000</v>
      </c>
      <c r="Q588" s="67">
        <v>3665000</v>
      </c>
      <c r="R588" s="66">
        <v>46265</v>
      </c>
      <c r="S588" s="8">
        <f t="shared" si="27"/>
        <v>35</v>
      </c>
      <c r="T588" s="65" t="s">
        <v>1119</v>
      </c>
      <c r="U588" s="65" t="s">
        <v>433</v>
      </c>
    </row>
    <row r="589" spans="1:21" x14ac:dyDescent="0.35">
      <c r="A589" s="17" t="s">
        <v>1103</v>
      </c>
      <c r="B589" s="17" t="s">
        <v>43</v>
      </c>
      <c r="C589" s="17">
        <v>66515876</v>
      </c>
      <c r="D589" s="17" t="s">
        <v>355</v>
      </c>
      <c r="E589" s="17" t="s">
        <v>1106</v>
      </c>
      <c r="F589" s="17" t="s">
        <v>46</v>
      </c>
      <c r="G589" s="17" t="s">
        <v>23</v>
      </c>
      <c r="H589" s="18">
        <v>46217</v>
      </c>
      <c r="I589" s="18">
        <v>46251</v>
      </c>
      <c r="J589" s="8">
        <f t="shared" si="28"/>
        <v>25</v>
      </c>
      <c r="K589" s="65" t="s">
        <v>295</v>
      </c>
      <c r="L589" s="65" t="s">
        <v>296</v>
      </c>
      <c r="M589" s="65" t="s">
        <v>24</v>
      </c>
      <c r="N589" s="65" t="s">
        <v>191</v>
      </c>
      <c r="O589" s="65">
        <v>519120</v>
      </c>
      <c r="P589" s="65">
        <v>165000</v>
      </c>
      <c r="Q589" s="67">
        <v>684120</v>
      </c>
      <c r="R589" s="66">
        <v>46265</v>
      </c>
      <c r="S589" s="8">
        <f t="shared" ref="S589:S642" si="29">NETWORKDAYS(H589,R589)</f>
        <v>35</v>
      </c>
      <c r="T589" s="65" t="s">
        <v>1119</v>
      </c>
      <c r="U589" s="65" t="s">
        <v>433</v>
      </c>
    </row>
    <row r="590" spans="1:21" x14ac:dyDescent="0.35">
      <c r="A590" s="17" t="s">
        <v>1103</v>
      </c>
      <c r="B590" s="17" t="s">
        <v>43</v>
      </c>
      <c r="C590" s="17">
        <v>66519762</v>
      </c>
      <c r="D590" s="17" t="s">
        <v>133</v>
      </c>
      <c r="E590" s="17" t="s">
        <v>1107</v>
      </c>
      <c r="F590" s="17" t="s">
        <v>46</v>
      </c>
      <c r="G590" s="17" t="s">
        <v>23</v>
      </c>
      <c r="H590" s="18">
        <v>46217</v>
      </c>
      <c r="I590" s="18">
        <v>46251</v>
      </c>
      <c r="J590" s="8">
        <f t="shared" si="28"/>
        <v>25</v>
      </c>
      <c r="K590" s="65" t="s">
        <v>295</v>
      </c>
      <c r="L590" s="65" t="s">
        <v>296</v>
      </c>
      <c r="M590" s="65" t="s">
        <v>24</v>
      </c>
      <c r="N590" s="65" t="s">
        <v>191</v>
      </c>
      <c r="O590" s="65">
        <v>309112</v>
      </c>
      <c r="P590" s="65">
        <v>165000</v>
      </c>
      <c r="Q590" s="67">
        <v>474112</v>
      </c>
      <c r="R590" s="66">
        <v>46265</v>
      </c>
      <c r="S590" s="8">
        <f t="shared" si="29"/>
        <v>35</v>
      </c>
      <c r="T590" s="65" t="s">
        <v>1119</v>
      </c>
      <c r="U590" s="65" t="s">
        <v>433</v>
      </c>
    </row>
    <row r="591" spans="1:21" x14ac:dyDescent="0.35">
      <c r="A591" s="17" t="s">
        <v>1103</v>
      </c>
      <c r="B591" s="17" t="s">
        <v>43</v>
      </c>
      <c r="C591" s="17">
        <v>66524248</v>
      </c>
      <c r="D591" s="17" t="s">
        <v>1108</v>
      </c>
      <c r="E591" s="17" t="s">
        <v>1109</v>
      </c>
      <c r="F591" s="17" t="s">
        <v>46</v>
      </c>
      <c r="G591" s="17" t="s">
        <v>23</v>
      </c>
      <c r="H591" s="18">
        <v>46217</v>
      </c>
      <c r="I591" s="18">
        <v>46254</v>
      </c>
      <c r="J591" s="8">
        <f t="shared" si="28"/>
        <v>28</v>
      </c>
      <c r="K591" s="65" t="s">
        <v>295</v>
      </c>
      <c r="L591" s="65" t="s">
        <v>296</v>
      </c>
      <c r="M591" s="65" t="s">
        <v>24</v>
      </c>
      <c r="N591" s="65" t="s">
        <v>191</v>
      </c>
      <c r="O591" s="65">
        <v>608584</v>
      </c>
      <c r="P591" s="65">
        <v>160000</v>
      </c>
      <c r="Q591" s="67">
        <v>768584</v>
      </c>
      <c r="R591" s="66">
        <v>46265</v>
      </c>
      <c r="S591" s="8">
        <f t="shared" si="29"/>
        <v>35</v>
      </c>
      <c r="T591" s="65" t="s">
        <v>1119</v>
      </c>
      <c r="U591" s="65" t="s">
        <v>433</v>
      </c>
    </row>
    <row r="592" spans="1:21" x14ac:dyDescent="0.35">
      <c r="A592" s="17" t="s">
        <v>1103</v>
      </c>
      <c r="B592" s="17" t="s">
        <v>43</v>
      </c>
      <c r="C592" s="17">
        <v>66545050</v>
      </c>
      <c r="D592" s="17" t="s">
        <v>175</v>
      </c>
      <c r="E592" s="17" t="s">
        <v>1110</v>
      </c>
      <c r="F592" s="17" t="s">
        <v>46</v>
      </c>
      <c r="G592" s="17" t="s">
        <v>23</v>
      </c>
      <c r="H592" s="18">
        <v>46217</v>
      </c>
      <c r="I592" s="18">
        <v>46261</v>
      </c>
      <c r="J592" s="8">
        <f t="shared" si="28"/>
        <v>33</v>
      </c>
      <c r="K592" s="65" t="s">
        <v>295</v>
      </c>
      <c r="L592" s="65" t="s">
        <v>296</v>
      </c>
      <c r="M592" s="65" t="s">
        <v>24</v>
      </c>
      <c r="N592" s="65" t="s">
        <v>191</v>
      </c>
      <c r="O592" s="65">
        <v>3500000</v>
      </c>
      <c r="P592" s="65">
        <v>165000</v>
      </c>
      <c r="Q592" s="67">
        <v>3665000</v>
      </c>
      <c r="R592" s="66">
        <v>46265</v>
      </c>
      <c r="S592" s="8">
        <f t="shared" si="29"/>
        <v>35</v>
      </c>
      <c r="T592" s="65" t="s">
        <v>1119</v>
      </c>
      <c r="U592" s="65" t="s">
        <v>433</v>
      </c>
    </row>
    <row r="593" spans="1:21" x14ac:dyDescent="0.35">
      <c r="A593" s="17" t="s">
        <v>1103</v>
      </c>
      <c r="B593" s="17" t="s">
        <v>43</v>
      </c>
      <c r="C593" s="17">
        <v>66543577</v>
      </c>
      <c r="D593" s="17" t="s">
        <v>443</v>
      </c>
      <c r="E593" s="17" t="s">
        <v>1111</v>
      </c>
      <c r="F593" s="17" t="s">
        <v>46</v>
      </c>
      <c r="G593" s="17" t="s">
        <v>23</v>
      </c>
      <c r="H593" s="18">
        <v>46217</v>
      </c>
      <c r="I593" s="18">
        <v>46258</v>
      </c>
      <c r="J593" s="8">
        <f t="shared" si="28"/>
        <v>30</v>
      </c>
      <c r="K593" s="65" t="s">
        <v>295</v>
      </c>
      <c r="L593" s="65" t="s">
        <v>296</v>
      </c>
      <c r="M593" s="65" t="s">
        <v>24</v>
      </c>
      <c r="N593" s="65" t="s">
        <v>191</v>
      </c>
      <c r="O593" s="65">
        <v>234385</v>
      </c>
      <c r="P593" s="65">
        <v>165000</v>
      </c>
      <c r="Q593" s="67">
        <v>399385</v>
      </c>
      <c r="R593" s="66">
        <v>46265</v>
      </c>
      <c r="S593" s="8">
        <f t="shared" si="29"/>
        <v>35</v>
      </c>
      <c r="T593" s="65" t="s">
        <v>1119</v>
      </c>
      <c r="U593" s="65" t="s">
        <v>433</v>
      </c>
    </row>
    <row r="594" spans="1:21" x14ac:dyDescent="0.35">
      <c r="A594" s="17" t="s">
        <v>1112</v>
      </c>
      <c r="B594" s="17" t="s">
        <v>30</v>
      </c>
      <c r="C594" s="17">
        <v>68280450</v>
      </c>
      <c r="D594" s="17" t="s">
        <v>35</v>
      </c>
      <c r="E594" s="17">
        <v>2720258625</v>
      </c>
      <c r="F594" s="17" t="s">
        <v>32</v>
      </c>
      <c r="G594" s="17" t="s">
        <v>23</v>
      </c>
      <c r="H594" s="18">
        <v>46247</v>
      </c>
      <c r="I594" s="18">
        <v>46260</v>
      </c>
      <c r="J594" s="8">
        <f t="shared" si="28"/>
        <v>10</v>
      </c>
      <c r="K594" s="65" t="s">
        <v>295</v>
      </c>
      <c r="L594" s="65" t="s">
        <v>296</v>
      </c>
      <c r="M594" s="65" t="s">
        <v>24</v>
      </c>
      <c r="N594" s="65" t="s">
        <v>82</v>
      </c>
      <c r="O594" s="65">
        <v>705000</v>
      </c>
      <c r="P594" s="65">
        <v>173225</v>
      </c>
      <c r="Q594" s="67">
        <v>878225</v>
      </c>
      <c r="R594" s="66">
        <v>46265</v>
      </c>
      <c r="S594" s="8">
        <f t="shared" si="29"/>
        <v>13</v>
      </c>
      <c r="T594" s="65" t="s">
        <v>1119</v>
      </c>
      <c r="U594" s="65" t="s">
        <v>537</v>
      </c>
    </row>
    <row r="595" spans="1:21" x14ac:dyDescent="0.35">
      <c r="A595" s="17" t="s">
        <v>1113</v>
      </c>
      <c r="B595" s="17" t="s">
        <v>30</v>
      </c>
      <c r="C595" s="17">
        <v>64931184</v>
      </c>
      <c r="D595" s="17" t="s">
        <v>35</v>
      </c>
      <c r="E595" s="17">
        <v>2720258600</v>
      </c>
      <c r="F595" s="17" t="s">
        <v>32</v>
      </c>
      <c r="G595" s="17" t="s">
        <v>23</v>
      </c>
      <c r="H595" s="18">
        <v>46188</v>
      </c>
      <c r="I595" s="18">
        <v>46260</v>
      </c>
      <c r="J595" s="8">
        <f t="shared" si="28"/>
        <v>53</v>
      </c>
      <c r="K595" s="65" t="s">
        <v>295</v>
      </c>
      <c r="L595" s="65" t="s">
        <v>296</v>
      </c>
      <c r="M595" s="65" t="s">
        <v>24</v>
      </c>
      <c r="N595" s="65" t="s">
        <v>82</v>
      </c>
      <c r="O595" s="65">
        <v>570000</v>
      </c>
      <c r="P595" s="65">
        <v>141635</v>
      </c>
      <c r="Q595" s="67">
        <v>711635</v>
      </c>
      <c r="R595" s="66">
        <v>46265</v>
      </c>
      <c r="S595" s="8">
        <f t="shared" si="29"/>
        <v>56</v>
      </c>
      <c r="T595" s="65" t="s">
        <v>1119</v>
      </c>
      <c r="U595" s="65" t="s">
        <v>537</v>
      </c>
    </row>
    <row r="596" spans="1:21" x14ac:dyDescent="0.35">
      <c r="A596" s="17" t="s">
        <v>1103</v>
      </c>
      <c r="B596" s="17" t="s">
        <v>43</v>
      </c>
      <c r="C596" s="17">
        <v>66521865</v>
      </c>
      <c r="D596" s="17" t="s">
        <v>604</v>
      </c>
      <c r="E596" s="17" t="s">
        <v>1114</v>
      </c>
      <c r="F596" s="17" t="s">
        <v>46</v>
      </c>
      <c r="G596" s="17" t="s">
        <v>23</v>
      </c>
      <c r="H596" s="18">
        <v>46217</v>
      </c>
      <c r="I596" s="18">
        <v>46255</v>
      </c>
      <c r="J596" s="8">
        <f t="shared" si="28"/>
        <v>29</v>
      </c>
      <c r="K596" s="65" t="s">
        <v>295</v>
      </c>
      <c r="L596" s="65" t="s">
        <v>296</v>
      </c>
      <c r="M596" s="65" t="s">
        <v>24</v>
      </c>
      <c r="N596" s="65" t="s">
        <v>191</v>
      </c>
      <c r="O596" s="65">
        <v>555089</v>
      </c>
      <c r="P596" s="65">
        <v>165000</v>
      </c>
      <c r="Q596" s="67">
        <v>720089</v>
      </c>
      <c r="R596" s="66">
        <v>46265</v>
      </c>
      <c r="S596" s="8">
        <f t="shared" si="29"/>
        <v>35</v>
      </c>
      <c r="T596" s="65" t="s">
        <v>1119</v>
      </c>
      <c r="U596" s="65" t="s">
        <v>433</v>
      </c>
    </row>
    <row r="597" spans="1:21" x14ac:dyDescent="0.35">
      <c r="A597" s="17" t="s">
        <v>1103</v>
      </c>
      <c r="B597" s="17" t="s">
        <v>43</v>
      </c>
      <c r="C597" s="17">
        <v>66519733</v>
      </c>
      <c r="D597" s="17" t="s">
        <v>136</v>
      </c>
      <c r="E597" s="17" t="s">
        <v>1115</v>
      </c>
      <c r="F597" s="17" t="s">
        <v>46</v>
      </c>
      <c r="G597" s="17" t="s">
        <v>23</v>
      </c>
      <c r="H597" s="18">
        <v>46217</v>
      </c>
      <c r="I597" s="18">
        <v>46252</v>
      </c>
      <c r="J597" s="8">
        <f t="shared" si="28"/>
        <v>26</v>
      </c>
      <c r="K597" s="65" t="s">
        <v>295</v>
      </c>
      <c r="L597" s="65" t="s">
        <v>296</v>
      </c>
      <c r="M597" s="65" t="s">
        <v>24</v>
      </c>
      <c r="N597" s="65" t="s">
        <v>191</v>
      </c>
      <c r="O597" s="65">
        <v>606387</v>
      </c>
      <c r="P597" s="65">
        <v>165000</v>
      </c>
      <c r="Q597" s="67">
        <v>771387</v>
      </c>
      <c r="R597" s="66">
        <v>46265</v>
      </c>
      <c r="S597" s="8">
        <f t="shared" si="29"/>
        <v>35</v>
      </c>
      <c r="T597" s="65" t="s">
        <v>1119</v>
      </c>
      <c r="U597" s="65" t="s">
        <v>433</v>
      </c>
    </row>
    <row r="598" spans="1:21" x14ac:dyDescent="0.35">
      <c r="A598" s="17" t="s">
        <v>1116</v>
      </c>
      <c r="B598" s="17" t="s">
        <v>19</v>
      </c>
      <c r="C598" s="17">
        <v>65901527</v>
      </c>
      <c r="D598" s="17" t="s">
        <v>55</v>
      </c>
      <c r="E598" s="17" t="s">
        <v>1117</v>
      </c>
      <c r="F598" s="17" t="s">
        <v>22</v>
      </c>
      <c r="G598" s="17" t="s">
        <v>23</v>
      </c>
      <c r="H598" s="18">
        <v>46206</v>
      </c>
      <c r="I598" s="18">
        <v>46262</v>
      </c>
      <c r="J598" s="8">
        <f t="shared" si="28"/>
        <v>41</v>
      </c>
      <c r="K598" s="65" t="s">
        <v>344</v>
      </c>
      <c r="L598" s="65" t="s">
        <v>1118</v>
      </c>
      <c r="M598" s="65" t="s">
        <v>24</v>
      </c>
      <c r="N598" s="65" t="s">
        <v>28</v>
      </c>
      <c r="O598" s="65">
        <v>1000000</v>
      </c>
      <c r="P598" s="65">
        <v>667054</v>
      </c>
      <c r="Q598" s="67">
        <v>1667054</v>
      </c>
      <c r="R598" s="66">
        <v>46265</v>
      </c>
      <c r="S598" s="8">
        <f t="shared" si="29"/>
        <v>42</v>
      </c>
      <c r="T598" s="65" t="s">
        <v>1119</v>
      </c>
      <c r="U598" s="65" t="s">
        <v>537</v>
      </c>
    </row>
    <row r="599" spans="1:21" x14ac:dyDescent="0.35">
      <c r="A599" s="17" t="s">
        <v>766</v>
      </c>
      <c r="B599" s="17" t="s">
        <v>19</v>
      </c>
      <c r="C599" s="17">
        <v>57711569</v>
      </c>
      <c r="D599" s="17" t="s">
        <v>1039</v>
      </c>
      <c r="E599" s="17" t="s">
        <v>1120</v>
      </c>
      <c r="F599" s="17" t="s">
        <v>46</v>
      </c>
      <c r="G599" s="17" t="s">
        <v>23</v>
      </c>
      <c r="H599" s="18">
        <v>46056</v>
      </c>
      <c r="I599" s="18">
        <v>46258</v>
      </c>
      <c r="J599" s="8">
        <f t="shared" si="28"/>
        <v>145</v>
      </c>
      <c r="K599" s="65" t="s">
        <v>295</v>
      </c>
      <c r="L599" s="65" t="s">
        <v>302</v>
      </c>
      <c r="M599" s="65" t="s">
        <v>47</v>
      </c>
      <c r="N599" s="65" t="s">
        <v>48</v>
      </c>
      <c r="O599" s="65">
        <v>500000</v>
      </c>
      <c r="P599" s="65">
        <v>0</v>
      </c>
      <c r="Q599" s="67">
        <v>500000</v>
      </c>
      <c r="R599" s="66">
        <v>46265</v>
      </c>
      <c r="S599" s="8">
        <f t="shared" si="29"/>
        <v>150</v>
      </c>
      <c r="T599" s="65" t="s">
        <v>1119</v>
      </c>
      <c r="U599" s="65" t="s">
        <v>537</v>
      </c>
    </row>
    <row r="600" spans="1:21" x14ac:dyDescent="0.35">
      <c r="A600" s="17" t="s">
        <v>1086</v>
      </c>
      <c r="B600" s="17" t="s">
        <v>43</v>
      </c>
      <c r="C600" s="17">
        <v>68306063</v>
      </c>
      <c r="D600" s="17" t="s">
        <v>184</v>
      </c>
      <c r="E600" s="17" t="s">
        <v>1121</v>
      </c>
      <c r="F600" s="17" t="s">
        <v>46</v>
      </c>
      <c r="G600" s="17" t="s">
        <v>23</v>
      </c>
      <c r="H600" s="18">
        <v>46247</v>
      </c>
      <c r="I600" s="18">
        <v>46265</v>
      </c>
      <c r="J600" s="8">
        <f t="shared" si="28"/>
        <v>13</v>
      </c>
      <c r="K600" s="65" t="s">
        <v>295</v>
      </c>
      <c r="L600" s="65" t="s">
        <v>296</v>
      </c>
      <c r="M600" s="65" t="s">
        <v>24</v>
      </c>
      <c r="N600" s="65" t="s">
        <v>146</v>
      </c>
      <c r="O600" s="65">
        <v>0</v>
      </c>
      <c r="P600" s="65">
        <v>0</v>
      </c>
      <c r="Q600" s="67">
        <v>0</v>
      </c>
      <c r="R600" s="66">
        <v>46265</v>
      </c>
      <c r="S600" s="8">
        <f t="shared" si="29"/>
        <v>13</v>
      </c>
      <c r="T600" s="65" t="s">
        <v>1119</v>
      </c>
      <c r="U600" s="65" t="s">
        <v>537</v>
      </c>
    </row>
    <row r="601" spans="1:21" x14ac:dyDescent="0.35">
      <c r="A601" s="17" t="s">
        <v>928</v>
      </c>
      <c r="B601" s="17" t="s">
        <v>43</v>
      </c>
      <c r="C601" s="17">
        <v>65831653</v>
      </c>
      <c r="D601" s="17" t="s">
        <v>569</v>
      </c>
      <c r="E601" s="17" t="s">
        <v>1122</v>
      </c>
      <c r="F601" s="17" t="s">
        <v>498</v>
      </c>
      <c r="G601" s="17" t="s">
        <v>37</v>
      </c>
      <c r="H601" s="18">
        <v>46205</v>
      </c>
      <c r="I601" s="18">
        <v>46265</v>
      </c>
      <c r="J601" s="8">
        <f t="shared" si="28"/>
        <v>43</v>
      </c>
      <c r="K601" s="65" t="s">
        <v>295</v>
      </c>
      <c r="L601" s="65" t="s">
        <v>318</v>
      </c>
      <c r="M601" s="65" t="s">
        <v>24</v>
      </c>
      <c r="N601" s="65" t="s">
        <v>931</v>
      </c>
      <c r="O601" s="65">
        <v>0</v>
      </c>
      <c r="P601" s="65">
        <v>0</v>
      </c>
      <c r="Q601" s="67">
        <v>0</v>
      </c>
      <c r="R601" s="66">
        <v>46265</v>
      </c>
      <c r="S601" s="8">
        <f t="shared" si="29"/>
        <v>43</v>
      </c>
      <c r="T601" s="65" t="s">
        <v>1119</v>
      </c>
      <c r="U601" s="65" t="s">
        <v>433</v>
      </c>
    </row>
    <row r="602" spans="1:21" x14ac:dyDescent="0.35">
      <c r="A602" s="17" t="s">
        <v>1123</v>
      </c>
      <c r="B602" s="17" t="s">
        <v>43</v>
      </c>
      <c r="C602" s="17">
        <v>66618775</v>
      </c>
      <c r="D602" s="17" t="s">
        <v>35</v>
      </c>
      <c r="E602" s="17" t="s">
        <v>1124</v>
      </c>
      <c r="F602" s="17" t="s">
        <v>22</v>
      </c>
      <c r="G602" s="17" t="s">
        <v>37</v>
      </c>
      <c r="H602" s="18">
        <v>46218</v>
      </c>
      <c r="I602" s="18">
        <v>46265</v>
      </c>
      <c r="J602" s="8">
        <f t="shared" si="28"/>
        <v>34</v>
      </c>
      <c r="K602" s="65" t="s">
        <v>295</v>
      </c>
      <c r="L602" s="65" t="s">
        <v>296</v>
      </c>
      <c r="M602" s="65" t="s">
        <v>24</v>
      </c>
      <c r="N602" s="65" t="s">
        <v>38</v>
      </c>
      <c r="O602" s="65">
        <v>0</v>
      </c>
      <c r="P602" s="65">
        <v>0</v>
      </c>
      <c r="Q602" s="67">
        <v>0</v>
      </c>
      <c r="R602" s="66">
        <v>46265</v>
      </c>
      <c r="S602" s="8">
        <f t="shared" si="29"/>
        <v>34</v>
      </c>
      <c r="T602" s="65" t="s">
        <v>1119</v>
      </c>
      <c r="U602" s="65" t="s">
        <v>537</v>
      </c>
    </row>
    <row r="603" spans="1:21" x14ac:dyDescent="0.35">
      <c r="A603" s="17" t="s">
        <v>1125</v>
      </c>
      <c r="B603" s="17" t="s">
        <v>43</v>
      </c>
      <c r="C603" s="17">
        <v>66199410</v>
      </c>
      <c r="D603" s="17" t="s">
        <v>35</v>
      </c>
      <c r="E603" s="17" t="s">
        <v>1126</v>
      </c>
      <c r="F603" s="17" t="s">
        <v>46</v>
      </c>
      <c r="G603" s="17" t="s">
        <v>23</v>
      </c>
      <c r="H603" s="18">
        <v>46211</v>
      </c>
      <c r="I603" s="18">
        <v>46254</v>
      </c>
      <c r="J603" s="8">
        <f t="shared" si="28"/>
        <v>32</v>
      </c>
      <c r="K603" s="65" t="s">
        <v>295</v>
      </c>
      <c r="L603" s="65" t="s">
        <v>302</v>
      </c>
      <c r="M603" s="65" t="s">
        <v>24</v>
      </c>
      <c r="N603" s="65" t="s">
        <v>82</v>
      </c>
      <c r="O603" s="65">
        <v>655375</v>
      </c>
      <c r="P603" s="65">
        <v>390000</v>
      </c>
      <c r="Q603" s="67">
        <v>1045375</v>
      </c>
      <c r="R603" s="66">
        <v>46265</v>
      </c>
      <c r="S603" s="8">
        <f t="shared" si="29"/>
        <v>39</v>
      </c>
      <c r="T603" s="65" t="s">
        <v>1119</v>
      </c>
      <c r="U603" s="65" t="s">
        <v>537</v>
      </c>
    </row>
    <row r="604" spans="1:21" x14ac:dyDescent="0.35">
      <c r="A604" s="17" t="s">
        <v>701</v>
      </c>
      <c r="B604" s="17" t="s">
        <v>30</v>
      </c>
      <c r="C604" s="17">
        <v>69186503</v>
      </c>
      <c r="D604" s="17" t="s">
        <v>20</v>
      </c>
      <c r="E604" s="17">
        <v>2722419000</v>
      </c>
      <c r="F604" s="17" t="s">
        <v>32</v>
      </c>
      <c r="G604" s="17" t="s">
        <v>23</v>
      </c>
      <c r="H604" s="18">
        <v>46262</v>
      </c>
      <c r="I604" s="18">
        <v>46265</v>
      </c>
      <c r="J604" s="8">
        <f t="shared" si="28"/>
        <v>2</v>
      </c>
      <c r="K604" s="65" t="s">
        <v>295</v>
      </c>
      <c r="L604" s="65" t="s">
        <v>296</v>
      </c>
      <c r="M604" s="65" t="s">
        <v>24</v>
      </c>
      <c r="N604" s="65" t="s">
        <v>33</v>
      </c>
      <c r="O604" s="65">
        <v>150000</v>
      </c>
      <c r="P604" s="65">
        <v>40000</v>
      </c>
      <c r="Q604" s="67">
        <v>190000</v>
      </c>
      <c r="R604" s="66">
        <v>46265</v>
      </c>
      <c r="S604" s="8">
        <f t="shared" si="29"/>
        <v>2</v>
      </c>
      <c r="T604" s="65" t="s">
        <v>1119</v>
      </c>
      <c r="U604" s="65" t="s">
        <v>537</v>
      </c>
    </row>
    <row r="605" spans="1:21" x14ac:dyDescent="0.35">
      <c r="A605" s="17" t="s">
        <v>1127</v>
      </c>
      <c r="B605" s="17" t="s">
        <v>19</v>
      </c>
      <c r="C605" s="17">
        <v>69204544</v>
      </c>
      <c r="D605" s="17" t="s">
        <v>20</v>
      </c>
      <c r="E605" s="17" t="s">
        <v>1128</v>
      </c>
      <c r="F605" s="17" t="s">
        <v>46</v>
      </c>
      <c r="G605" s="17" t="s">
        <v>23</v>
      </c>
      <c r="H605" s="18">
        <v>46262</v>
      </c>
      <c r="I605" s="18">
        <v>46265</v>
      </c>
      <c r="J605" s="8">
        <f t="shared" si="28"/>
        <v>2</v>
      </c>
      <c r="K605" s="65" t="s">
        <v>295</v>
      </c>
      <c r="L605" s="65" t="s">
        <v>296</v>
      </c>
      <c r="M605" s="65" t="s">
        <v>24</v>
      </c>
      <c r="N605" s="65" t="s">
        <v>25</v>
      </c>
      <c r="O605" s="65">
        <v>289173</v>
      </c>
      <c r="P605" s="65">
        <v>0</v>
      </c>
      <c r="Q605" s="67">
        <v>289173</v>
      </c>
      <c r="R605" s="66">
        <v>46265</v>
      </c>
      <c r="S605" s="8">
        <f t="shared" si="29"/>
        <v>2</v>
      </c>
      <c r="T605" s="65" t="s">
        <v>1119</v>
      </c>
      <c r="U605" s="65" t="s">
        <v>537</v>
      </c>
    </row>
    <row r="606" spans="1:21" x14ac:dyDescent="0.35">
      <c r="A606" s="17" t="s">
        <v>1129</v>
      </c>
      <c r="B606" s="17" t="s">
        <v>19</v>
      </c>
      <c r="C606" s="17">
        <v>69171393</v>
      </c>
      <c r="D606" s="17" t="s">
        <v>435</v>
      </c>
      <c r="E606" s="17" t="s">
        <v>1130</v>
      </c>
      <c r="F606" s="17" t="s">
        <v>46</v>
      </c>
      <c r="G606" s="17" t="s">
        <v>23</v>
      </c>
      <c r="H606" s="18">
        <v>46262</v>
      </c>
      <c r="I606" s="18">
        <v>46262</v>
      </c>
      <c r="J606" s="8">
        <f t="shared" si="28"/>
        <v>1</v>
      </c>
      <c r="K606" s="65" t="s">
        <v>295</v>
      </c>
      <c r="L606" s="65" t="s">
        <v>296</v>
      </c>
      <c r="M606" s="65" t="s">
        <v>24</v>
      </c>
      <c r="N606" s="65" t="s">
        <v>38</v>
      </c>
      <c r="O606" s="65">
        <v>0</v>
      </c>
      <c r="P606" s="65">
        <v>0</v>
      </c>
      <c r="Q606" s="67">
        <v>0</v>
      </c>
      <c r="R606" s="66">
        <v>46265</v>
      </c>
      <c r="S606" s="8">
        <f t="shared" si="29"/>
        <v>2</v>
      </c>
      <c r="T606" s="65" t="s">
        <v>1119</v>
      </c>
      <c r="U606" s="65" t="s">
        <v>537</v>
      </c>
    </row>
    <row r="607" spans="1:21" x14ac:dyDescent="0.35">
      <c r="A607" s="17" t="s">
        <v>1131</v>
      </c>
      <c r="B607" s="17" t="s">
        <v>43</v>
      </c>
      <c r="C607" s="17">
        <v>52808171</v>
      </c>
      <c r="D607" s="17" t="s">
        <v>195</v>
      </c>
      <c r="E607" s="17" t="s">
        <v>446</v>
      </c>
      <c r="F607" s="17" t="s">
        <v>46</v>
      </c>
      <c r="G607" s="17" t="s">
        <v>37</v>
      </c>
      <c r="H607" s="18">
        <v>45960</v>
      </c>
      <c r="I607" s="18">
        <v>46262</v>
      </c>
      <c r="J607" s="8">
        <f t="shared" si="28"/>
        <v>217</v>
      </c>
      <c r="K607" s="65" t="s">
        <v>295</v>
      </c>
      <c r="L607" s="65" t="s">
        <v>302</v>
      </c>
      <c r="M607" s="65" t="s">
        <v>24</v>
      </c>
      <c r="N607" s="65" t="s">
        <v>103</v>
      </c>
      <c r="O607" s="65">
        <v>1030000</v>
      </c>
      <c r="P607" s="65">
        <v>539308</v>
      </c>
      <c r="Q607" s="67">
        <v>1569308</v>
      </c>
      <c r="R607" s="66">
        <v>46265</v>
      </c>
      <c r="S607" s="8">
        <f t="shared" si="29"/>
        <v>218</v>
      </c>
      <c r="T607" s="65" t="s">
        <v>1119</v>
      </c>
      <c r="U607" s="65" t="s">
        <v>537</v>
      </c>
    </row>
    <row r="608" spans="1:21" x14ac:dyDescent="0.35">
      <c r="A608" s="17" t="s">
        <v>1103</v>
      </c>
      <c r="B608" s="17" t="s">
        <v>43</v>
      </c>
      <c r="C608" s="17">
        <v>66535079</v>
      </c>
      <c r="D608" s="17" t="s">
        <v>289</v>
      </c>
      <c r="E608" s="17" t="s">
        <v>1132</v>
      </c>
      <c r="F608" s="17" t="s">
        <v>46</v>
      </c>
      <c r="G608" s="17" t="s">
        <v>23</v>
      </c>
      <c r="H608" s="18">
        <v>46217</v>
      </c>
      <c r="I608" s="18">
        <v>46265</v>
      </c>
      <c r="J608" s="8">
        <f t="shared" si="28"/>
        <v>35</v>
      </c>
      <c r="K608" s="65" t="s">
        <v>295</v>
      </c>
      <c r="L608" s="65" t="s">
        <v>302</v>
      </c>
      <c r="M608" s="65" t="s">
        <v>24</v>
      </c>
      <c r="N608" s="65" t="s">
        <v>191</v>
      </c>
      <c r="O608" s="65">
        <v>850000</v>
      </c>
      <c r="P608" s="65">
        <v>165000</v>
      </c>
      <c r="Q608" s="67">
        <v>1015000</v>
      </c>
      <c r="R608" s="66">
        <v>46265</v>
      </c>
      <c r="S608" s="8">
        <f t="shared" si="29"/>
        <v>35</v>
      </c>
      <c r="T608" s="65" t="s">
        <v>1119</v>
      </c>
      <c r="U608" s="65" t="s">
        <v>537</v>
      </c>
    </row>
    <row r="609" spans="1:21" x14ac:dyDescent="0.35">
      <c r="A609" s="17" t="s">
        <v>458</v>
      </c>
      <c r="B609" s="17" t="s">
        <v>43</v>
      </c>
      <c r="C609" s="17">
        <v>65539308</v>
      </c>
      <c r="D609" s="17" t="s">
        <v>1141</v>
      </c>
      <c r="E609" s="17" t="s">
        <v>1142</v>
      </c>
      <c r="F609" s="17" t="s">
        <v>46</v>
      </c>
      <c r="G609" s="17" t="s">
        <v>23</v>
      </c>
      <c r="H609" s="18">
        <v>46199</v>
      </c>
      <c r="I609" s="18">
        <v>46253</v>
      </c>
      <c r="J609" s="8">
        <f t="shared" si="28"/>
        <v>39</v>
      </c>
      <c r="K609" s="65" t="s">
        <v>295</v>
      </c>
      <c r="L609" s="65" t="s">
        <v>302</v>
      </c>
      <c r="M609" s="65" t="s">
        <v>24</v>
      </c>
      <c r="N609" s="65" t="s">
        <v>48</v>
      </c>
      <c r="O609" s="65">
        <v>2000000</v>
      </c>
      <c r="P609" s="65">
        <v>462000</v>
      </c>
      <c r="Q609" s="67">
        <v>1015000</v>
      </c>
      <c r="R609" s="66">
        <v>46265</v>
      </c>
      <c r="S609" s="8">
        <f t="shared" si="29"/>
        <v>47</v>
      </c>
      <c r="T609" s="65" t="s">
        <v>1119</v>
      </c>
      <c r="U609" s="65" t="s">
        <v>537</v>
      </c>
    </row>
    <row r="610" spans="1:21" x14ac:dyDescent="0.35">
      <c r="A610" s="17" t="s">
        <v>1133</v>
      </c>
      <c r="B610" s="17" t="s">
        <v>19</v>
      </c>
      <c r="C610" s="17">
        <v>69236553</v>
      </c>
      <c r="D610" s="17" t="s">
        <v>281</v>
      </c>
      <c r="E610" s="17" t="s">
        <v>1134</v>
      </c>
      <c r="F610" s="17" t="s">
        <v>46</v>
      </c>
      <c r="G610" s="17" t="s">
        <v>23</v>
      </c>
      <c r="H610" s="18">
        <v>46263</v>
      </c>
      <c r="I610" s="18">
        <v>46266</v>
      </c>
      <c r="J610" s="8">
        <f t="shared" si="28"/>
        <v>2</v>
      </c>
      <c r="K610" s="17" t="s">
        <v>295</v>
      </c>
      <c r="L610" s="17" t="s">
        <v>296</v>
      </c>
      <c r="M610" s="17" t="s">
        <v>24</v>
      </c>
      <c r="N610" s="17" t="s">
        <v>28</v>
      </c>
      <c r="O610" s="17">
        <v>600000</v>
      </c>
      <c r="P610" s="17">
        <v>0</v>
      </c>
      <c r="Q610" s="31">
        <v>600000</v>
      </c>
      <c r="R610" s="18">
        <v>46267</v>
      </c>
      <c r="S610" s="8">
        <f t="shared" si="29"/>
        <v>3</v>
      </c>
      <c r="T610" s="65" t="s">
        <v>1119</v>
      </c>
      <c r="U610" s="65" t="s">
        <v>537</v>
      </c>
    </row>
    <row r="611" spans="1:21" x14ac:dyDescent="0.35">
      <c r="A611" s="17" t="s">
        <v>1135</v>
      </c>
      <c r="B611" s="17" t="s">
        <v>19</v>
      </c>
      <c r="C611" s="17">
        <v>67062549</v>
      </c>
      <c r="D611" s="17" t="s">
        <v>35</v>
      </c>
      <c r="E611" s="17" t="s">
        <v>1136</v>
      </c>
      <c r="F611" s="17" t="s">
        <v>22</v>
      </c>
      <c r="G611" s="17" t="s">
        <v>37</v>
      </c>
      <c r="H611" s="18">
        <v>46226</v>
      </c>
      <c r="I611" s="18">
        <v>46262</v>
      </c>
      <c r="J611" s="8">
        <f t="shared" si="28"/>
        <v>27</v>
      </c>
      <c r="K611" s="17" t="s">
        <v>295</v>
      </c>
      <c r="L611" s="17" t="s">
        <v>296</v>
      </c>
      <c r="M611" s="17" t="s">
        <v>24</v>
      </c>
      <c r="N611" s="17" t="s">
        <v>38</v>
      </c>
      <c r="O611" s="17">
        <v>0</v>
      </c>
      <c r="P611" s="17">
        <v>0</v>
      </c>
      <c r="Q611" s="31">
        <v>0</v>
      </c>
      <c r="R611" s="18">
        <v>46267</v>
      </c>
      <c r="S611" s="8">
        <f t="shared" si="29"/>
        <v>30</v>
      </c>
      <c r="T611" s="65" t="s">
        <v>1119</v>
      </c>
      <c r="U611" s="65" t="s">
        <v>537</v>
      </c>
    </row>
    <row r="612" spans="1:21" x14ac:dyDescent="0.35">
      <c r="A612" s="17" t="s">
        <v>1137</v>
      </c>
      <c r="B612" s="17" t="s">
        <v>19</v>
      </c>
      <c r="C612" s="17">
        <v>67428905</v>
      </c>
      <c r="D612" s="17" t="s">
        <v>948</v>
      </c>
      <c r="E612" s="17" t="s">
        <v>1138</v>
      </c>
      <c r="F612" s="17" t="s">
        <v>46</v>
      </c>
      <c r="G612" s="17" t="s">
        <v>23</v>
      </c>
      <c r="H612" s="18">
        <v>46232</v>
      </c>
      <c r="I612" s="18">
        <v>46266</v>
      </c>
      <c r="J612" s="8">
        <f t="shared" si="28"/>
        <v>25</v>
      </c>
      <c r="K612" s="17" t="s">
        <v>295</v>
      </c>
      <c r="L612" s="17" t="s">
        <v>296</v>
      </c>
      <c r="M612" s="17" t="s">
        <v>24</v>
      </c>
      <c r="N612" s="17" t="s">
        <v>53</v>
      </c>
      <c r="O612" s="17">
        <v>3971000</v>
      </c>
      <c r="P612" s="17">
        <v>250000</v>
      </c>
      <c r="Q612" s="31">
        <v>4221000</v>
      </c>
      <c r="R612" s="18">
        <v>46268</v>
      </c>
      <c r="S612" s="8">
        <f t="shared" si="29"/>
        <v>27</v>
      </c>
      <c r="T612" s="65" t="s">
        <v>1119</v>
      </c>
      <c r="U612" s="65" t="s">
        <v>537</v>
      </c>
    </row>
    <row r="613" spans="1:21" s="68" customFormat="1" ht="12" x14ac:dyDescent="0.3">
      <c r="A613" s="17" t="s">
        <v>535</v>
      </c>
      <c r="B613" s="17" t="s">
        <v>19</v>
      </c>
      <c r="C613" s="17">
        <v>66163696</v>
      </c>
      <c r="D613" s="17" t="s">
        <v>1139</v>
      </c>
      <c r="E613" s="17" t="s">
        <v>1140</v>
      </c>
      <c r="F613" s="17" t="s">
        <v>22</v>
      </c>
      <c r="G613" s="17" t="s">
        <v>23</v>
      </c>
      <c r="H613" s="18">
        <v>46211</v>
      </c>
      <c r="I613" s="18">
        <v>46268</v>
      </c>
      <c r="J613" s="8">
        <f t="shared" si="28"/>
        <v>42</v>
      </c>
      <c r="K613" s="17" t="s">
        <v>295</v>
      </c>
      <c r="L613" s="17" t="s">
        <v>302</v>
      </c>
      <c r="M613" s="17" t="s">
        <v>47</v>
      </c>
      <c r="N613" s="17" t="s">
        <v>63</v>
      </c>
      <c r="O613" s="17">
        <v>500000</v>
      </c>
      <c r="P613" s="17">
        <v>0</v>
      </c>
      <c r="Q613" s="31">
        <v>500000</v>
      </c>
      <c r="R613" s="18">
        <v>46269</v>
      </c>
      <c r="S613" s="8">
        <f t="shared" si="29"/>
        <v>43</v>
      </c>
      <c r="T613" s="17" t="s">
        <v>1119</v>
      </c>
      <c r="U613" s="17" t="s">
        <v>537</v>
      </c>
    </row>
    <row r="614" spans="1:21" s="68" customFormat="1" ht="12" x14ac:dyDescent="0.3">
      <c r="A614" s="17" t="s">
        <v>445</v>
      </c>
      <c r="B614" s="17" t="s">
        <v>19</v>
      </c>
      <c r="C614" s="17">
        <v>64978596</v>
      </c>
      <c r="D614" s="17" t="s">
        <v>195</v>
      </c>
      <c r="E614" s="17" t="s">
        <v>1143</v>
      </c>
      <c r="F614" s="17" t="s">
        <v>46</v>
      </c>
      <c r="G614" s="17" t="s">
        <v>37</v>
      </c>
      <c r="H614" s="18">
        <v>46189</v>
      </c>
      <c r="I614" s="18">
        <v>46268</v>
      </c>
      <c r="J614" s="8">
        <f t="shared" si="28"/>
        <v>58</v>
      </c>
      <c r="K614" s="17" t="s">
        <v>295</v>
      </c>
      <c r="L614" s="17" t="s">
        <v>302</v>
      </c>
      <c r="M614" s="17" t="s">
        <v>24</v>
      </c>
      <c r="N614" s="17" t="s">
        <v>92</v>
      </c>
      <c r="O614" s="17">
        <v>0</v>
      </c>
      <c r="P614" s="17">
        <v>0</v>
      </c>
      <c r="Q614" s="31">
        <v>0</v>
      </c>
      <c r="R614" s="18">
        <v>46272</v>
      </c>
      <c r="S614" s="8">
        <f t="shared" si="29"/>
        <v>60</v>
      </c>
      <c r="T614" s="17" t="s">
        <v>1154</v>
      </c>
      <c r="U614" s="17" t="s">
        <v>537</v>
      </c>
    </row>
    <row r="615" spans="1:21" s="68" customFormat="1" ht="12" x14ac:dyDescent="0.3">
      <c r="A615" s="17" t="s">
        <v>445</v>
      </c>
      <c r="B615" s="17" t="s">
        <v>19</v>
      </c>
      <c r="C615" s="17">
        <v>64977690</v>
      </c>
      <c r="D615" s="17" t="s">
        <v>195</v>
      </c>
      <c r="E615" s="17" t="s">
        <v>1144</v>
      </c>
      <c r="F615" s="17" t="s">
        <v>22</v>
      </c>
      <c r="G615" s="17" t="s">
        <v>37</v>
      </c>
      <c r="H615" s="18">
        <v>46189</v>
      </c>
      <c r="I615" s="18">
        <v>46263</v>
      </c>
      <c r="J615" s="8">
        <f t="shared" si="28"/>
        <v>54</v>
      </c>
      <c r="K615" s="17" t="s">
        <v>295</v>
      </c>
      <c r="L615" s="17" t="s">
        <v>302</v>
      </c>
      <c r="M615" s="17" t="s">
        <v>24</v>
      </c>
      <c r="N615" s="17" t="s">
        <v>254</v>
      </c>
      <c r="O615" s="17">
        <v>0</v>
      </c>
      <c r="P615" s="17">
        <v>0</v>
      </c>
      <c r="Q615" s="31">
        <v>0</v>
      </c>
      <c r="R615" s="18">
        <v>46272</v>
      </c>
      <c r="S615" s="8">
        <f t="shared" si="29"/>
        <v>60</v>
      </c>
      <c r="T615" s="17" t="s">
        <v>1154</v>
      </c>
      <c r="U615" s="17" t="s">
        <v>537</v>
      </c>
    </row>
    <row r="616" spans="1:21" s="68" customFormat="1" ht="12" x14ac:dyDescent="0.3">
      <c r="A616" s="17" t="s">
        <v>42</v>
      </c>
      <c r="B616" s="17" t="s">
        <v>19</v>
      </c>
      <c r="C616" s="17">
        <v>68168373</v>
      </c>
      <c r="D616" s="17" t="s">
        <v>49</v>
      </c>
      <c r="E616" s="17" t="s">
        <v>1145</v>
      </c>
      <c r="F616" s="17" t="s">
        <v>22</v>
      </c>
      <c r="G616" s="17" t="s">
        <v>23</v>
      </c>
      <c r="H616" s="18">
        <v>46245</v>
      </c>
      <c r="I616" s="18">
        <v>46272</v>
      </c>
      <c r="J616" s="8">
        <f t="shared" si="28"/>
        <v>20</v>
      </c>
      <c r="K616" s="17" t="s">
        <v>295</v>
      </c>
      <c r="L616" s="17" t="s">
        <v>296</v>
      </c>
      <c r="M616" s="17" t="s">
        <v>47</v>
      </c>
      <c r="N616" s="17" t="s">
        <v>48</v>
      </c>
      <c r="O616" s="17">
        <v>200000</v>
      </c>
      <c r="P616" s="17">
        <v>0</v>
      </c>
      <c r="Q616" s="31">
        <v>200000</v>
      </c>
      <c r="R616" s="18">
        <v>46272</v>
      </c>
      <c r="S616" s="8">
        <f t="shared" si="29"/>
        <v>20</v>
      </c>
      <c r="T616" s="17" t="s">
        <v>1154</v>
      </c>
      <c r="U616" s="17" t="s">
        <v>537</v>
      </c>
    </row>
    <row r="617" spans="1:21" s="68" customFormat="1" ht="12" x14ac:dyDescent="0.3">
      <c r="A617" s="17" t="s">
        <v>1146</v>
      </c>
      <c r="B617" s="17" t="s">
        <v>19</v>
      </c>
      <c r="C617" s="17">
        <v>64979396</v>
      </c>
      <c r="D617" s="17" t="s">
        <v>195</v>
      </c>
      <c r="E617" s="17" t="s">
        <v>1147</v>
      </c>
      <c r="F617" s="17" t="s">
        <v>22</v>
      </c>
      <c r="G617" s="17" t="s">
        <v>37</v>
      </c>
      <c r="H617" s="18">
        <v>46189</v>
      </c>
      <c r="I617" s="18">
        <v>46263</v>
      </c>
      <c r="J617" s="8">
        <f t="shared" si="28"/>
        <v>54</v>
      </c>
      <c r="K617" s="17" t="s">
        <v>295</v>
      </c>
      <c r="L617" s="17" t="s">
        <v>302</v>
      </c>
      <c r="M617" s="17" t="s">
        <v>24</v>
      </c>
      <c r="N617" s="17" t="s">
        <v>254</v>
      </c>
      <c r="O617" s="17">
        <v>0</v>
      </c>
      <c r="P617" s="17">
        <v>0</v>
      </c>
      <c r="Q617" s="31">
        <v>0</v>
      </c>
      <c r="R617" s="18">
        <v>46272</v>
      </c>
      <c r="S617" s="8">
        <f t="shared" si="29"/>
        <v>60</v>
      </c>
      <c r="T617" s="17" t="s">
        <v>1154</v>
      </c>
      <c r="U617" s="17" t="s">
        <v>537</v>
      </c>
    </row>
    <row r="618" spans="1:21" s="68" customFormat="1" ht="12" x14ac:dyDescent="0.3">
      <c r="A618" s="17" t="s">
        <v>1148</v>
      </c>
      <c r="B618" s="17" t="s">
        <v>30</v>
      </c>
      <c r="C618" s="17">
        <v>69323275</v>
      </c>
      <c r="D618" s="17" t="s">
        <v>1149</v>
      </c>
      <c r="E618" s="17">
        <v>2734701970</v>
      </c>
      <c r="F618" s="17" t="s">
        <v>32</v>
      </c>
      <c r="G618" s="17" t="s">
        <v>23</v>
      </c>
      <c r="H618" s="18">
        <v>46265</v>
      </c>
      <c r="I618" s="18">
        <v>46273</v>
      </c>
      <c r="J618" s="8">
        <f t="shared" si="28"/>
        <v>7</v>
      </c>
      <c r="K618" s="17" t="s">
        <v>295</v>
      </c>
      <c r="L618" s="17" t="s">
        <v>296</v>
      </c>
      <c r="M618" s="17" t="s">
        <v>24</v>
      </c>
      <c r="N618" s="17" t="s">
        <v>33</v>
      </c>
      <c r="O618" s="17">
        <v>150000</v>
      </c>
      <c r="P618" s="17">
        <v>40000</v>
      </c>
      <c r="Q618" s="31">
        <v>190000</v>
      </c>
      <c r="R618" s="18">
        <v>46273</v>
      </c>
      <c r="S618" s="8">
        <f t="shared" si="29"/>
        <v>7</v>
      </c>
      <c r="T618" s="17" t="s">
        <v>1154</v>
      </c>
      <c r="U618" s="17" t="s">
        <v>537</v>
      </c>
    </row>
    <row r="619" spans="1:21" s="68" customFormat="1" ht="12" x14ac:dyDescent="0.3">
      <c r="A619" s="17" t="s">
        <v>644</v>
      </c>
      <c r="B619" s="17" t="s">
        <v>43</v>
      </c>
      <c r="C619" s="17">
        <v>69166391</v>
      </c>
      <c r="D619" s="17" t="s">
        <v>195</v>
      </c>
      <c r="E619" s="17" t="s">
        <v>1150</v>
      </c>
      <c r="F619" s="17" t="s">
        <v>498</v>
      </c>
      <c r="G619" s="17" t="s">
        <v>37</v>
      </c>
      <c r="H619" s="18">
        <v>46262</v>
      </c>
      <c r="I619" s="18">
        <v>46273</v>
      </c>
      <c r="J619" s="8">
        <f t="shared" ref="J619:J642" si="30">+NETWORKDAYS(H619,I619)</f>
        <v>8</v>
      </c>
      <c r="K619" s="17" t="s">
        <v>295</v>
      </c>
      <c r="L619" s="17" t="s">
        <v>296</v>
      </c>
      <c r="M619" s="17" t="s">
        <v>24</v>
      </c>
      <c r="N619" s="17" t="s">
        <v>931</v>
      </c>
      <c r="O619" s="17">
        <v>0</v>
      </c>
      <c r="P619" s="17">
        <v>0</v>
      </c>
      <c r="Q619" s="31">
        <v>0</v>
      </c>
      <c r="R619" s="18">
        <v>46273</v>
      </c>
      <c r="S619" s="8">
        <f t="shared" si="29"/>
        <v>8</v>
      </c>
      <c r="T619" s="17" t="s">
        <v>1154</v>
      </c>
      <c r="U619" s="17" t="s">
        <v>537</v>
      </c>
    </row>
    <row r="620" spans="1:21" s="68" customFormat="1" ht="12" x14ac:dyDescent="0.3">
      <c r="A620" s="17" t="s">
        <v>1151</v>
      </c>
      <c r="B620" s="17" t="s">
        <v>85</v>
      </c>
      <c r="C620" s="17">
        <v>67535126</v>
      </c>
      <c r="D620" s="17" t="s">
        <v>479</v>
      </c>
      <c r="E620" s="17">
        <v>2721239560</v>
      </c>
      <c r="F620" s="17" t="s">
        <v>32</v>
      </c>
      <c r="G620" s="17" t="s">
        <v>23</v>
      </c>
      <c r="H620" s="18">
        <v>46234</v>
      </c>
      <c r="I620" s="18">
        <v>46267</v>
      </c>
      <c r="J620" s="8">
        <f t="shared" si="30"/>
        <v>24</v>
      </c>
      <c r="K620" s="17" t="s">
        <v>295</v>
      </c>
      <c r="L620" s="17" t="s">
        <v>296</v>
      </c>
      <c r="M620" s="17" t="s">
        <v>24</v>
      </c>
      <c r="N620" s="17" t="s">
        <v>82</v>
      </c>
      <c r="O620" s="17">
        <v>1000000</v>
      </c>
      <c r="P620" s="17">
        <v>231750</v>
      </c>
      <c r="Q620" s="31">
        <v>1231750</v>
      </c>
      <c r="R620" s="18">
        <v>46273</v>
      </c>
      <c r="S620" s="8">
        <f t="shared" si="29"/>
        <v>28</v>
      </c>
      <c r="T620" s="17" t="s">
        <v>1154</v>
      </c>
      <c r="U620" s="17" t="s">
        <v>537</v>
      </c>
    </row>
    <row r="621" spans="1:21" s="3" customFormat="1" ht="12" x14ac:dyDescent="0.3">
      <c r="A621" s="69" t="s">
        <v>1152</v>
      </c>
      <c r="B621" s="65" t="s">
        <v>30</v>
      </c>
      <c r="C621" s="65">
        <v>66629281</v>
      </c>
      <c r="D621" s="65" t="s">
        <v>20</v>
      </c>
      <c r="E621" s="65">
        <v>2722244088</v>
      </c>
      <c r="F621" s="65" t="s">
        <v>32</v>
      </c>
      <c r="G621" s="65" t="s">
        <v>23</v>
      </c>
      <c r="H621" s="66">
        <v>46218</v>
      </c>
      <c r="I621" s="66">
        <v>46267</v>
      </c>
      <c r="J621" s="8">
        <f t="shared" si="30"/>
        <v>36</v>
      </c>
      <c r="K621" s="65" t="s">
        <v>295</v>
      </c>
      <c r="L621" s="65" t="s">
        <v>318</v>
      </c>
      <c r="M621" s="65" t="s">
        <v>24</v>
      </c>
      <c r="N621" s="65" t="s">
        <v>33</v>
      </c>
      <c r="O621" s="65">
        <v>150000</v>
      </c>
      <c r="P621" s="65">
        <v>60000</v>
      </c>
      <c r="Q621" s="67">
        <v>210000</v>
      </c>
      <c r="R621" s="66">
        <v>46274</v>
      </c>
      <c r="S621" s="8">
        <f t="shared" si="29"/>
        <v>41</v>
      </c>
      <c r="T621" s="65" t="s">
        <v>1154</v>
      </c>
      <c r="U621" s="65" t="s">
        <v>537</v>
      </c>
    </row>
    <row r="622" spans="1:21" s="3" customFormat="1" ht="12" x14ac:dyDescent="0.3">
      <c r="A622" s="69" t="s">
        <v>1153</v>
      </c>
      <c r="B622" s="65" t="s">
        <v>30</v>
      </c>
      <c r="C622" s="65">
        <v>67775875</v>
      </c>
      <c r="D622" s="65" t="s">
        <v>20</v>
      </c>
      <c r="E622" s="65">
        <v>2722554093</v>
      </c>
      <c r="F622" s="65" t="s">
        <v>32</v>
      </c>
      <c r="G622" s="65" t="s">
        <v>23</v>
      </c>
      <c r="H622" s="66">
        <v>46238</v>
      </c>
      <c r="I622" s="66">
        <v>46265</v>
      </c>
      <c r="J622" s="8">
        <f t="shared" si="30"/>
        <v>20</v>
      </c>
      <c r="K622" s="65" t="s">
        <v>295</v>
      </c>
      <c r="L622" s="65" t="s">
        <v>296</v>
      </c>
      <c r="M622" s="65" t="s">
        <v>24</v>
      </c>
      <c r="N622" s="65" t="s">
        <v>33</v>
      </c>
      <c r="O622" s="65">
        <v>150000</v>
      </c>
      <c r="P622" s="65">
        <v>60000</v>
      </c>
      <c r="Q622" s="67">
        <v>210000</v>
      </c>
      <c r="R622" s="66">
        <v>46274</v>
      </c>
      <c r="S622" s="8">
        <f t="shared" si="29"/>
        <v>27</v>
      </c>
      <c r="T622" s="65" t="s">
        <v>1154</v>
      </c>
      <c r="U622" s="65" t="s">
        <v>537</v>
      </c>
    </row>
    <row r="623" spans="1:21" x14ac:dyDescent="0.35">
      <c r="A623" s="17" t="s">
        <v>1155</v>
      </c>
      <c r="B623" s="17" t="s">
        <v>43</v>
      </c>
      <c r="C623" s="17">
        <v>66102306</v>
      </c>
      <c r="D623" s="17" t="s">
        <v>99</v>
      </c>
      <c r="E623" s="17" t="s">
        <v>1156</v>
      </c>
      <c r="F623" s="17" t="s">
        <v>46</v>
      </c>
      <c r="G623" s="17" t="s">
        <v>23</v>
      </c>
      <c r="H623" s="18">
        <v>46210</v>
      </c>
      <c r="I623" s="18">
        <v>46273</v>
      </c>
      <c r="J623" s="8">
        <f t="shared" si="30"/>
        <v>46</v>
      </c>
      <c r="K623" s="65" t="s">
        <v>295</v>
      </c>
      <c r="L623" s="65" t="s">
        <v>318</v>
      </c>
      <c r="M623" s="65" t="s">
        <v>24</v>
      </c>
      <c r="N623" s="65" t="s">
        <v>48</v>
      </c>
      <c r="O623" s="65">
        <v>2000000</v>
      </c>
      <c r="P623" s="65">
        <v>462000</v>
      </c>
      <c r="Q623" s="67">
        <v>2462000</v>
      </c>
      <c r="R623" s="66">
        <v>46275</v>
      </c>
      <c r="S623" s="8">
        <f t="shared" si="29"/>
        <v>48</v>
      </c>
      <c r="T623" s="65" t="s">
        <v>1154</v>
      </c>
      <c r="U623" s="65" t="s">
        <v>537</v>
      </c>
    </row>
    <row r="624" spans="1:21" x14ac:dyDescent="0.35">
      <c r="A624" s="17" t="s">
        <v>1157</v>
      </c>
      <c r="B624" s="17" t="s">
        <v>43</v>
      </c>
      <c r="C624" s="17" t="s">
        <v>1158</v>
      </c>
      <c r="D624" s="17" t="s">
        <v>122</v>
      </c>
      <c r="E624" s="17" t="s">
        <v>1159</v>
      </c>
      <c r="F624" s="17" t="s">
        <v>46</v>
      </c>
      <c r="G624" s="17" t="s">
        <v>23</v>
      </c>
      <c r="H624" s="18">
        <v>46164</v>
      </c>
      <c r="I624" s="18">
        <v>46273</v>
      </c>
      <c r="J624" s="8">
        <f t="shared" si="30"/>
        <v>78</v>
      </c>
      <c r="K624" s="65" t="s">
        <v>295</v>
      </c>
      <c r="L624" s="65" t="s">
        <v>318</v>
      </c>
      <c r="M624" s="65" t="s">
        <v>24</v>
      </c>
      <c r="N624" s="65" t="s">
        <v>53</v>
      </c>
      <c r="O624" s="65">
        <v>2200000</v>
      </c>
      <c r="P624" s="65">
        <v>389000</v>
      </c>
      <c r="Q624" s="67">
        <v>2589000</v>
      </c>
      <c r="R624" s="66">
        <v>46275</v>
      </c>
      <c r="S624" s="8">
        <f t="shared" si="29"/>
        <v>80</v>
      </c>
      <c r="T624" s="65" t="s">
        <v>1154</v>
      </c>
      <c r="U624" s="65" t="s">
        <v>537</v>
      </c>
    </row>
    <row r="625" spans="1:21" x14ac:dyDescent="0.35">
      <c r="A625" s="17" t="s">
        <v>1103</v>
      </c>
      <c r="B625" s="17" t="s">
        <v>43</v>
      </c>
      <c r="C625" s="17">
        <v>66533518</v>
      </c>
      <c r="D625" s="17" t="s">
        <v>438</v>
      </c>
      <c r="E625" s="17" t="s">
        <v>1160</v>
      </c>
      <c r="F625" s="17" t="s">
        <v>46</v>
      </c>
      <c r="G625" s="17" t="s">
        <v>23</v>
      </c>
      <c r="H625" s="18">
        <v>46217</v>
      </c>
      <c r="I625" s="18">
        <v>46268</v>
      </c>
      <c r="J625" s="8">
        <f t="shared" si="30"/>
        <v>38</v>
      </c>
      <c r="K625" s="65" t="s">
        <v>295</v>
      </c>
      <c r="L625" s="65" t="s">
        <v>318</v>
      </c>
      <c r="M625" s="65" t="s">
        <v>24</v>
      </c>
      <c r="N625" s="65" t="s">
        <v>191</v>
      </c>
      <c r="O625" s="65">
        <v>560030</v>
      </c>
      <c r="P625" s="65">
        <v>165000</v>
      </c>
      <c r="Q625" s="67">
        <v>725030</v>
      </c>
      <c r="R625" s="66">
        <v>46276</v>
      </c>
      <c r="S625" s="8">
        <f t="shared" si="29"/>
        <v>44</v>
      </c>
      <c r="T625" s="65" t="s">
        <v>1154</v>
      </c>
      <c r="U625" s="65" t="s">
        <v>433</v>
      </c>
    </row>
    <row r="626" spans="1:21" x14ac:dyDescent="0.35">
      <c r="A626" s="17" t="s">
        <v>1103</v>
      </c>
      <c r="B626" s="17" t="s">
        <v>43</v>
      </c>
      <c r="C626" s="17">
        <v>66520680</v>
      </c>
      <c r="D626" s="17" t="s">
        <v>670</v>
      </c>
      <c r="E626" s="17" t="s">
        <v>1161</v>
      </c>
      <c r="F626" s="17" t="s">
        <v>46</v>
      </c>
      <c r="G626" s="17" t="s">
        <v>23</v>
      </c>
      <c r="H626" s="18">
        <v>46217</v>
      </c>
      <c r="I626" s="18">
        <v>46274</v>
      </c>
      <c r="J626" s="8">
        <f t="shared" si="30"/>
        <v>42</v>
      </c>
      <c r="K626" s="65" t="s">
        <v>295</v>
      </c>
      <c r="L626" s="65" t="s">
        <v>318</v>
      </c>
      <c r="M626" s="65" t="s">
        <v>24</v>
      </c>
      <c r="N626" s="65" t="s">
        <v>191</v>
      </c>
      <c r="O626" s="65">
        <v>306404</v>
      </c>
      <c r="P626" s="65">
        <v>165000</v>
      </c>
      <c r="Q626" s="67">
        <v>471404</v>
      </c>
      <c r="R626" s="66">
        <v>46276</v>
      </c>
      <c r="S626" s="8">
        <f t="shared" si="29"/>
        <v>44</v>
      </c>
      <c r="T626" s="65" t="s">
        <v>1154</v>
      </c>
      <c r="U626" s="65" t="s">
        <v>433</v>
      </c>
    </row>
    <row r="627" spans="1:21" x14ac:dyDescent="0.35">
      <c r="A627" s="17" t="s">
        <v>1103</v>
      </c>
      <c r="B627" s="17" t="s">
        <v>43</v>
      </c>
      <c r="C627" s="17">
        <v>66519141</v>
      </c>
      <c r="D627" s="17" t="s">
        <v>1070</v>
      </c>
      <c r="E627" s="17" t="s">
        <v>1162</v>
      </c>
      <c r="F627" s="17" t="s">
        <v>46</v>
      </c>
      <c r="G627" s="17" t="s">
        <v>23</v>
      </c>
      <c r="H627" s="18">
        <v>46217</v>
      </c>
      <c r="I627" s="18">
        <v>46275</v>
      </c>
      <c r="J627" s="8">
        <f t="shared" si="30"/>
        <v>43</v>
      </c>
      <c r="K627" s="65" t="s">
        <v>295</v>
      </c>
      <c r="L627" s="65" t="s">
        <v>318</v>
      </c>
      <c r="M627" s="65" t="s">
        <v>24</v>
      </c>
      <c r="N627" s="65" t="s">
        <v>191</v>
      </c>
      <c r="O627" s="65">
        <v>467679</v>
      </c>
      <c r="P627" s="65">
        <v>165000</v>
      </c>
      <c r="Q627" s="67">
        <v>632679</v>
      </c>
      <c r="R627" s="66">
        <v>46276</v>
      </c>
      <c r="S627" s="8">
        <f t="shared" si="29"/>
        <v>44</v>
      </c>
      <c r="T627" s="65" t="s">
        <v>1154</v>
      </c>
      <c r="U627" s="65" t="s">
        <v>433</v>
      </c>
    </row>
    <row r="628" spans="1:21" x14ac:dyDescent="0.35">
      <c r="A628" s="17" t="s">
        <v>1103</v>
      </c>
      <c r="B628" s="17" t="s">
        <v>43</v>
      </c>
      <c r="C628" s="17">
        <v>66518286</v>
      </c>
      <c r="D628" s="17" t="s">
        <v>1163</v>
      </c>
      <c r="E628" s="17" t="s">
        <v>1164</v>
      </c>
      <c r="F628" s="17" t="s">
        <v>46</v>
      </c>
      <c r="G628" s="17" t="s">
        <v>23</v>
      </c>
      <c r="H628" s="18">
        <v>46217</v>
      </c>
      <c r="I628" s="18">
        <v>46254</v>
      </c>
      <c r="J628" s="8">
        <f t="shared" si="30"/>
        <v>28</v>
      </c>
      <c r="K628" s="65" t="s">
        <v>295</v>
      </c>
      <c r="L628" s="65" t="s">
        <v>296</v>
      </c>
      <c r="M628" s="65" t="s">
        <v>24</v>
      </c>
      <c r="N628" s="65" t="s">
        <v>191</v>
      </c>
      <c r="O628" s="65">
        <v>589945</v>
      </c>
      <c r="P628" s="65">
        <v>160000</v>
      </c>
      <c r="Q628" s="67">
        <v>749945</v>
      </c>
      <c r="R628" s="66">
        <v>46276</v>
      </c>
      <c r="S628" s="8">
        <f t="shared" si="29"/>
        <v>44</v>
      </c>
      <c r="T628" s="65" t="s">
        <v>1154</v>
      </c>
      <c r="U628" s="65" t="s">
        <v>433</v>
      </c>
    </row>
    <row r="629" spans="1:21" x14ac:dyDescent="0.35">
      <c r="A629" s="17" t="s">
        <v>1103</v>
      </c>
      <c r="B629" s="17" t="s">
        <v>43</v>
      </c>
      <c r="C629" s="17">
        <v>66519798</v>
      </c>
      <c r="D629" s="17" t="s">
        <v>821</v>
      </c>
      <c r="E629" s="17" t="s">
        <v>1165</v>
      </c>
      <c r="F629" s="17" t="s">
        <v>46</v>
      </c>
      <c r="G629" s="17" t="s">
        <v>23</v>
      </c>
      <c r="H629" s="18">
        <v>46217</v>
      </c>
      <c r="I629" s="18">
        <v>46260</v>
      </c>
      <c r="J629" s="8">
        <f t="shared" si="30"/>
        <v>32</v>
      </c>
      <c r="K629" s="65" t="s">
        <v>295</v>
      </c>
      <c r="L629" s="65" t="s">
        <v>318</v>
      </c>
      <c r="M629" s="65" t="s">
        <v>24</v>
      </c>
      <c r="N629" s="65" t="s">
        <v>191</v>
      </c>
      <c r="O629" s="65">
        <v>572746</v>
      </c>
      <c r="P629" s="65">
        <v>165000</v>
      </c>
      <c r="Q629" s="67">
        <v>737746</v>
      </c>
      <c r="R629" s="66">
        <v>46276</v>
      </c>
      <c r="S629" s="8">
        <f t="shared" si="29"/>
        <v>44</v>
      </c>
      <c r="T629" s="65" t="s">
        <v>1154</v>
      </c>
      <c r="U629" s="65" t="s">
        <v>433</v>
      </c>
    </row>
    <row r="630" spans="1:21" x14ac:dyDescent="0.35">
      <c r="A630" s="17" t="s">
        <v>1103</v>
      </c>
      <c r="B630" s="17" t="s">
        <v>43</v>
      </c>
      <c r="C630" s="17">
        <v>66534520</v>
      </c>
      <c r="D630" s="17" t="s">
        <v>569</v>
      </c>
      <c r="E630" s="17" t="s">
        <v>1166</v>
      </c>
      <c r="F630" s="17" t="s">
        <v>46</v>
      </c>
      <c r="G630" s="17" t="s">
        <v>23</v>
      </c>
      <c r="H630" s="18">
        <v>46217</v>
      </c>
      <c r="I630" s="18">
        <v>46269</v>
      </c>
      <c r="J630" s="8">
        <f t="shared" si="30"/>
        <v>39</v>
      </c>
      <c r="K630" s="65" t="s">
        <v>295</v>
      </c>
      <c r="L630" s="65" t="s">
        <v>318</v>
      </c>
      <c r="M630" s="65" t="s">
        <v>24</v>
      </c>
      <c r="N630" s="65" t="s">
        <v>191</v>
      </c>
      <c r="O630" s="65">
        <v>239630</v>
      </c>
      <c r="P630" s="65">
        <v>165000</v>
      </c>
      <c r="Q630" s="67">
        <v>404630</v>
      </c>
      <c r="R630" s="66">
        <v>46276</v>
      </c>
      <c r="S630" s="8">
        <f t="shared" si="29"/>
        <v>44</v>
      </c>
      <c r="T630" s="65" t="s">
        <v>1154</v>
      </c>
      <c r="U630" s="65" t="s">
        <v>433</v>
      </c>
    </row>
    <row r="631" spans="1:21" x14ac:dyDescent="0.35">
      <c r="A631" s="17" t="s">
        <v>1167</v>
      </c>
      <c r="B631" s="17" t="s">
        <v>30</v>
      </c>
      <c r="C631" s="17">
        <v>69505571</v>
      </c>
      <c r="D631" s="17" t="s">
        <v>20</v>
      </c>
      <c r="E631" s="17">
        <v>2722580906</v>
      </c>
      <c r="F631" s="17" t="s">
        <v>32</v>
      </c>
      <c r="G631" s="17" t="s">
        <v>23</v>
      </c>
      <c r="H631" s="18">
        <v>46268</v>
      </c>
      <c r="I631" s="18">
        <v>46274</v>
      </c>
      <c r="J631" s="8">
        <f t="shared" si="30"/>
        <v>5</v>
      </c>
      <c r="K631" s="65" t="s">
        <v>295</v>
      </c>
      <c r="L631" s="65" t="s">
        <v>296</v>
      </c>
      <c r="M631" s="65" t="s">
        <v>24</v>
      </c>
      <c r="N631" s="65" t="s">
        <v>33</v>
      </c>
      <c r="O631" s="65">
        <v>0</v>
      </c>
      <c r="P631" s="65">
        <v>0</v>
      </c>
      <c r="Q631" s="67">
        <v>0</v>
      </c>
      <c r="R631" s="66">
        <v>46276</v>
      </c>
      <c r="S631" s="8">
        <f t="shared" si="29"/>
        <v>7</v>
      </c>
      <c r="T631" s="65" t="s">
        <v>1154</v>
      </c>
      <c r="U631" s="65" t="s">
        <v>537</v>
      </c>
    </row>
    <row r="632" spans="1:21" x14ac:dyDescent="0.35">
      <c r="A632" s="17" t="s">
        <v>57</v>
      </c>
      <c r="B632" s="17" t="s">
        <v>19</v>
      </c>
      <c r="C632" s="17">
        <v>68817512</v>
      </c>
      <c r="D632" s="17" t="s">
        <v>35</v>
      </c>
      <c r="E632" s="17" t="s">
        <v>1168</v>
      </c>
      <c r="F632" s="17" t="s">
        <v>46</v>
      </c>
      <c r="G632" s="17" t="s">
        <v>23</v>
      </c>
      <c r="H632" s="18">
        <v>46255</v>
      </c>
      <c r="I632" s="18">
        <v>46273</v>
      </c>
      <c r="J632" s="8">
        <f t="shared" si="30"/>
        <v>13</v>
      </c>
      <c r="K632" s="65" t="s">
        <v>295</v>
      </c>
      <c r="L632" s="65" t="s">
        <v>296</v>
      </c>
      <c r="M632" s="65" t="s">
        <v>47</v>
      </c>
      <c r="N632" s="65" t="s">
        <v>103</v>
      </c>
      <c r="O632" s="65">
        <v>200000</v>
      </c>
      <c r="P632" s="65">
        <v>0</v>
      </c>
      <c r="Q632" s="67">
        <v>200000</v>
      </c>
      <c r="R632" s="66">
        <v>46276</v>
      </c>
      <c r="S632" s="8">
        <f t="shared" si="29"/>
        <v>16</v>
      </c>
      <c r="T632" s="65" t="s">
        <v>1154</v>
      </c>
      <c r="U632" s="65" t="s">
        <v>537</v>
      </c>
    </row>
    <row r="633" spans="1:21" x14ac:dyDescent="0.35">
      <c r="A633" s="17" t="s">
        <v>1103</v>
      </c>
      <c r="B633" s="17" t="s">
        <v>43</v>
      </c>
      <c r="C633" s="17">
        <v>66525194</v>
      </c>
      <c r="D633" s="17" t="s">
        <v>547</v>
      </c>
      <c r="E633" s="17" t="s">
        <v>1169</v>
      </c>
      <c r="F633" s="17" t="s">
        <v>46</v>
      </c>
      <c r="G633" s="17" t="s">
        <v>23</v>
      </c>
      <c r="H633" s="18">
        <v>46217</v>
      </c>
      <c r="I633" s="18">
        <v>46272</v>
      </c>
      <c r="J633" s="8">
        <f t="shared" si="30"/>
        <v>40</v>
      </c>
      <c r="K633" s="65" t="s">
        <v>295</v>
      </c>
      <c r="L633" s="65" t="s">
        <v>318</v>
      </c>
      <c r="M633" s="65" t="s">
        <v>24</v>
      </c>
      <c r="N633" s="65" t="s">
        <v>191</v>
      </c>
      <c r="O633" s="65">
        <v>540815</v>
      </c>
      <c r="P633" s="65">
        <v>165000</v>
      </c>
      <c r="Q633" s="67">
        <v>705815</v>
      </c>
      <c r="R633" s="66">
        <v>46276</v>
      </c>
      <c r="S633" s="8">
        <f t="shared" si="29"/>
        <v>44</v>
      </c>
      <c r="T633" s="65" t="s">
        <v>1154</v>
      </c>
      <c r="U633" s="65" t="s">
        <v>433</v>
      </c>
    </row>
    <row r="634" spans="1:21" x14ac:dyDescent="0.35">
      <c r="A634" s="17" t="s">
        <v>1170</v>
      </c>
      <c r="B634" s="17" t="s">
        <v>30</v>
      </c>
      <c r="C634" s="17">
        <v>67488775</v>
      </c>
      <c r="D634" s="17" t="s">
        <v>20</v>
      </c>
      <c r="E634" s="17">
        <v>2722580465</v>
      </c>
      <c r="F634" s="17" t="s">
        <v>32</v>
      </c>
      <c r="G634" s="17" t="s">
        <v>23</v>
      </c>
      <c r="H634" s="18">
        <v>46233</v>
      </c>
      <c r="I634" s="18">
        <v>46272</v>
      </c>
      <c r="J634" s="8">
        <f t="shared" si="30"/>
        <v>28</v>
      </c>
      <c r="K634" s="65" t="s">
        <v>295</v>
      </c>
      <c r="L634" s="65" t="s">
        <v>296</v>
      </c>
      <c r="M634" s="65" t="s">
        <v>24</v>
      </c>
      <c r="N634" s="65" t="s">
        <v>33</v>
      </c>
      <c r="O634" s="65">
        <v>150000</v>
      </c>
      <c r="P634" s="65">
        <v>60000</v>
      </c>
      <c r="Q634" s="67">
        <v>210000</v>
      </c>
      <c r="R634" s="66">
        <v>46279</v>
      </c>
      <c r="S634" s="8">
        <f t="shared" si="29"/>
        <v>33</v>
      </c>
      <c r="T634" s="65" t="s">
        <v>1173</v>
      </c>
      <c r="U634" s="65" t="s">
        <v>537</v>
      </c>
    </row>
    <row r="635" spans="1:21" x14ac:dyDescent="0.35">
      <c r="A635" s="17" t="s">
        <v>1182</v>
      </c>
      <c r="B635" s="17" t="s">
        <v>30</v>
      </c>
      <c r="C635" s="17">
        <v>69135435</v>
      </c>
      <c r="D635" s="17" t="s">
        <v>49</v>
      </c>
      <c r="E635" s="17">
        <v>2721354710</v>
      </c>
      <c r="F635" s="17" t="s">
        <v>32</v>
      </c>
      <c r="G635" s="17" t="s">
        <v>23</v>
      </c>
      <c r="H635" s="18">
        <v>46261</v>
      </c>
      <c r="I635" s="18">
        <v>46279</v>
      </c>
      <c r="J635" s="8">
        <f t="shared" si="30"/>
        <v>13</v>
      </c>
      <c r="K635" s="65" t="s">
        <v>295</v>
      </c>
      <c r="L635" s="65" t="s">
        <v>296</v>
      </c>
      <c r="M635" s="65" t="s">
        <v>47</v>
      </c>
      <c r="N635" s="65" t="s">
        <v>33</v>
      </c>
      <c r="O635" s="65">
        <v>150000</v>
      </c>
      <c r="P635" s="65">
        <v>0</v>
      </c>
      <c r="Q635" s="67">
        <v>150000</v>
      </c>
      <c r="R635" s="66">
        <v>46279</v>
      </c>
      <c r="S635" s="8">
        <f t="shared" si="29"/>
        <v>13</v>
      </c>
      <c r="T635" s="65" t="s">
        <v>1173</v>
      </c>
      <c r="U635" s="65" t="s">
        <v>537</v>
      </c>
    </row>
    <row r="636" spans="1:21" x14ac:dyDescent="0.35">
      <c r="A636" s="17" t="s">
        <v>1183</v>
      </c>
      <c r="B636" s="17" t="s">
        <v>19</v>
      </c>
      <c r="C636" s="17">
        <v>67285588</v>
      </c>
      <c r="D636" s="17" t="s">
        <v>20</v>
      </c>
      <c r="E636" s="17" t="s">
        <v>1184</v>
      </c>
      <c r="F636" s="17" t="s">
        <v>22</v>
      </c>
      <c r="G636" s="17" t="s">
        <v>23</v>
      </c>
      <c r="H636" s="18">
        <v>46230</v>
      </c>
      <c r="I636" s="18">
        <v>46279</v>
      </c>
      <c r="J636" s="8">
        <f t="shared" si="30"/>
        <v>36</v>
      </c>
      <c r="K636" s="65" t="s">
        <v>295</v>
      </c>
      <c r="L636" s="65" t="s">
        <v>302</v>
      </c>
      <c r="M636" s="65" t="s">
        <v>47</v>
      </c>
      <c r="N636" s="65" t="s">
        <v>38</v>
      </c>
      <c r="O636" s="65">
        <v>850000</v>
      </c>
      <c r="P636" s="65">
        <v>0</v>
      </c>
      <c r="Q636" s="67">
        <v>850000</v>
      </c>
      <c r="R636" s="66">
        <v>46279</v>
      </c>
      <c r="S636" s="8">
        <f t="shared" si="29"/>
        <v>36</v>
      </c>
      <c r="T636" s="65" t="s">
        <v>1173</v>
      </c>
      <c r="U636" s="65" t="s">
        <v>537</v>
      </c>
    </row>
    <row r="637" spans="1:21" x14ac:dyDescent="0.35">
      <c r="A637" s="17" t="s">
        <v>1103</v>
      </c>
      <c r="B637" s="17" t="s">
        <v>43</v>
      </c>
      <c r="C637" s="17">
        <v>66523883</v>
      </c>
      <c r="D637" s="17" t="s">
        <v>1171</v>
      </c>
      <c r="E637" s="17" t="s">
        <v>1172</v>
      </c>
      <c r="F637" s="17" t="s">
        <v>46</v>
      </c>
      <c r="G637" s="17" t="s">
        <v>23</v>
      </c>
      <c r="H637" s="18">
        <v>46217</v>
      </c>
      <c r="I637" s="18">
        <v>46268</v>
      </c>
      <c r="J637" s="8">
        <f t="shared" si="30"/>
        <v>38</v>
      </c>
      <c r="K637" s="70" t="s">
        <v>295</v>
      </c>
      <c r="L637" s="70" t="s">
        <v>318</v>
      </c>
      <c r="M637" s="70" t="s">
        <v>24</v>
      </c>
      <c r="N637" s="70" t="s">
        <v>191</v>
      </c>
      <c r="O637" s="70">
        <v>3500000</v>
      </c>
      <c r="P637" s="70">
        <v>165000</v>
      </c>
      <c r="Q637" s="71">
        <v>3665000</v>
      </c>
      <c r="R637" s="72">
        <v>46279</v>
      </c>
      <c r="S637" s="8">
        <f t="shared" si="29"/>
        <v>45</v>
      </c>
      <c r="T637" s="65" t="s">
        <v>1173</v>
      </c>
      <c r="U637" s="65" t="s">
        <v>433</v>
      </c>
    </row>
    <row r="638" spans="1:21" s="3" customFormat="1" ht="12" x14ac:dyDescent="0.3">
      <c r="A638" s="73" t="s">
        <v>701</v>
      </c>
      <c r="B638" s="73" t="s">
        <v>30</v>
      </c>
      <c r="C638" s="73">
        <v>69189192</v>
      </c>
      <c r="D638" s="73" t="s">
        <v>479</v>
      </c>
      <c r="E638" s="73">
        <v>2721387638</v>
      </c>
      <c r="F638" s="73" t="s">
        <v>32</v>
      </c>
      <c r="G638" s="73" t="s">
        <v>23</v>
      </c>
      <c r="H638" s="74">
        <v>46262</v>
      </c>
      <c r="I638" s="74">
        <v>46265</v>
      </c>
      <c r="J638" s="8">
        <f t="shared" si="30"/>
        <v>2</v>
      </c>
      <c r="K638" s="65" t="s">
        <v>295</v>
      </c>
      <c r="L638" s="65" t="s">
        <v>296</v>
      </c>
      <c r="M638" s="65" t="s">
        <v>24</v>
      </c>
      <c r="N638" s="65" t="s">
        <v>33</v>
      </c>
      <c r="O638" s="65">
        <v>150000</v>
      </c>
      <c r="P638" s="65">
        <v>40000</v>
      </c>
      <c r="Q638" s="67">
        <v>190000</v>
      </c>
      <c r="R638" s="66">
        <v>46279</v>
      </c>
      <c r="S638" s="8">
        <f t="shared" si="29"/>
        <v>12</v>
      </c>
      <c r="T638" s="65" t="s">
        <v>1173</v>
      </c>
      <c r="U638" s="65" t="s">
        <v>537</v>
      </c>
    </row>
    <row r="639" spans="1:21" x14ac:dyDescent="0.35">
      <c r="A639" s="17" t="s">
        <v>1174</v>
      </c>
      <c r="B639" s="17" t="s">
        <v>30</v>
      </c>
      <c r="C639" s="17">
        <v>65432145</v>
      </c>
      <c r="D639" s="17" t="s">
        <v>35</v>
      </c>
      <c r="E639" s="17">
        <v>2720257700</v>
      </c>
      <c r="F639" s="17" t="s">
        <v>32</v>
      </c>
      <c r="G639" s="17" t="s">
        <v>23</v>
      </c>
      <c r="H639" s="18">
        <v>46197</v>
      </c>
      <c r="I639" s="18">
        <v>46280</v>
      </c>
      <c r="J639" s="8">
        <f t="shared" si="30"/>
        <v>60</v>
      </c>
      <c r="K639" s="65" t="s">
        <v>295</v>
      </c>
      <c r="L639" s="65" t="s">
        <v>318</v>
      </c>
      <c r="M639" s="65" t="s">
        <v>24</v>
      </c>
      <c r="N639" s="65" t="s">
        <v>33</v>
      </c>
      <c r="O639" s="65">
        <v>1000000</v>
      </c>
      <c r="P639" s="65">
        <v>495000</v>
      </c>
      <c r="Q639" s="67">
        <v>1495000</v>
      </c>
      <c r="R639" s="66">
        <v>46280</v>
      </c>
      <c r="S639" s="8">
        <f t="shared" si="29"/>
        <v>60</v>
      </c>
      <c r="T639" s="65" t="s">
        <v>1173</v>
      </c>
      <c r="U639" s="65" t="s">
        <v>537</v>
      </c>
    </row>
    <row r="640" spans="1:21" x14ac:dyDescent="0.35">
      <c r="A640" s="17" t="s">
        <v>1175</v>
      </c>
      <c r="B640" s="17" t="s">
        <v>43</v>
      </c>
      <c r="C640" s="17">
        <v>67777967</v>
      </c>
      <c r="D640" s="17" t="s">
        <v>1176</v>
      </c>
      <c r="E640" s="17" t="s">
        <v>1177</v>
      </c>
      <c r="F640" s="17" t="s">
        <v>22</v>
      </c>
      <c r="G640" s="17" t="s">
        <v>23</v>
      </c>
      <c r="H640" s="18">
        <v>46238</v>
      </c>
      <c r="I640" s="18">
        <v>46267</v>
      </c>
      <c r="J640" s="8">
        <f t="shared" si="30"/>
        <v>22</v>
      </c>
      <c r="K640" s="65" t="s">
        <v>295</v>
      </c>
      <c r="L640" s="65" t="s">
        <v>296</v>
      </c>
      <c r="M640" s="65" t="s">
        <v>24</v>
      </c>
      <c r="N640" s="65" t="s">
        <v>53</v>
      </c>
      <c r="O640" s="65">
        <v>500000</v>
      </c>
      <c r="P640" s="65">
        <v>250000</v>
      </c>
      <c r="Q640" s="67">
        <v>750000</v>
      </c>
      <c r="R640" s="66">
        <v>46280</v>
      </c>
      <c r="S640" s="8">
        <f t="shared" si="29"/>
        <v>31</v>
      </c>
      <c r="T640" s="65" t="s">
        <v>1173</v>
      </c>
      <c r="U640" s="65" t="s">
        <v>537</v>
      </c>
    </row>
    <row r="641" spans="1:21" x14ac:dyDescent="0.35">
      <c r="A641" s="17" t="s">
        <v>1178</v>
      </c>
      <c r="B641" s="17" t="s">
        <v>19</v>
      </c>
      <c r="C641" s="17">
        <v>65800582</v>
      </c>
      <c r="D641" s="17" t="s">
        <v>1179</v>
      </c>
      <c r="E641" s="17" t="s">
        <v>1180</v>
      </c>
      <c r="F641" s="17" t="s">
        <v>46</v>
      </c>
      <c r="G641" s="17" t="s">
        <v>23</v>
      </c>
      <c r="H641" s="18">
        <v>46205</v>
      </c>
      <c r="I641" s="18">
        <v>46275</v>
      </c>
      <c r="J641" s="8">
        <f t="shared" si="30"/>
        <v>51</v>
      </c>
      <c r="K641" s="65" t="s">
        <v>295</v>
      </c>
      <c r="L641" s="65" t="s">
        <v>318</v>
      </c>
      <c r="M641" s="65" t="s">
        <v>24</v>
      </c>
      <c r="N641" s="65" t="s">
        <v>53</v>
      </c>
      <c r="O641" s="65">
        <v>100000</v>
      </c>
      <c r="P641" s="65">
        <v>250000</v>
      </c>
      <c r="Q641" s="67">
        <v>350000</v>
      </c>
      <c r="R641" s="66">
        <v>46280</v>
      </c>
      <c r="S641" s="8">
        <f t="shared" si="29"/>
        <v>54</v>
      </c>
      <c r="T641" s="65" t="s">
        <v>1173</v>
      </c>
      <c r="U641" s="65" t="s">
        <v>537</v>
      </c>
    </row>
    <row r="642" spans="1:21" x14ac:dyDescent="0.35">
      <c r="A642" s="17" t="s">
        <v>132</v>
      </c>
      <c r="B642" s="17" t="s">
        <v>43</v>
      </c>
      <c r="C642" s="17">
        <v>56618123</v>
      </c>
      <c r="D642" s="17" t="s">
        <v>175</v>
      </c>
      <c r="E642" s="17" t="s">
        <v>1181</v>
      </c>
      <c r="F642" s="17" t="s">
        <v>46</v>
      </c>
      <c r="G642" s="17" t="s">
        <v>23</v>
      </c>
      <c r="H642" s="18">
        <v>46035</v>
      </c>
      <c r="I642" s="18">
        <v>46273</v>
      </c>
      <c r="J642" s="8">
        <f t="shared" si="30"/>
        <v>171</v>
      </c>
      <c r="K642" s="65" t="s">
        <v>295</v>
      </c>
      <c r="L642" s="65" t="s">
        <v>302</v>
      </c>
      <c r="M642" s="65" t="s">
        <v>24</v>
      </c>
      <c r="N642" s="65" t="s">
        <v>135</v>
      </c>
      <c r="O642" s="65">
        <v>2000000</v>
      </c>
      <c r="P642" s="65">
        <v>300000</v>
      </c>
      <c r="Q642" s="67">
        <v>2300000</v>
      </c>
      <c r="R642" s="66">
        <v>46281</v>
      </c>
      <c r="S642" s="8">
        <f t="shared" si="29"/>
        <v>177</v>
      </c>
      <c r="T642" s="65" t="s">
        <v>1173</v>
      </c>
      <c r="U642" s="65" t="s">
        <v>537</v>
      </c>
    </row>
  </sheetData>
  <autoFilter ref="A1:U642" xr:uid="{00000000-0009-0000-0000-000000000000}"/>
  <phoneticPr fontId="14" type="noConversion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2026-09-16T11:02:36Z</dcterms:modified>
</cp:coreProperties>
</file>