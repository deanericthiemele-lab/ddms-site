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17" documentId="8_{96B9E37B-5941-46BA-AA97-B18EA540EAA4}" xr6:coauthVersionLast="47" xr6:coauthVersionMax="47" xr10:uidLastSave="{A68C04BF-F8F4-4D3B-AA41-19C29088046B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7" i="1" l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<sst xmlns="http://schemas.openxmlformats.org/spreadsheetml/2006/main" count="2170" uniqueCount="483">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</sst>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217"/>
  <sheetViews>
    <sheetView tabSelected="1" topLeftCell="F1" workbookViewId="0">
      <selection activeCell="Q204" sqref="Q1:Q1048576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bestFit="1" customWidth="1"/>
    <col min="19" max="19" width="8.1796875" customWidth="1"/>
    <col min="20" max="20" width="6.54296875" customWidth="1"/>
    <col min="21" max="21" width="13.7265625" style="6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  <c r="U1" s="65" t="s">
        <v>442</v>
      </c>
    </row>
    <row r="2" spans="1:21" ht="29" hidden="1" customHeight="1" x14ac:dyDescent="0.35">
      <c r="A2" s="58" t="s">
        <v>154</v>
      </c>
      <c r="B2" s="55" t="s">
        <v>44</v>
      </c>
      <c r="C2" s="59">
        <v>55472663</v>
      </c>
      <c r="D2" s="55" t="s">
        <v>155</v>
      </c>
      <c r="E2" s="59" t="s">
        <v>156</v>
      </c>
      <c r="F2" s="55" t="s">
        <v>47</v>
      </c>
      <c r="G2" s="60" t="s">
        <v>23</v>
      </c>
      <c r="H2" s="61">
        <v>46010</v>
      </c>
      <c r="I2" s="62">
        <v>46015</v>
      </c>
      <c r="J2" s="63">
        <f>+NETWORKDAYS(H2,I2)</f>
        <v>4</v>
      </c>
      <c r="K2" s="55"/>
      <c r="L2" s="55"/>
      <c r="M2" s="35" t="s">
        <v>157</v>
      </c>
      <c r="N2" s="55" t="s">
        <v>29</v>
      </c>
      <c r="O2" s="64">
        <v>0</v>
      </c>
      <c r="P2" s="64">
        <v>0</v>
      </c>
      <c r="Q2" s="64">
        <f>P2+O2</f>
        <v>0</v>
      </c>
      <c r="R2" s="35">
        <v>46024</v>
      </c>
      <c r="S2" s="63">
        <f>NETWORKDAYS(H2,R2)</f>
        <v>11</v>
      </c>
      <c r="T2" s="34" t="s">
        <v>158</v>
      </c>
      <c r="U2" s="65"/>
    </row>
    <row r="3" spans="1:21" ht="29" hidden="1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4">
        <v>1000000</v>
      </c>
      <c r="P3" s="44">
        <v>231750</v>
      </c>
      <c r="Q3" s="45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65"/>
    </row>
    <row r="4" spans="1:21" ht="29" hidden="1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4">
        <v>0</v>
      </c>
      <c r="P4" s="44">
        <v>0</v>
      </c>
      <c r="Q4" s="45">
        <f>P4+O4</f>
        <v>0</v>
      </c>
      <c r="R4" s="13">
        <v>46027</v>
      </c>
      <c r="S4" s="24">
        <f t="shared" si="1"/>
        <v>12</v>
      </c>
      <c r="T4" s="11" t="s">
        <v>162</v>
      </c>
      <c r="U4" s="65"/>
    </row>
    <row r="5" spans="1:21" ht="29" hidden="1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4">
        <v>0</v>
      </c>
      <c r="P5" s="44">
        <v>0</v>
      </c>
      <c r="Q5" s="45">
        <f>P5+O5</f>
        <v>0</v>
      </c>
      <c r="R5" s="13">
        <v>46027</v>
      </c>
      <c r="S5" s="24">
        <f t="shared" si="1"/>
        <v>12</v>
      </c>
      <c r="T5" s="11" t="s">
        <v>162</v>
      </c>
      <c r="U5" s="65"/>
    </row>
    <row r="6" spans="1:21" ht="29" hidden="1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5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65"/>
    </row>
    <row r="7" spans="1:21" ht="29" hidden="1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5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65"/>
    </row>
    <row r="8" spans="1:21" ht="29" hidden="1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4">
        <v>3264000</v>
      </c>
      <c r="P8" s="44">
        <v>408000</v>
      </c>
      <c r="Q8" s="45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65"/>
    </row>
    <row r="9" spans="1:21" ht="29" hidden="1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4">
        <v>1800000</v>
      </c>
      <c r="P9" s="44">
        <v>301520</v>
      </c>
      <c r="Q9" s="45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65"/>
    </row>
    <row r="10" spans="1:21" ht="29" hidden="1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4">
        <v>1977000</v>
      </c>
      <c r="P10" s="44">
        <v>0</v>
      </c>
      <c r="Q10" s="45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65"/>
    </row>
    <row r="11" spans="1:21" ht="29" hidden="1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4">
        <v>1977000</v>
      </c>
      <c r="P11" s="44">
        <v>0</v>
      </c>
      <c r="Q11" s="45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65"/>
    </row>
    <row r="12" spans="1:21" ht="29" hidden="1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4">
        <v>1500000</v>
      </c>
      <c r="P12" s="44">
        <v>571781</v>
      </c>
      <c r="Q12" s="45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65"/>
    </row>
    <row r="13" spans="1:21" ht="29" hidden="1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5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65"/>
    </row>
    <row r="14" spans="1:21" ht="29" hidden="1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5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65"/>
    </row>
    <row r="15" spans="1:21" ht="29" hidden="1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4">
        <v>847200</v>
      </c>
      <c r="P15" s="44">
        <v>0</v>
      </c>
      <c r="Q15" s="45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65"/>
    </row>
    <row r="16" spans="1:21" ht="29" hidden="1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4">
        <v>0</v>
      </c>
      <c r="P16" s="44">
        <v>0</v>
      </c>
      <c r="Q16" s="45">
        <f>P16+O16</f>
        <v>0</v>
      </c>
      <c r="R16" s="13">
        <v>46030</v>
      </c>
      <c r="S16" s="24">
        <f t="shared" si="1"/>
        <v>15</v>
      </c>
      <c r="T16" s="11" t="s">
        <v>162</v>
      </c>
      <c r="U16" s="65"/>
    </row>
    <row r="17" spans="1:21" ht="29" hidden="1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5">
        <v>0</v>
      </c>
      <c r="P17" s="45">
        <v>0</v>
      </c>
      <c r="Q17" s="45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65"/>
    </row>
    <row r="18" spans="1:21" ht="29" hidden="1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4">
        <v>1588888</v>
      </c>
      <c r="Q18" s="45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65"/>
    </row>
    <row r="19" spans="1:21" ht="29" hidden="1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4">
        <v>0</v>
      </c>
      <c r="Q19" s="45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65"/>
    </row>
    <row r="20" spans="1:21" ht="29" hidden="1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5">
        <v>0</v>
      </c>
      <c r="P20" s="45">
        <v>0</v>
      </c>
      <c r="Q20" s="45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65"/>
    </row>
    <row r="21" spans="1:21" ht="29" hidden="1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4">
        <v>3000000</v>
      </c>
      <c r="P21" s="44">
        <v>270000</v>
      </c>
      <c r="Q21" s="45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65"/>
    </row>
    <row r="22" spans="1:21" ht="29" hidden="1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4">
        <v>2000000</v>
      </c>
      <c r="P22" s="44">
        <v>380000</v>
      </c>
      <c r="Q22" s="45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65"/>
    </row>
    <row r="23" spans="1:21" ht="29" hidden="1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4">
        <v>0</v>
      </c>
      <c r="Q23" s="45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65"/>
    </row>
    <row r="24" spans="1:21" ht="29" hidden="1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4">
        <v>0</v>
      </c>
      <c r="P24" s="44">
        <v>0</v>
      </c>
      <c r="Q24" s="45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65"/>
    </row>
    <row r="25" spans="1:21" ht="29" hidden="1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5">
        <v>144000</v>
      </c>
      <c r="P25" s="45">
        <v>0</v>
      </c>
      <c r="Q25" s="45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65"/>
    </row>
    <row r="26" spans="1:21" ht="29" hidden="1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5">
        <v>1000000</v>
      </c>
      <c r="P26" s="45">
        <v>0</v>
      </c>
      <c r="Q26" s="45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65"/>
    </row>
    <row r="27" spans="1:21" ht="29" hidden="1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4">
        <v>847200</v>
      </c>
      <c r="P27" s="44">
        <v>0</v>
      </c>
      <c r="Q27" s="45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65"/>
    </row>
    <row r="28" spans="1:21" ht="29" hidden="1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4">
        <v>2500000</v>
      </c>
      <c r="P28" s="44">
        <v>280000</v>
      </c>
      <c r="Q28" s="45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65"/>
    </row>
    <row r="29" spans="1:21" ht="29" hidden="1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4">
        <v>32214683</v>
      </c>
      <c r="P29" s="44">
        <v>6403996</v>
      </c>
      <c r="Q29" s="45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65"/>
    </row>
    <row r="30" spans="1:21" ht="29" hidden="1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5">
        <v>150000</v>
      </c>
      <c r="P30" s="45">
        <v>40000</v>
      </c>
      <c r="Q30" s="45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65"/>
    </row>
    <row r="31" spans="1:21" ht="29" hidden="1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4">
        <v>0</v>
      </c>
      <c r="P31" s="44">
        <v>40000</v>
      </c>
      <c r="Q31" s="45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65"/>
    </row>
    <row r="32" spans="1:21" ht="29" hidden="1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4">
        <v>1000000</v>
      </c>
      <c r="P32" s="44">
        <v>705164</v>
      </c>
      <c r="Q32" s="45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65"/>
    </row>
    <row r="33" spans="1:21" ht="29" hidden="1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4">
        <v>0</v>
      </c>
      <c r="P33" s="44">
        <v>170681</v>
      </c>
      <c r="Q33" s="45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65"/>
    </row>
    <row r="34" spans="1:21" ht="29" hidden="1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4">
        <v>0</v>
      </c>
      <c r="P34" s="44">
        <v>92730</v>
      </c>
      <c r="Q34" s="45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65"/>
    </row>
    <row r="35" spans="1:21" ht="29" hidden="1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4">
        <v>0</v>
      </c>
      <c r="P35" s="44">
        <v>92730</v>
      </c>
      <c r="Q35" s="45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65"/>
    </row>
    <row r="36" spans="1:21" ht="29" hidden="1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4">
        <v>0</v>
      </c>
      <c r="P36" s="44">
        <v>92730</v>
      </c>
      <c r="Q36" s="45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65"/>
    </row>
    <row r="37" spans="1:21" ht="29" hidden="1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4">
        <v>0</v>
      </c>
      <c r="P37" s="44">
        <v>92730</v>
      </c>
      <c r="Q37" s="45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65"/>
    </row>
    <row r="38" spans="1:21" ht="29" hidden="1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4">
        <v>2000500</v>
      </c>
      <c r="P38" s="44">
        <v>667054</v>
      </c>
      <c r="Q38" s="45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65"/>
    </row>
    <row r="39" spans="1:21" ht="29" hidden="1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4">
        <v>0</v>
      </c>
      <c r="P39" s="44">
        <v>189985</v>
      </c>
      <c r="Q39" s="45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65"/>
    </row>
    <row r="40" spans="1:21" ht="29" hidden="1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4">
        <v>0</v>
      </c>
      <c r="P40" s="44">
        <v>92730</v>
      </c>
      <c r="Q40" s="45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65"/>
    </row>
    <row r="41" spans="1:21" ht="29" hidden="1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5">
        <v>0</v>
      </c>
      <c r="P41" s="45">
        <v>0</v>
      </c>
      <c r="Q41" s="45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65"/>
    </row>
    <row r="42" spans="1:21" ht="29" hidden="1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4">
        <v>500000</v>
      </c>
      <c r="P42" s="44">
        <v>500000</v>
      </c>
      <c r="Q42" s="45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65"/>
    </row>
    <row r="43" spans="1:21" ht="29" hidden="1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5">
        <v>150000</v>
      </c>
      <c r="P43" s="45">
        <v>60000</v>
      </c>
      <c r="Q43" s="45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65"/>
    </row>
    <row r="44" spans="1:21" ht="29" hidden="1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5">
        <v>150000</v>
      </c>
      <c r="P44" s="45">
        <v>60000</v>
      </c>
      <c r="Q44" s="45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65"/>
    </row>
    <row r="45" spans="1:21" ht="29" hidden="1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5">
        <v>955437</v>
      </c>
      <c r="P45" s="45">
        <v>0</v>
      </c>
      <c r="Q45" s="45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65"/>
    </row>
    <row r="46" spans="1:21" ht="29" hidden="1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5">
        <v>500000</v>
      </c>
      <c r="P46" s="45">
        <v>0</v>
      </c>
      <c r="Q46" s="45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65"/>
    </row>
    <row r="47" spans="1:21" ht="29" hidden="1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4">
        <v>0</v>
      </c>
      <c r="P47" s="44">
        <v>217691</v>
      </c>
      <c r="Q47" s="45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65"/>
    </row>
    <row r="48" spans="1:21" ht="29" hidden="1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4">
        <v>2362401</v>
      </c>
      <c r="P48" s="44">
        <v>300000</v>
      </c>
      <c r="Q48" s="45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65"/>
    </row>
    <row r="49" spans="1:21" ht="29" hidden="1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5">
        <v>0</v>
      </c>
      <c r="P49" s="45">
        <v>0</v>
      </c>
      <c r="Q49" s="45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65"/>
    </row>
    <row r="50" spans="1:21" ht="29" hidden="1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4">
        <v>2000000</v>
      </c>
      <c r="P50" s="44">
        <v>646323</v>
      </c>
      <c r="Q50" s="45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65"/>
    </row>
    <row r="51" spans="1:21" ht="29" hidden="1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4">
        <v>0</v>
      </c>
      <c r="P51" s="44">
        <v>0</v>
      </c>
      <c r="Q51" s="45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65"/>
    </row>
    <row r="52" spans="1:21" hidden="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4">
        <v>500000</v>
      </c>
      <c r="P52" s="44">
        <v>325000</v>
      </c>
      <c r="Q52" s="45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65"/>
    </row>
    <row r="53" spans="1:21" hidden="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4">
        <v>0</v>
      </c>
      <c r="P53" s="44">
        <v>433989</v>
      </c>
      <c r="Q53" s="45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65"/>
    </row>
    <row r="54" spans="1:21" hidden="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5">
        <v>150000</v>
      </c>
      <c r="P54" s="45">
        <v>40000</v>
      </c>
      <c r="Q54" s="45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65"/>
    </row>
    <row r="55" spans="1:21" hidden="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5">
        <v>1000000</v>
      </c>
      <c r="P55" s="45">
        <v>231750</v>
      </c>
      <c r="Q55" s="45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65"/>
    </row>
    <row r="56" spans="1:21" hidden="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4">
        <v>133779304</v>
      </c>
      <c r="P56" s="44">
        <v>5620246</v>
      </c>
      <c r="Q56" s="45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65"/>
    </row>
    <row r="57" spans="1:21" hidden="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4">
        <v>0</v>
      </c>
      <c r="P57" s="44">
        <v>500000</v>
      </c>
      <c r="Q57" s="45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65"/>
    </row>
    <row r="58" spans="1:21" hidden="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4">
        <v>0</v>
      </c>
      <c r="P58" s="44">
        <v>433989</v>
      </c>
      <c r="Q58" s="45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65"/>
    </row>
    <row r="59" spans="1:21" hidden="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4">
        <v>500000</v>
      </c>
      <c r="P59" s="44">
        <v>400000</v>
      </c>
      <c r="Q59" s="45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65"/>
    </row>
    <row r="60" spans="1:21" hidden="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4">
        <v>1109000</v>
      </c>
      <c r="P60" s="44">
        <v>935000</v>
      </c>
      <c r="Q60" s="45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65"/>
    </row>
    <row r="61" spans="1:21" hidden="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4">
        <v>1670725</v>
      </c>
      <c r="P61" s="44">
        <v>512000</v>
      </c>
      <c r="Q61" s="45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65"/>
    </row>
    <row r="62" spans="1:21" hidden="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5">
        <v>200000</v>
      </c>
      <c r="P62" s="45">
        <v>0</v>
      </c>
      <c r="Q62" s="45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65"/>
    </row>
    <row r="63" spans="1:21" hidden="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5">
        <v>200000</v>
      </c>
      <c r="P63" s="45">
        <v>0</v>
      </c>
      <c r="Q63" s="45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65"/>
    </row>
    <row r="64" spans="1:21" hidden="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4">
        <v>0</v>
      </c>
      <c r="P64" s="44">
        <v>170681</v>
      </c>
      <c r="Q64" s="45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65"/>
    </row>
    <row r="65" spans="1:21" hidden="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4">
        <v>0</v>
      </c>
      <c r="P65" s="44">
        <v>546923</v>
      </c>
      <c r="Q65" s="45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65"/>
    </row>
    <row r="66" spans="1:21" hidden="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5">
        <v>0</v>
      </c>
      <c r="P66" s="44">
        <v>92730</v>
      </c>
      <c r="Q66" s="45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65"/>
    </row>
    <row r="67" spans="1:21" hidden="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4">
        <v>855000</v>
      </c>
      <c r="P67" s="44">
        <v>196700</v>
      </c>
      <c r="Q67" s="45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65"/>
    </row>
    <row r="68" spans="1:21" hidden="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5">
        <v>150000</v>
      </c>
      <c r="P68" s="45">
        <v>60000</v>
      </c>
      <c r="Q68" s="45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65"/>
    </row>
    <row r="69" spans="1:21" hidden="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4">
        <v>1200000</v>
      </c>
      <c r="P69" s="44">
        <v>525090</v>
      </c>
      <c r="Q69" s="45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65"/>
    </row>
    <row r="70" spans="1:21" hidden="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4">
        <v>3026000</v>
      </c>
      <c r="P70" s="44">
        <v>250000</v>
      </c>
      <c r="Q70" s="45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65"/>
    </row>
    <row r="71" spans="1:21" hidden="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5">
        <v>270000</v>
      </c>
      <c r="P71" s="45">
        <v>111435</v>
      </c>
      <c r="Q71" s="45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65"/>
    </row>
    <row r="72" spans="1:21" hidden="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5">
        <v>150000</v>
      </c>
      <c r="P72" s="45">
        <v>60000</v>
      </c>
      <c r="Q72" s="45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65"/>
    </row>
    <row r="73" spans="1:21" hidden="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4">
        <v>0</v>
      </c>
      <c r="P73" s="44">
        <v>217691</v>
      </c>
      <c r="Q73" s="45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65"/>
    </row>
    <row r="74" spans="1:21" hidden="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5">
        <v>1793983</v>
      </c>
      <c r="P74" s="45">
        <v>200000</v>
      </c>
      <c r="Q74" s="45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65"/>
    </row>
    <row r="75" spans="1:21" hidden="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4">
        <v>0</v>
      </c>
      <c r="P75" s="44">
        <v>540923</v>
      </c>
      <c r="Q75" s="45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65"/>
    </row>
    <row r="76" spans="1:21" hidden="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4">
        <v>500000</v>
      </c>
      <c r="P76" s="44">
        <v>819491</v>
      </c>
      <c r="Q76" s="45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65"/>
    </row>
    <row r="77" spans="1:21" hidden="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4">
        <v>1000000</v>
      </c>
      <c r="P77" s="44">
        <v>300000</v>
      </c>
      <c r="Q77" s="43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65"/>
    </row>
    <row r="78" spans="1:21" hidden="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4">
        <v>500000</v>
      </c>
      <c r="P78" s="44">
        <v>892535</v>
      </c>
      <c r="Q78" s="43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65"/>
    </row>
    <row r="79" spans="1:21" hidden="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4">
        <v>150000</v>
      </c>
      <c r="P79" s="44">
        <v>40000</v>
      </c>
      <c r="Q79" s="43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65"/>
    </row>
    <row r="80" spans="1:21" hidden="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4">
        <v>500000</v>
      </c>
      <c r="P80" s="44">
        <v>391740</v>
      </c>
      <c r="Q80" s="43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65"/>
    </row>
    <row r="81" spans="1:21" hidden="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4">
        <v>788712</v>
      </c>
      <c r="P81" s="44">
        <v>500000</v>
      </c>
      <c r="Q81" s="43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65"/>
    </row>
    <row r="82" spans="1:21" ht="15" hidden="1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3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65"/>
    </row>
    <row r="83" spans="1:21" hidden="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5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65"/>
    </row>
    <row r="84" spans="1:21" hidden="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4">
        <v>0</v>
      </c>
      <c r="Q84" s="45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65"/>
    </row>
    <row r="85" spans="1:21" hidden="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4">
        <v>0</v>
      </c>
      <c r="P85" s="44">
        <v>0</v>
      </c>
      <c r="Q85" s="45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65"/>
    </row>
    <row r="86" spans="1:21" ht="15" hidden="1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4">
        <v>360000</v>
      </c>
      <c r="P86" s="44">
        <v>152495</v>
      </c>
      <c r="Q86" s="43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65"/>
    </row>
    <row r="87" spans="1:21" hidden="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4">
        <v>0</v>
      </c>
      <c r="P87" s="44">
        <v>0</v>
      </c>
      <c r="Q87" s="45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65"/>
    </row>
    <row r="88" spans="1:21" hidden="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4">
        <v>600000</v>
      </c>
      <c r="P88" s="44">
        <v>400000</v>
      </c>
      <c r="Q88" s="45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65"/>
    </row>
    <row r="89" spans="1:21" hidden="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4">
        <v>900000</v>
      </c>
      <c r="P89" s="44">
        <v>461679</v>
      </c>
      <c r="Q89" s="45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65"/>
    </row>
    <row r="90" spans="1:21" hidden="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4">
        <v>1000000</v>
      </c>
      <c r="P90" s="44">
        <v>538647</v>
      </c>
      <c r="Q90" s="45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65"/>
    </row>
    <row r="91" spans="1:21" hidden="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4">
        <v>5494650</v>
      </c>
      <c r="P91" s="44">
        <v>1211081</v>
      </c>
      <c r="Q91" s="45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65"/>
    </row>
    <row r="92" spans="1:21" hidden="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4">
        <v>1430307</v>
      </c>
      <c r="P92" s="44">
        <v>600349</v>
      </c>
      <c r="Q92" s="45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65"/>
    </row>
    <row r="93" spans="1:21" ht="25" hidden="1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4">
        <v>500000</v>
      </c>
      <c r="P93" s="44">
        <v>590836</v>
      </c>
      <c r="Q93" s="45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65"/>
    </row>
    <row r="94" spans="1:21" hidden="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4">
        <v>200000</v>
      </c>
      <c r="P94" s="44">
        <v>0</v>
      </c>
      <c r="Q94" s="45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65"/>
    </row>
    <row r="95" spans="1:21" hidden="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4">
        <v>0</v>
      </c>
      <c r="P95" s="44">
        <v>0</v>
      </c>
      <c r="Q95" s="45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65"/>
    </row>
    <row r="96" spans="1:21" hidden="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5">
        <v>360000</v>
      </c>
      <c r="P96" s="45">
        <v>92495</v>
      </c>
      <c r="Q96" s="45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65"/>
    </row>
    <row r="97" spans="1:21" ht="22.5" hidden="1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4">
        <v>1000000</v>
      </c>
      <c r="P97" s="44">
        <v>495000</v>
      </c>
      <c r="Q97" s="45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65"/>
    </row>
    <row r="98" spans="1:21" hidden="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4">
        <v>2245845</v>
      </c>
      <c r="P98" s="44">
        <v>474962</v>
      </c>
      <c r="Q98" s="45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65"/>
    </row>
    <row r="99" spans="1:21" hidden="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5">
        <v>0</v>
      </c>
      <c r="P99" s="45">
        <v>725636</v>
      </c>
      <c r="Q99" s="45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65"/>
    </row>
    <row r="100" spans="1:21" ht="19.5" hidden="1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4">
        <v>1200000</v>
      </c>
      <c r="P100" s="45">
        <v>515054</v>
      </c>
      <c r="Q100" s="45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65"/>
    </row>
    <row r="101" spans="1:21" hidden="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4">
        <v>0</v>
      </c>
      <c r="P101" s="44">
        <v>0</v>
      </c>
      <c r="Q101" s="45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65"/>
    </row>
    <row r="102" spans="1:21" hidden="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4">
        <v>0</v>
      </c>
      <c r="P102" s="44">
        <v>0</v>
      </c>
      <c r="Q102" s="45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65"/>
    </row>
    <row r="103" spans="1:21" hidden="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4">
        <v>200000</v>
      </c>
      <c r="P103" s="44">
        <v>0</v>
      </c>
      <c r="Q103" s="45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65"/>
    </row>
    <row r="104" spans="1:21" hidden="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4">
        <v>2148649</v>
      </c>
      <c r="P104" s="44">
        <v>0</v>
      </c>
      <c r="Q104" s="45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65"/>
    </row>
    <row r="105" spans="1:21" hidden="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5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65"/>
    </row>
    <row r="106" spans="1:21" hidden="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5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65"/>
    </row>
    <row r="107" spans="1:21" hidden="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5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65"/>
    </row>
    <row r="108" spans="1:21" hidden="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5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65"/>
    </row>
    <row r="109" spans="1:21" hidden="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5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65"/>
    </row>
    <row r="110" spans="1:21" hidden="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4">
        <v>835588</v>
      </c>
      <c r="P110" s="44">
        <v>200000</v>
      </c>
      <c r="Q110" s="45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65"/>
    </row>
    <row r="111" spans="1:21" hidden="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4">
        <v>1500000</v>
      </c>
      <c r="P111" s="44">
        <v>333527</v>
      </c>
      <c r="Q111" s="45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65"/>
    </row>
    <row r="112" spans="1:21" hidden="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5">
        <v>420853</v>
      </c>
      <c r="P112" s="45">
        <v>467395</v>
      </c>
      <c r="Q112" s="45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65"/>
    </row>
    <row r="113" spans="1:21" hidden="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4">
        <v>500000</v>
      </c>
      <c r="P113" s="44">
        <v>998817</v>
      </c>
      <c r="Q113" s="45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65"/>
    </row>
    <row r="114" spans="1:21" hidden="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4">
        <v>700000</v>
      </c>
      <c r="P114" s="44">
        <v>497454</v>
      </c>
      <c r="Q114" s="45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65"/>
    </row>
    <row r="115" spans="1:21" hidden="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4">
        <v>638483</v>
      </c>
      <c r="P115" s="44">
        <v>200000</v>
      </c>
      <c r="Q115" s="45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65"/>
    </row>
    <row r="116" spans="1:21" hidden="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4">
        <v>2000500</v>
      </c>
      <c r="P116" s="44">
        <v>557454</v>
      </c>
      <c r="Q116" s="45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65"/>
    </row>
    <row r="117" spans="1:21" hidden="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5">
        <v>150000</v>
      </c>
      <c r="P117" s="45">
        <v>60000</v>
      </c>
      <c r="Q117" s="45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65"/>
    </row>
    <row r="118" spans="1:21" hidden="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5">
        <v>1000000</v>
      </c>
      <c r="P118" s="45">
        <v>231750</v>
      </c>
      <c r="Q118" s="45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65"/>
    </row>
    <row r="119" spans="1:21" hidden="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5">
        <v>1474962</v>
      </c>
      <c r="P119" s="44">
        <v>0</v>
      </c>
      <c r="Q119" s="45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65"/>
    </row>
    <row r="120" spans="1:21" hidden="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5">
        <v>2000000</v>
      </c>
      <c r="P120" s="45">
        <v>0</v>
      </c>
      <c r="Q120" s="45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65"/>
    </row>
    <row r="121" spans="1:21" hidden="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5">
        <v>2000000</v>
      </c>
      <c r="P121" s="45">
        <v>0</v>
      </c>
      <c r="Q121" s="45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65"/>
    </row>
    <row r="122" spans="1:21" hidden="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5">
        <v>2000000</v>
      </c>
      <c r="P122" s="44">
        <v>300000</v>
      </c>
      <c r="Q122" s="45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65"/>
    </row>
    <row r="123" spans="1:21" hidden="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4">
        <v>1000000</v>
      </c>
      <c r="P123" s="44">
        <v>693500</v>
      </c>
      <c r="Q123" s="45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65"/>
    </row>
    <row r="124" spans="1:21" hidden="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5">
        <v>0</v>
      </c>
      <c r="P124" s="45">
        <v>0</v>
      </c>
      <c r="Q124" s="45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65"/>
    </row>
    <row r="125" spans="1:21" hidden="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4">
        <v>150000</v>
      </c>
      <c r="P125" s="44">
        <v>443127</v>
      </c>
      <c r="Q125" s="45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65"/>
    </row>
    <row r="126" spans="1:21" hidden="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4">
        <v>1987902</v>
      </c>
      <c r="P126" s="44">
        <v>270000</v>
      </c>
      <c r="Q126" s="45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65"/>
    </row>
    <row r="127" spans="1:21" hidden="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5">
        <v>1100000</v>
      </c>
      <c r="P127" s="44">
        <v>474962</v>
      </c>
      <c r="Q127" s="45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65"/>
    </row>
    <row r="128" spans="1:21" hidden="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4">
        <v>1100000</v>
      </c>
      <c r="P128" s="44">
        <v>474962</v>
      </c>
      <c r="Q128" s="45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65"/>
    </row>
    <row r="129" spans="1:21" hidden="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4">
        <v>0</v>
      </c>
      <c r="P129" s="44">
        <v>0</v>
      </c>
      <c r="Q129" s="45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65"/>
    </row>
    <row r="130" spans="1:21" hidden="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4">
        <v>270000</v>
      </c>
      <c r="P130" s="44">
        <v>71435</v>
      </c>
      <c r="Q130" s="45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65"/>
    </row>
    <row r="131" spans="1:21" hidden="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4">
        <v>360000</v>
      </c>
      <c r="P131" s="44">
        <v>92495</v>
      </c>
      <c r="Q131" s="45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65"/>
    </row>
    <row r="132" spans="1:21" s="26" customFormat="1" hidden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4">
        <v>500000</v>
      </c>
      <c r="P132" s="44">
        <v>1963000</v>
      </c>
      <c r="Q132" s="45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66"/>
    </row>
    <row r="133" spans="1:21" s="26" customFormat="1" hidden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4">
        <v>500000</v>
      </c>
      <c r="P133" s="44">
        <v>350000</v>
      </c>
      <c r="Q133" s="45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66"/>
    </row>
    <row r="134" spans="1:21" hidden="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4">
        <v>2000000</v>
      </c>
      <c r="P134" s="44">
        <v>3000000</v>
      </c>
      <c r="Q134" s="45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65"/>
    </row>
    <row r="135" spans="1:21" hidden="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5">
        <v>400000</v>
      </c>
      <c r="P135" s="45">
        <v>0</v>
      </c>
      <c r="Q135" s="45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65"/>
    </row>
    <row r="136" spans="1:21" hidden="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5">
        <v>150000</v>
      </c>
      <c r="P136" s="45">
        <v>0</v>
      </c>
      <c r="Q136" s="45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65"/>
    </row>
    <row r="137" spans="1:21" hidden="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5">
        <v>1000000</v>
      </c>
      <c r="P137" s="45">
        <v>0</v>
      </c>
      <c r="Q137" s="45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65"/>
    </row>
    <row r="138" spans="1:21" hidden="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5">
        <v>1000000</v>
      </c>
      <c r="P138" s="45">
        <v>0</v>
      </c>
      <c r="Q138" s="45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65"/>
    </row>
    <row r="139" spans="1:21" hidden="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5">
        <v>108000</v>
      </c>
      <c r="P139" s="45">
        <v>0</v>
      </c>
      <c r="Q139" s="45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65"/>
    </row>
    <row r="140" spans="1:21" hidden="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5">
        <v>270000</v>
      </c>
      <c r="P140" s="45">
        <v>71435</v>
      </c>
      <c r="Q140" s="45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65"/>
    </row>
    <row r="141" spans="1:21" hidden="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5">
        <v>3000000</v>
      </c>
      <c r="P141" s="45">
        <v>139050</v>
      </c>
      <c r="Q141" s="45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65"/>
    </row>
    <row r="142" spans="1:21" hidden="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4">
        <v>350000</v>
      </c>
      <c r="P142" s="44">
        <v>197989</v>
      </c>
      <c r="Q142" s="45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65"/>
    </row>
    <row r="143" spans="1:21" hidden="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5">
        <v>842820</v>
      </c>
      <c r="P143" s="45">
        <v>0</v>
      </c>
      <c r="Q143" s="45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65"/>
    </row>
    <row r="144" spans="1:21" hidden="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4">
        <v>3986938</v>
      </c>
      <c r="P144" s="44">
        <v>400908</v>
      </c>
      <c r="Q144" s="45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65"/>
    </row>
    <row r="145" spans="1:21" hidden="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4">
        <v>250000</v>
      </c>
      <c r="P145" s="44">
        <v>370000</v>
      </c>
      <c r="Q145" s="45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65"/>
    </row>
    <row r="146" spans="1:21" hidden="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4">
        <v>1000000</v>
      </c>
      <c r="P146" s="44">
        <v>965500</v>
      </c>
      <c r="Q146" s="45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65"/>
    </row>
    <row r="147" spans="1:21" hidden="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4">
        <v>2000000</v>
      </c>
      <c r="P147" s="44">
        <v>300000</v>
      </c>
      <c r="Q147" s="45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65"/>
    </row>
    <row r="148" spans="1:21" hidden="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4">
        <v>0</v>
      </c>
      <c r="P148" s="44">
        <v>0</v>
      </c>
      <c r="Q148" s="45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65"/>
    </row>
    <row r="149" spans="1:21" x14ac:dyDescent="0.35">
      <c r="A149" s="12" t="s">
        <v>344</v>
      </c>
      <c r="B149" s="41" t="s">
        <v>44</v>
      </c>
      <c r="C149" s="41">
        <v>57664431</v>
      </c>
      <c r="D149" s="41" t="s">
        <v>345</v>
      </c>
      <c r="E149" s="41" t="s">
        <v>346</v>
      </c>
      <c r="F149" s="41" t="s">
        <v>47</v>
      </c>
      <c r="G149" s="41" t="s">
        <v>23</v>
      </c>
      <c r="H149" s="42">
        <v>46055</v>
      </c>
      <c r="I149" s="42">
        <v>46083</v>
      </c>
      <c r="J149" s="24">
        <f t="shared" si="12"/>
        <v>21</v>
      </c>
      <c r="K149" s="41" t="s">
        <v>303</v>
      </c>
      <c r="L149" s="41" t="s">
        <v>304</v>
      </c>
      <c r="M149" s="41" t="s">
        <v>24</v>
      </c>
      <c r="N149" s="41" t="s">
        <v>39</v>
      </c>
      <c r="O149" s="46">
        <v>2500000</v>
      </c>
      <c r="P149" s="46">
        <v>2325347</v>
      </c>
      <c r="Q149" s="44">
        <f>P149+O149</f>
        <v>4825347</v>
      </c>
      <c r="R149" s="42">
        <v>46084</v>
      </c>
      <c r="S149" s="24">
        <f t="shared" si="13"/>
        <v>22</v>
      </c>
      <c r="T149" s="41" t="s">
        <v>347</v>
      </c>
      <c r="U149" s="48" t="s">
        <v>443</v>
      </c>
    </row>
    <row r="150" spans="1:21" x14ac:dyDescent="0.35">
      <c r="A150" s="12" t="s">
        <v>348</v>
      </c>
      <c r="B150" s="41" t="s">
        <v>31</v>
      </c>
      <c r="C150" s="41">
        <v>57417024</v>
      </c>
      <c r="D150" s="41" t="s">
        <v>68</v>
      </c>
      <c r="E150" s="41">
        <v>2721710775</v>
      </c>
      <c r="F150" s="41" t="s">
        <v>33</v>
      </c>
      <c r="G150" s="41" t="s">
        <v>23</v>
      </c>
      <c r="H150" s="42">
        <v>46050</v>
      </c>
      <c r="I150" s="42">
        <v>46083</v>
      </c>
      <c r="J150" s="24">
        <f t="shared" si="12"/>
        <v>24</v>
      </c>
      <c r="K150" s="41" t="s">
        <v>303</v>
      </c>
      <c r="L150" s="41" t="s">
        <v>304</v>
      </c>
      <c r="M150" s="41" t="s">
        <v>24</v>
      </c>
      <c r="N150" s="41" t="s">
        <v>34</v>
      </c>
      <c r="O150" s="46">
        <v>150000</v>
      </c>
      <c r="P150" s="46">
        <v>40000</v>
      </c>
      <c r="Q150" s="44">
        <f t="shared" ref="Q150:Q189" si="14">P150+O150</f>
        <v>190000</v>
      </c>
      <c r="R150" s="42">
        <v>46084</v>
      </c>
      <c r="S150" s="24">
        <f t="shared" si="13"/>
        <v>25</v>
      </c>
      <c r="T150" s="41" t="s">
        <v>347</v>
      </c>
      <c r="U150" s="48" t="s">
        <v>443</v>
      </c>
    </row>
    <row r="151" spans="1:21" x14ac:dyDescent="0.35">
      <c r="A151" s="12" t="s">
        <v>324</v>
      </c>
      <c r="B151" s="41" t="s">
        <v>19</v>
      </c>
      <c r="C151" s="41">
        <v>57847231</v>
      </c>
      <c r="D151" s="41" t="s">
        <v>325</v>
      </c>
      <c r="E151" s="41" t="s">
        <v>349</v>
      </c>
      <c r="F151" s="41" t="s">
        <v>47</v>
      </c>
      <c r="G151" s="41" t="s">
        <v>23</v>
      </c>
      <c r="H151" s="42">
        <v>46058</v>
      </c>
      <c r="I151" s="42">
        <v>46078</v>
      </c>
      <c r="J151" s="24">
        <f t="shared" si="12"/>
        <v>15</v>
      </c>
      <c r="K151" s="41" t="s">
        <v>303</v>
      </c>
      <c r="L151" s="41" t="s">
        <v>304</v>
      </c>
      <c r="M151" s="41" t="s">
        <v>24</v>
      </c>
      <c r="N151" s="41" t="s">
        <v>61</v>
      </c>
      <c r="O151" s="46">
        <v>485500</v>
      </c>
      <c r="P151" s="46">
        <v>251105</v>
      </c>
      <c r="Q151" s="44">
        <f t="shared" si="14"/>
        <v>736605</v>
      </c>
      <c r="R151" s="42">
        <v>46085</v>
      </c>
      <c r="S151" s="24">
        <f t="shared" si="13"/>
        <v>20</v>
      </c>
      <c r="T151" s="41" t="s">
        <v>347</v>
      </c>
      <c r="U151" s="48" t="s">
        <v>443</v>
      </c>
    </row>
    <row r="152" spans="1:21" x14ac:dyDescent="0.35">
      <c r="A152" s="12" t="s">
        <v>350</v>
      </c>
      <c r="B152" s="41" t="s">
        <v>19</v>
      </c>
      <c r="C152" s="41">
        <v>24190516</v>
      </c>
      <c r="D152" s="41" t="s">
        <v>351</v>
      </c>
      <c r="E152" s="41" t="s">
        <v>352</v>
      </c>
      <c r="F152" s="41" t="s">
        <v>47</v>
      </c>
      <c r="G152" s="41" t="s">
        <v>23</v>
      </c>
      <c r="H152" s="42">
        <v>45261</v>
      </c>
      <c r="I152" s="42">
        <v>46079</v>
      </c>
      <c r="J152" s="24">
        <f t="shared" si="12"/>
        <v>585</v>
      </c>
      <c r="K152" s="41" t="s">
        <v>353</v>
      </c>
      <c r="L152" s="41" t="s">
        <v>327</v>
      </c>
      <c r="M152" s="41" t="s">
        <v>24</v>
      </c>
      <c r="N152" s="41" t="s">
        <v>61</v>
      </c>
      <c r="O152" s="46">
        <v>8018371</v>
      </c>
      <c r="P152" s="46">
        <v>800000</v>
      </c>
      <c r="Q152" s="44">
        <f t="shared" si="14"/>
        <v>8818371</v>
      </c>
      <c r="R152" s="42">
        <v>46085</v>
      </c>
      <c r="S152" s="24">
        <f t="shared" si="13"/>
        <v>589</v>
      </c>
      <c r="T152" s="41" t="s">
        <v>347</v>
      </c>
      <c r="U152" s="48" t="s">
        <v>443</v>
      </c>
    </row>
    <row r="153" spans="1:21" x14ac:dyDescent="0.35">
      <c r="A153" s="12" t="s">
        <v>354</v>
      </c>
      <c r="B153" s="41" t="s">
        <v>19</v>
      </c>
      <c r="C153" s="41">
        <v>58227435</v>
      </c>
      <c r="D153" s="41" t="s">
        <v>20</v>
      </c>
      <c r="E153" s="41" t="s">
        <v>355</v>
      </c>
      <c r="F153" s="41" t="s">
        <v>22</v>
      </c>
      <c r="G153" s="41" t="s">
        <v>23</v>
      </c>
      <c r="H153" s="42">
        <v>46069</v>
      </c>
      <c r="I153" s="42">
        <v>46083</v>
      </c>
      <c r="J153" s="24">
        <f t="shared" si="12"/>
        <v>11</v>
      </c>
      <c r="K153" s="41" t="s">
        <v>303</v>
      </c>
      <c r="L153" s="41" t="s">
        <v>304</v>
      </c>
      <c r="M153" s="41" t="s">
        <v>24</v>
      </c>
      <c r="N153" s="41" t="s">
        <v>54</v>
      </c>
      <c r="O153" s="46">
        <v>0</v>
      </c>
      <c r="P153" s="46">
        <v>430500</v>
      </c>
      <c r="Q153" s="44">
        <f t="shared" si="14"/>
        <v>430500</v>
      </c>
      <c r="R153" s="42">
        <v>46085</v>
      </c>
      <c r="S153" s="24">
        <f t="shared" si="13"/>
        <v>13</v>
      </c>
      <c r="T153" s="41" t="s">
        <v>347</v>
      </c>
      <c r="U153" s="48" t="s">
        <v>443</v>
      </c>
    </row>
    <row r="154" spans="1:21" x14ac:dyDescent="0.35">
      <c r="A154" s="12" t="s">
        <v>145</v>
      </c>
      <c r="B154" s="41" t="s">
        <v>44</v>
      </c>
      <c r="C154" s="41">
        <v>54990268</v>
      </c>
      <c r="D154" s="41" t="s">
        <v>356</v>
      </c>
      <c r="E154" s="41" t="s">
        <v>357</v>
      </c>
      <c r="F154" s="41" t="s">
        <v>47</v>
      </c>
      <c r="G154" s="41" t="s">
        <v>23</v>
      </c>
      <c r="H154" s="42">
        <v>46002</v>
      </c>
      <c r="I154" s="42">
        <v>46084</v>
      </c>
      <c r="J154" s="24">
        <f t="shared" si="12"/>
        <v>59</v>
      </c>
      <c r="K154" s="41" t="s">
        <v>303</v>
      </c>
      <c r="L154" s="41" t="s">
        <v>327</v>
      </c>
      <c r="M154" s="41" t="s">
        <v>358</v>
      </c>
      <c r="N154" s="41" t="s">
        <v>54</v>
      </c>
      <c r="O154" s="46">
        <v>0</v>
      </c>
      <c r="P154" s="46">
        <v>0</v>
      </c>
      <c r="Q154" s="44">
        <f t="shared" si="14"/>
        <v>0</v>
      </c>
      <c r="R154" s="42">
        <v>46085</v>
      </c>
      <c r="S154" s="24">
        <f t="shared" si="13"/>
        <v>60</v>
      </c>
      <c r="T154" s="41" t="s">
        <v>347</v>
      </c>
      <c r="U154" s="48" t="s">
        <v>444</v>
      </c>
    </row>
    <row r="155" spans="1:21" x14ac:dyDescent="0.35">
      <c r="A155" s="12" t="s">
        <v>359</v>
      </c>
      <c r="B155" s="41" t="s">
        <v>31</v>
      </c>
      <c r="C155" s="41">
        <v>57782724</v>
      </c>
      <c r="D155" s="41" t="s">
        <v>20</v>
      </c>
      <c r="E155" s="41">
        <v>2722229745</v>
      </c>
      <c r="F155" s="41" t="s">
        <v>33</v>
      </c>
      <c r="G155" s="41" t="s">
        <v>23</v>
      </c>
      <c r="H155" s="42">
        <v>46057</v>
      </c>
      <c r="I155" s="42">
        <v>46073</v>
      </c>
      <c r="J155" s="24">
        <f t="shared" si="12"/>
        <v>13</v>
      </c>
      <c r="K155" s="41" t="s">
        <v>303</v>
      </c>
      <c r="L155" s="41" t="s">
        <v>304</v>
      </c>
      <c r="M155" s="41" t="s">
        <v>24</v>
      </c>
      <c r="N155" s="41" t="s">
        <v>34</v>
      </c>
      <c r="O155" s="46">
        <v>150000</v>
      </c>
      <c r="P155" s="46">
        <v>60000</v>
      </c>
      <c r="Q155" s="44">
        <f t="shared" si="14"/>
        <v>210000</v>
      </c>
      <c r="R155" s="42">
        <v>46085</v>
      </c>
      <c r="S155" s="24">
        <f t="shared" si="13"/>
        <v>21</v>
      </c>
      <c r="T155" s="41" t="s">
        <v>347</v>
      </c>
      <c r="U155" s="48" t="s">
        <v>443</v>
      </c>
    </row>
    <row r="156" spans="1:21" x14ac:dyDescent="0.35">
      <c r="A156" s="12" t="s">
        <v>360</v>
      </c>
      <c r="B156" s="41" t="s">
        <v>31</v>
      </c>
      <c r="C156" s="41">
        <v>58585753</v>
      </c>
      <c r="D156" s="41" t="s">
        <v>20</v>
      </c>
      <c r="E156" s="41">
        <v>2722229950</v>
      </c>
      <c r="F156" s="41" t="s">
        <v>33</v>
      </c>
      <c r="G156" s="41" t="s">
        <v>23</v>
      </c>
      <c r="H156" s="42">
        <v>46072</v>
      </c>
      <c r="I156" s="42">
        <v>46084</v>
      </c>
      <c r="J156" s="24">
        <f t="shared" si="12"/>
        <v>9</v>
      </c>
      <c r="K156" s="41" t="s">
        <v>303</v>
      </c>
      <c r="L156" s="41" t="s">
        <v>304</v>
      </c>
      <c r="M156" s="41" t="s">
        <v>24</v>
      </c>
      <c r="N156" s="41" t="s">
        <v>34</v>
      </c>
      <c r="O156" s="46">
        <v>150000</v>
      </c>
      <c r="P156" s="46">
        <v>60000</v>
      </c>
      <c r="Q156" s="44">
        <f t="shared" si="14"/>
        <v>210000</v>
      </c>
      <c r="R156" s="42">
        <v>46085</v>
      </c>
      <c r="S156" s="24">
        <f t="shared" si="13"/>
        <v>10</v>
      </c>
      <c r="T156" s="41" t="s">
        <v>347</v>
      </c>
      <c r="U156" s="48" t="s">
        <v>443</v>
      </c>
    </row>
    <row r="157" spans="1:21" x14ac:dyDescent="0.35">
      <c r="A157" s="41" t="s">
        <v>43</v>
      </c>
      <c r="B157" s="41" t="s">
        <v>44</v>
      </c>
      <c r="C157" s="41">
        <v>55490966</v>
      </c>
      <c r="D157" s="41" t="s">
        <v>68</v>
      </c>
      <c r="E157" s="41" t="s">
        <v>361</v>
      </c>
      <c r="F157" s="41" t="s">
        <v>22</v>
      </c>
      <c r="G157" s="41" t="s">
        <v>38</v>
      </c>
      <c r="H157" s="42">
        <v>46010</v>
      </c>
      <c r="I157" s="42">
        <v>46084</v>
      </c>
      <c r="J157" s="24">
        <f t="shared" si="12"/>
        <v>53</v>
      </c>
      <c r="K157" s="47" t="s">
        <v>303</v>
      </c>
      <c r="L157" s="48" t="s">
        <v>327</v>
      </c>
      <c r="M157" s="48" t="s">
        <v>24</v>
      </c>
      <c r="N157" s="41" t="s">
        <v>199</v>
      </c>
      <c r="O157" s="49">
        <v>0</v>
      </c>
      <c r="P157" s="49">
        <v>0</v>
      </c>
      <c r="Q157" s="44">
        <f t="shared" si="14"/>
        <v>0</v>
      </c>
      <c r="R157" s="50">
        <v>46086</v>
      </c>
      <c r="S157" s="24">
        <f t="shared" si="13"/>
        <v>55</v>
      </c>
      <c r="T157" s="41" t="s">
        <v>347</v>
      </c>
      <c r="U157" s="48" t="s">
        <v>443</v>
      </c>
    </row>
    <row r="158" spans="1:21" x14ac:dyDescent="0.35">
      <c r="A158" s="41" t="s">
        <v>362</v>
      </c>
      <c r="B158" s="41" t="s">
        <v>44</v>
      </c>
      <c r="C158" s="41">
        <v>58853643</v>
      </c>
      <c r="D158" s="41" t="s">
        <v>363</v>
      </c>
      <c r="E158" s="41" t="s">
        <v>364</v>
      </c>
      <c r="F158" s="41" t="s">
        <v>22</v>
      </c>
      <c r="G158" s="41" t="s">
        <v>41</v>
      </c>
      <c r="H158" s="51">
        <v>46079</v>
      </c>
      <c r="I158" s="51">
        <v>46085</v>
      </c>
      <c r="J158" s="24">
        <f t="shared" si="12"/>
        <v>5</v>
      </c>
      <c r="K158" s="47" t="s">
        <v>303</v>
      </c>
      <c r="L158" s="48" t="s">
        <v>304</v>
      </c>
      <c r="M158" s="48" t="s">
        <v>358</v>
      </c>
      <c r="N158" s="41" t="s">
        <v>148</v>
      </c>
      <c r="O158" s="49">
        <v>0</v>
      </c>
      <c r="P158" s="49">
        <v>0</v>
      </c>
      <c r="Q158" s="44">
        <f t="shared" si="14"/>
        <v>0</v>
      </c>
      <c r="R158" s="50">
        <v>46086</v>
      </c>
      <c r="S158" s="24">
        <f t="shared" si="13"/>
        <v>6</v>
      </c>
      <c r="T158" s="41" t="s">
        <v>347</v>
      </c>
      <c r="U158" s="48" t="s">
        <v>444</v>
      </c>
    </row>
    <row r="159" spans="1:21" x14ac:dyDescent="0.35">
      <c r="A159" s="5" t="s">
        <v>43</v>
      </c>
      <c r="B159" s="5" t="s">
        <v>44</v>
      </c>
      <c r="C159" s="52">
        <v>54479742</v>
      </c>
      <c r="D159" s="11" t="s">
        <v>365</v>
      </c>
      <c r="E159" s="52" t="s">
        <v>366</v>
      </c>
      <c r="F159" s="11" t="s">
        <v>47</v>
      </c>
      <c r="G159" s="12" t="s">
        <v>23</v>
      </c>
      <c r="H159" s="53">
        <v>45993</v>
      </c>
      <c r="I159" s="53">
        <v>46084</v>
      </c>
      <c r="J159" s="24">
        <f t="shared" si="12"/>
        <v>66</v>
      </c>
      <c r="K159" s="47" t="s">
        <v>303</v>
      </c>
      <c r="L159" s="48" t="s">
        <v>304</v>
      </c>
      <c r="M159" s="48" t="s">
        <v>48</v>
      </c>
      <c r="N159" s="11" t="s">
        <v>49</v>
      </c>
      <c r="O159" s="5">
        <v>6064001</v>
      </c>
      <c r="P159" s="5">
        <v>0</v>
      </c>
      <c r="Q159" s="44">
        <f t="shared" si="14"/>
        <v>6064001</v>
      </c>
      <c r="R159" s="50">
        <v>46086</v>
      </c>
      <c r="S159" s="24">
        <f t="shared" si="13"/>
        <v>68</v>
      </c>
      <c r="T159" s="41" t="s">
        <v>347</v>
      </c>
      <c r="U159" s="48" t="s">
        <v>443</v>
      </c>
    </row>
    <row r="160" spans="1:21" x14ac:dyDescent="0.35">
      <c r="A160" s="5" t="s">
        <v>367</v>
      </c>
      <c r="B160" s="41" t="s">
        <v>87</v>
      </c>
      <c r="C160" s="5">
        <v>58932414</v>
      </c>
      <c r="D160" s="41" t="s">
        <v>368</v>
      </c>
      <c r="E160" s="5">
        <v>2722229955</v>
      </c>
      <c r="F160" s="41" t="s">
        <v>33</v>
      </c>
      <c r="G160" s="41" t="s">
        <v>23</v>
      </c>
      <c r="H160" s="42">
        <v>46078</v>
      </c>
      <c r="I160" s="42">
        <v>46086</v>
      </c>
      <c r="J160" s="24">
        <f t="shared" si="12"/>
        <v>7</v>
      </c>
      <c r="K160" s="47" t="s">
        <v>303</v>
      </c>
      <c r="L160" s="48" t="s">
        <v>304</v>
      </c>
      <c r="M160" s="48" t="s">
        <v>24</v>
      </c>
      <c r="N160" s="41" t="s">
        <v>84</v>
      </c>
      <c r="O160" s="49">
        <v>1000000</v>
      </c>
      <c r="P160" s="49">
        <v>495000</v>
      </c>
      <c r="Q160" s="44">
        <f t="shared" si="14"/>
        <v>1495000</v>
      </c>
      <c r="R160" s="50">
        <v>46086</v>
      </c>
      <c r="S160" s="24">
        <f t="shared" si="13"/>
        <v>7</v>
      </c>
      <c r="T160" s="41" t="s">
        <v>347</v>
      </c>
      <c r="U160" s="48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4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48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4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48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4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48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4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41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4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41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4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41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4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41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4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41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4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41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4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41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4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41" t="s">
        <v>444</v>
      </c>
    </row>
    <row r="172" spans="1:21" x14ac:dyDescent="0.35">
      <c r="A172" s="12" t="s">
        <v>374</v>
      </c>
      <c r="B172" s="12" t="s">
        <v>44</v>
      </c>
      <c r="C172" s="5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4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41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4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41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4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41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4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41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4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41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4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41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4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41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4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41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4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41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4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41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4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41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4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41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4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41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56">
        <v>150000</v>
      </c>
      <c r="P185" s="56">
        <v>60000</v>
      </c>
      <c r="Q185" s="44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41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56">
        <v>150000</v>
      </c>
      <c r="P186" s="56">
        <v>60000</v>
      </c>
      <c r="Q186" s="44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41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4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41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4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41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55" t="s">
        <v>303</v>
      </c>
      <c r="L189" s="34" t="s">
        <v>304</v>
      </c>
      <c r="M189" s="12" t="s">
        <v>425</v>
      </c>
      <c r="N189" s="12" t="s">
        <v>119</v>
      </c>
      <c r="O189" s="57">
        <v>0</v>
      </c>
      <c r="P189" s="57">
        <v>0</v>
      </c>
      <c r="Q189" s="44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41" t="s">
        <v>444</v>
      </c>
    </row>
    <row r="190" spans="1:21" x14ac:dyDescent="0.35">
      <c r="A190" s="12" t="s">
        <v>430</v>
      </c>
      <c r="B190" s="41" t="s">
        <v>44</v>
      </c>
      <c r="C190" s="41">
        <v>50732535</v>
      </c>
      <c r="D190" s="41" t="s">
        <v>20</v>
      </c>
      <c r="E190" s="41" t="s">
        <v>431</v>
      </c>
      <c r="F190" s="41" t="s">
        <v>22</v>
      </c>
      <c r="G190" s="41" t="s">
        <v>38</v>
      </c>
      <c r="H190" s="42">
        <v>45919</v>
      </c>
      <c r="I190" s="42">
        <v>46056</v>
      </c>
      <c r="J190" s="24">
        <f t="shared" si="12"/>
        <v>98</v>
      </c>
      <c r="K190" s="41" t="s">
        <v>303</v>
      </c>
      <c r="L190" s="41" t="s">
        <v>327</v>
      </c>
      <c r="M190" s="41" t="s">
        <v>358</v>
      </c>
      <c r="N190" s="41" t="s">
        <v>148</v>
      </c>
      <c r="O190" s="41">
        <v>0</v>
      </c>
      <c r="P190" s="41">
        <v>0</v>
      </c>
      <c r="Q190" s="49">
        <v>0</v>
      </c>
      <c r="R190" s="14">
        <v>46092</v>
      </c>
      <c r="S190" s="24">
        <f t="shared" si="13"/>
        <v>124</v>
      </c>
      <c r="T190" s="11" t="s">
        <v>377</v>
      </c>
      <c r="U190" s="41" t="s">
        <v>444</v>
      </c>
    </row>
    <row r="191" spans="1:21" x14ac:dyDescent="0.35">
      <c r="A191" s="12" t="s">
        <v>432</v>
      </c>
      <c r="B191" s="41" t="s">
        <v>19</v>
      </c>
      <c r="C191" s="41">
        <v>58205267</v>
      </c>
      <c r="D191" s="41" t="s">
        <v>433</v>
      </c>
      <c r="E191" s="41" t="s">
        <v>434</v>
      </c>
      <c r="F191" s="41" t="s">
        <v>22</v>
      </c>
      <c r="G191" s="41" t="s">
        <v>23</v>
      </c>
      <c r="H191" s="42">
        <v>46067</v>
      </c>
      <c r="I191" s="42">
        <v>46087</v>
      </c>
      <c r="J191" s="24">
        <f t="shared" si="12"/>
        <v>15</v>
      </c>
      <c r="K191" s="41" t="s">
        <v>303</v>
      </c>
      <c r="L191" s="41" t="s">
        <v>304</v>
      </c>
      <c r="M191" s="41" t="s">
        <v>24</v>
      </c>
      <c r="N191" s="41" t="s">
        <v>54</v>
      </c>
      <c r="O191" s="41">
        <v>0</v>
      </c>
      <c r="P191" s="41">
        <v>430500</v>
      </c>
      <c r="Q191" s="49">
        <v>430500</v>
      </c>
      <c r="R191" s="14">
        <v>46092</v>
      </c>
      <c r="S191" s="24">
        <f t="shared" si="13"/>
        <v>18</v>
      </c>
      <c r="T191" s="11" t="s">
        <v>377</v>
      </c>
      <c r="U191" s="41" t="s">
        <v>444</v>
      </c>
    </row>
    <row r="192" spans="1:21" x14ac:dyDescent="0.35">
      <c r="A192" s="12" t="s">
        <v>432</v>
      </c>
      <c r="B192" s="41" t="s">
        <v>19</v>
      </c>
      <c r="C192" s="41">
        <v>58173859</v>
      </c>
      <c r="D192" s="41" t="s">
        <v>435</v>
      </c>
      <c r="E192" s="41" t="s">
        <v>436</v>
      </c>
      <c r="F192" s="41" t="s">
        <v>22</v>
      </c>
      <c r="G192" s="41" t="s">
        <v>23</v>
      </c>
      <c r="H192" s="42">
        <v>46066</v>
      </c>
      <c r="I192" s="42">
        <v>46087</v>
      </c>
      <c r="J192" s="24">
        <f t="shared" si="12"/>
        <v>16</v>
      </c>
      <c r="K192" s="41" t="s">
        <v>303</v>
      </c>
      <c r="L192" s="41" t="s">
        <v>304</v>
      </c>
      <c r="M192" s="41" t="s">
        <v>24</v>
      </c>
      <c r="N192" s="41" t="s">
        <v>54</v>
      </c>
      <c r="O192" s="41">
        <v>0</v>
      </c>
      <c r="P192" s="41">
        <v>430500</v>
      </c>
      <c r="Q192" s="49">
        <v>430500</v>
      </c>
      <c r="R192" s="14">
        <v>46092</v>
      </c>
      <c r="S192" s="24">
        <f t="shared" si="13"/>
        <v>19</v>
      </c>
      <c r="T192" s="11" t="s">
        <v>377</v>
      </c>
      <c r="U192" s="41" t="s">
        <v>444</v>
      </c>
    </row>
    <row r="193" spans="1:21" x14ac:dyDescent="0.35">
      <c r="A193" s="12" t="s">
        <v>437</v>
      </c>
      <c r="B193" s="41" t="s">
        <v>31</v>
      </c>
      <c r="C193" s="41">
        <v>58650763</v>
      </c>
      <c r="D193" s="41" t="s">
        <v>20</v>
      </c>
      <c r="E193" s="41">
        <v>2722417296</v>
      </c>
      <c r="F193" s="41" t="s">
        <v>33</v>
      </c>
      <c r="G193" s="41" t="s">
        <v>23</v>
      </c>
      <c r="H193" s="42">
        <v>46073</v>
      </c>
      <c r="I193" s="42">
        <v>46092</v>
      </c>
      <c r="J193" s="24">
        <f t="shared" si="12"/>
        <v>14</v>
      </c>
      <c r="K193" s="41" t="s">
        <v>303</v>
      </c>
      <c r="L193" s="41" t="s">
        <v>304</v>
      </c>
      <c r="M193" s="41" t="s">
        <v>24</v>
      </c>
      <c r="N193" s="41" t="s">
        <v>34</v>
      </c>
      <c r="O193" s="41">
        <v>150000</v>
      </c>
      <c r="P193" s="41">
        <v>40000</v>
      </c>
      <c r="Q193" s="49">
        <v>190000</v>
      </c>
      <c r="R193" s="14">
        <v>46092</v>
      </c>
      <c r="S193" s="24">
        <f t="shared" si="13"/>
        <v>14</v>
      </c>
      <c r="T193" s="11" t="s">
        <v>377</v>
      </c>
      <c r="U193" s="41" t="s">
        <v>444</v>
      </c>
    </row>
    <row r="194" spans="1:21" x14ac:dyDescent="0.35">
      <c r="A194" s="12" t="s">
        <v>438</v>
      </c>
      <c r="B194" s="41" t="s">
        <v>31</v>
      </c>
      <c r="C194" s="41">
        <v>58276534</v>
      </c>
      <c r="D194" s="41" t="s">
        <v>56</v>
      </c>
      <c r="E194" s="41">
        <v>2723489370</v>
      </c>
      <c r="F194" s="41" t="s">
        <v>33</v>
      </c>
      <c r="G194" s="41" t="s">
        <v>23</v>
      </c>
      <c r="H194" s="42">
        <v>46066</v>
      </c>
      <c r="I194" s="42">
        <v>46092</v>
      </c>
      <c r="J194" s="24">
        <f t="shared" si="12"/>
        <v>19</v>
      </c>
      <c r="K194" s="41" t="s">
        <v>303</v>
      </c>
      <c r="L194" s="41" t="s">
        <v>304</v>
      </c>
      <c r="M194" s="41" t="s">
        <v>24</v>
      </c>
      <c r="N194" s="41" t="s">
        <v>34</v>
      </c>
      <c r="O194" s="41">
        <v>150000</v>
      </c>
      <c r="P194" s="41">
        <v>40000</v>
      </c>
      <c r="Q194" s="49">
        <v>190000</v>
      </c>
      <c r="R194" s="14">
        <v>46092</v>
      </c>
      <c r="S194" s="24">
        <f t="shared" si="13"/>
        <v>19</v>
      </c>
      <c r="T194" s="11" t="s">
        <v>377</v>
      </c>
      <c r="U194" s="41" t="s">
        <v>444</v>
      </c>
    </row>
    <row r="195" spans="1:21" x14ac:dyDescent="0.35">
      <c r="A195" s="12" t="s">
        <v>439</v>
      </c>
      <c r="B195" s="41" t="s">
        <v>44</v>
      </c>
      <c r="C195" s="41">
        <v>58853633</v>
      </c>
      <c r="D195" s="41" t="s">
        <v>440</v>
      </c>
      <c r="E195" s="41" t="s">
        <v>441</v>
      </c>
      <c r="F195" s="41" t="s">
        <v>47</v>
      </c>
      <c r="G195" s="41" t="s">
        <v>38</v>
      </c>
      <c r="H195" s="42">
        <v>46079</v>
      </c>
      <c r="I195" s="42">
        <v>46092</v>
      </c>
      <c r="J195" s="24">
        <f t="shared" si="12"/>
        <v>10</v>
      </c>
      <c r="K195" s="41" t="s">
        <v>303</v>
      </c>
      <c r="L195" s="41" t="s">
        <v>304</v>
      </c>
      <c r="M195" s="41" t="s">
        <v>24</v>
      </c>
      <c r="N195" s="41" t="s">
        <v>148</v>
      </c>
      <c r="O195" s="41">
        <v>0</v>
      </c>
      <c r="P195" s="41">
        <v>0</v>
      </c>
      <c r="Q195" s="49">
        <v>0</v>
      </c>
      <c r="R195" s="14">
        <v>46092</v>
      </c>
      <c r="S195" s="24">
        <f t="shared" si="13"/>
        <v>10</v>
      </c>
      <c r="T195" s="11" t="s">
        <v>377</v>
      </c>
      <c r="U195" s="41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41" t="s">
        <v>303</v>
      </c>
      <c r="L196" s="41" t="s">
        <v>327</v>
      </c>
      <c r="M196" s="41" t="s">
        <v>24</v>
      </c>
      <c r="N196" s="41" t="s">
        <v>39</v>
      </c>
      <c r="O196" s="41">
        <v>2932569</v>
      </c>
      <c r="P196" s="41">
        <v>709840</v>
      </c>
      <c r="Q196" s="49">
        <v>3642409</v>
      </c>
      <c r="R196" s="42">
        <v>46093</v>
      </c>
      <c r="S196" s="24">
        <f t="shared" si="13"/>
        <v>73</v>
      </c>
      <c r="T196" s="41" t="s">
        <v>377</v>
      </c>
      <c r="U196" s="48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41" t="s">
        <v>303</v>
      </c>
      <c r="L197" s="41" t="s">
        <v>304</v>
      </c>
      <c r="M197" s="41" t="s">
        <v>24</v>
      </c>
      <c r="N197" s="41" t="s">
        <v>54</v>
      </c>
      <c r="O197" s="41">
        <v>0</v>
      </c>
      <c r="P197" s="41">
        <v>430500</v>
      </c>
      <c r="Q197" s="49">
        <v>430500</v>
      </c>
      <c r="R197" s="42">
        <v>46093</v>
      </c>
      <c r="S197" s="24">
        <f t="shared" si="13"/>
        <v>20</v>
      </c>
      <c r="T197" s="41" t="s">
        <v>377</v>
      </c>
      <c r="U197" s="48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41" t="s">
        <v>303</v>
      </c>
      <c r="L198" s="41" t="s">
        <v>304</v>
      </c>
      <c r="M198" s="41" t="s">
        <v>24</v>
      </c>
      <c r="N198" s="41" t="s">
        <v>137</v>
      </c>
      <c r="O198" s="41">
        <v>2000000</v>
      </c>
      <c r="P198" s="41">
        <v>300000</v>
      </c>
      <c r="Q198" s="49">
        <v>2300000</v>
      </c>
      <c r="R198" s="42">
        <v>46093</v>
      </c>
      <c r="S198" s="24">
        <f t="shared" si="13"/>
        <v>43</v>
      </c>
      <c r="T198" s="41" t="s">
        <v>377</v>
      </c>
      <c r="U198" s="48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41" t="s">
        <v>303</v>
      </c>
      <c r="L199" s="41" t="s">
        <v>304</v>
      </c>
      <c r="M199" s="41" t="s">
        <v>24</v>
      </c>
      <c r="N199" s="41" t="s">
        <v>105</v>
      </c>
      <c r="O199" s="41">
        <v>0</v>
      </c>
      <c r="P199" s="41">
        <v>0</v>
      </c>
      <c r="Q199" s="49">
        <v>0</v>
      </c>
      <c r="R199" s="42">
        <v>46093</v>
      </c>
      <c r="S199" s="24">
        <f t="shared" si="13"/>
        <v>96</v>
      </c>
      <c r="T199" s="41" t="s">
        <v>377</v>
      </c>
      <c r="U199" s="48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41" t="s">
        <v>303</v>
      </c>
      <c r="L200" s="41" t="s">
        <v>304</v>
      </c>
      <c r="M200" s="41" t="s">
        <v>24</v>
      </c>
      <c r="N200" s="41" t="s">
        <v>105</v>
      </c>
      <c r="O200" s="41">
        <v>0</v>
      </c>
      <c r="P200" s="41">
        <v>0</v>
      </c>
      <c r="Q200" s="49">
        <v>0</v>
      </c>
      <c r="R200" s="42">
        <v>46093</v>
      </c>
      <c r="S200" s="24">
        <f t="shared" si="13"/>
        <v>96</v>
      </c>
      <c r="T200" s="41" t="s">
        <v>377</v>
      </c>
      <c r="U200" s="48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41" t="s">
        <v>303</v>
      </c>
      <c r="L201" s="41" t="s">
        <v>304</v>
      </c>
      <c r="M201" s="41" t="s">
        <v>48</v>
      </c>
      <c r="N201" s="41" t="s">
        <v>137</v>
      </c>
      <c r="O201" s="41">
        <v>2000000</v>
      </c>
      <c r="P201" s="41">
        <v>0</v>
      </c>
      <c r="Q201" s="49">
        <v>2000000</v>
      </c>
      <c r="R201" s="42">
        <v>46092</v>
      </c>
      <c r="S201" s="24">
        <f t="shared" si="13"/>
        <v>42</v>
      </c>
      <c r="T201" s="41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41" t="s">
        <v>303</v>
      </c>
      <c r="L202" s="41" t="s">
        <v>327</v>
      </c>
      <c r="M202" s="41" t="s">
        <v>24</v>
      </c>
      <c r="N202" s="41" t="s">
        <v>105</v>
      </c>
      <c r="O202" s="41">
        <v>0</v>
      </c>
      <c r="P202" s="41">
        <v>0</v>
      </c>
      <c r="Q202" s="49">
        <v>0</v>
      </c>
      <c r="R202" s="42">
        <v>46093</v>
      </c>
      <c r="S202" s="24">
        <f t="shared" si="13"/>
        <v>96</v>
      </c>
      <c r="T202" s="41" t="s">
        <v>377</v>
      </c>
      <c r="U202" s="48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41" t="s">
        <v>303</v>
      </c>
      <c r="L203" s="41" t="s">
        <v>304</v>
      </c>
      <c r="M203" s="41" t="s">
        <v>48</v>
      </c>
      <c r="N203" s="41" t="s">
        <v>49</v>
      </c>
      <c r="O203" s="41">
        <v>200000</v>
      </c>
      <c r="P203" s="41">
        <v>0</v>
      </c>
      <c r="Q203" s="49">
        <v>200000</v>
      </c>
      <c r="R203" s="42">
        <v>46094</v>
      </c>
      <c r="S203" s="24">
        <f t="shared" si="13"/>
        <v>23</v>
      </c>
      <c r="T203" s="41" t="s">
        <v>377</v>
      </c>
      <c r="U203" s="48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41" t="s">
        <v>303</v>
      </c>
      <c r="L204" s="41" t="s">
        <v>304</v>
      </c>
      <c r="M204" s="41" t="s">
        <v>48</v>
      </c>
      <c r="N204" s="41" t="s">
        <v>34</v>
      </c>
      <c r="O204" s="41">
        <v>144000</v>
      </c>
      <c r="P204" s="41">
        <v>0</v>
      </c>
      <c r="Q204" s="49">
        <v>144000</v>
      </c>
      <c r="R204" s="42">
        <v>46094</v>
      </c>
      <c r="S204" s="24">
        <f t="shared" si="13"/>
        <v>25</v>
      </c>
      <c r="T204" s="41" t="s">
        <v>377</v>
      </c>
      <c r="U204" s="48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:J217" si="15">+NETWORKDAYS(H205,I205)</f>
        <v>18</v>
      </c>
      <c r="K205" s="41" t="s">
        <v>303</v>
      </c>
      <c r="L205" s="41" t="s">
        <v>304</v>
      </c>
      <c r="M205" s="41" t="s">
        <v>24</v>
      </c>
      <c r="N205" s="41" t="s">
        <v>57</v>
      </c>
      <c r="O205" s="41">
        <v>360000</v>
      </c>
      <c r="P205" s="41">
        <v>92495</v>
      </c>
      <c r="Q205" s="49">
        <v>452495</v>
      </c>
      <c r="R205" s="42">
        <v>46094</v>
      </c>
      <c r="S205" s="24">
        <f t="shared" ref="S205:S217" si="16">NETWORKDAYS(H205,R205)</f>
        <v>18</v>
      </c>
      <c r="T205" s="41" t="s">
        <v>377</v>
      </c>
      <c r="U205" s="48" t="s">
        <v>443</v>
      </c>
    </row>
    <row r="206" spans="1:21" x14ac:dyDescent="0.35">
      <c r="A206" s="12" t="s">
        <v>462</v>
      </c>
      <c r="B206" s="12" t="s">
        <v>19</v>
      </c>
      <c r="C206" s="12">
        <v>57157406</v>
      </c>
      <c r="D206" s="12" t="s">
        <v>175</v>
      </c>
      <c r="E206" s="12" t="s">
        <v>463</v>
      </c>
      <c r="F206" s="12" t="s">
        <v>47</v>
      </c>
      <c r="G206" s="12" t="s">
        <v>38</v>
      </c>
      <c r="H206" s="16">
        <v>46045</v>
      </c>
      <c r="I206" s="14">
        <v>46055</v>
      </c>
      <c r="J206" s="24">
        <f t="shared" si="15"/>
        <v>7</v>
      </c>
      <c r="K206" s="25" t="s">
        <v>303</v>
      </c>
      <c r="L206" s="11" t="s">
        <v>304</v>
      </c>
      <c r="M206" s="11" t="s">
        <v>24</v>
      </c>
      <c r="N206" s="12" t="s">
        <v>64</v>
      </c>
      <c r="O206" s="56">
        <v>0</v>
      </c>
      <c r="P206" s="56">
        <v>0</v>
      </c>
      <c r="Q206" s="56">
        <f t="shared" ref="Q206:Q212" si="17">P206+O206</f>
        <v>0</v>
      </c>
      <c r="R206" s="13">
        <v>46094</v>
      </c>
      <c r="S206" s="24">
        <f t="shared" si="16"/>
        <v>36</v>
      </c>
      <c r="T206" s="11" t="s">
        <v>377</v>
      </c>
      <c r="U206" s="11" t="s">
        <v>444</v>
      </c>
    </row>
    <row r="207" spans="1:21" x14ac:dyDescent="0.35">
      <c r="A207" s="12" t="s">
        <v>451</v>
      </c>
      <c r="B207" s="12" t="s">
        <v>19</v>
      </c>
      <c r="C207" s="12">
        <v>52797879</v>
      </c>
      <c r="D207" s="12" t="s">
        <v>175</v>
      </c>
      <c r="E207" s="12" t="s">
        <v>464</v>
      </c>
      <c r="F207" s="12" t="s">
        <v>47</v>
      </c>
      <c r="G207" s="12" t="s">
        <v>38</v>
      </c>
      <c r="H207" s="14">
        <v>45960</v>
      </c>
      <c r="I207" s="14">
        <v>45979</v>
      </c>
      <c r="J207" s="24">
        <f t="shared" si="15"/>
        <v>14</v>
      </c>
      <c r="K207" s="25" t="s">
        <v>303</v>
      </c>
      <c r="L207" s="11" t="s">
        <v>304</v>
      </c>
      <c r="M207" s="11" t="s">
        <v>24</v>
      </c>
      <c r="N207" s="12" t="s">
        <v>105</v>
      </c>
      <c r="O207" s="56">
        <v>0</v>
      </c>
      <c r="P207" s="56">
        <v>0</v>
      </c>
      <c r="Q207" s="56">
        <f t="shared" si="17"/>
        <v>0</v>
      </c>
      <c r="R207" s="13">
        <v>46097</v>
      </c>
      <c r="S207" s="24">
        <f t="shared" si="16"/>
        <v>98</v>
      </c>
      <c r="T207" s="11" t="s">
        <v>377</v>
      </c>
      <c r="U207" s="11" t="s">
        <v>444</v>
      </c>
    </row>
    <row r="208" spans="1:21" x14ac:dyDescent="0.35">
      <c r="A208" s="12" t="s">
        <v>451</v>
      </c>
      <c r="B208" s="12" t="s">
        <v>19</v>
      </c>
      <c r="C208" s="12">
        <v>52797893</v>
      </c>
      <c r="D208" s="12" t="s">
        <v>175</v>
      </c>
      <c r="E208" s="12" t="s">
        <v>465</v>
      </c>
      <c r="F208" s="12" t="s">
        <v>47</v>
      </c>
      <c r="G208" s="12" t="s">
        <v>41</v>
      </c>
      <c r="H208" s="14">
        <v>45960</v>
      </c>
      <c r="I208" s="14">
        <v>45979</v>
      </c>
      <c r="J208" s="24">
        <f t="shared" si="15"/>
        <v>14</v>
      </c>
      <c r="K208" s="25" t="s">
        <v>303</v>
      </c>
      <c r="L208" s="11" t="s">
        <v>304</v>
      </c>
      <c r="M208" s="11" t="s">
        <v>24</v>
      </c>
      <c r="N208" s="12" t="s">
        <v>105</v>
      </c>
      <c r="O208" s="56">
        <v>0</v>
      </c>
      <c r="P208" s="56">
        <v>0</v>
      </c>
      <c r="Q208" s="56">
        <f t="shared" si="17"/>
        <v>0</v>
      </c>
      <c r="R208" s="13">
        <v>46097</v>
      </c>
      <c r="S208" s="24">
        <f t="shared" si="16"/>
        <v>98</v>
      </c>
      <c r="T208" s="11" t="s">
        <v>377</v>
      </c>
      <c r="U208" s="11" t="s">
        <v>444</v>
      </c>
    </row>
    <row r="209" spans="1:21" x14ac:dyDescent="0.35">
      <c r="A209" s="11" t="s">
        <v>466</v>
      </c>
      <c r="B209" s="11" t="s">
        <v>19</v>
      </c>
      <c r="C209" s="12">
        <v>57917222</v>
      </c>
      <c r="D209" s="11" t="s">
        <v>20</v>
      </c>
      <c r="E209" s="12" t="s">
        <v>467</v>
      </c>
      <c r="F209" s="11" t="s">
        <v>47</v>
      </c>
      <c r="G209" s="11" t="s">
        <v>23</v>
      </c>
      <c r="H209" s="14">
        <v>46059</v>
      </c>
      <c r="I209" s="14">
        <v>46098</v>
      </c>
      <c r="J209" s="24">
        <f t="shared" si="15"/>
        <v>28</v>
      </c>
      <c r="K209" s="25" t="s">
        <v>303</v>
      </c>
      <c r="L209" s="11" t="s">
        <v>304</v>
      </c>
      <c r="M209" s="11" t="s">
        <v>157</v>
      </c>
      <c r="N209" s="11" t="s">
        <v>29</v>
      </c>
      <c r="O209" s="56">
        <v>577056</v>
      </c>
      <c r="P209" s="56">
        <v>0</v>
      </c>
      <c r="Q209" s="56">
        <f t="shared" si="17"/>
        <v>577056</v>
      </c>
      <c r="R209" s="13">
        <v>46098</v>
      </c>
      <c r="S209" s="24">
        <f t="shared" si="16"/>
        <v>28</v>
      </c>
      <c r="T209" s="11" t="s">
        <v>468</v>
      </c>
      <c r="U209" s="11" t="s">
        <v>443</v>
      </c>
    </row>
    <row r="210" spans="1:21" x14ac:dyDescent="0.35">
      <c r="A210" s="12" t="s">
        <v>469</v>
      </c>
      <c r="B210" s="12" t="s">
        <v>44</v>
      </c>
      <c r="C210" s="12">
        <v>58809676</v>
      </c>
      <c r="D210" s="12" t="s">
        <v>68</v>
      </c>
      <c r="E210" s="12" t="s">
        <v>470</v>
      </c>
      <c r="F210" s="12" t="s">
        <v>22</v>
      </c>
      <c r="G210" s="12" t="s">
        <v>23</v>
      </c>
      <c r="H210" s="14">
        <v>46076</v>
      </c>
      <c r="I210" s="14">
        <v>46098</v>
      </c>
      <c r="J210" s="24">
        <f t="shared" si="15"/>
        <v>17</v>
      </c>
      <c r="K210" s="25" t="s">
        <v>303</v>
      </c>
      <c r="L210" s="11" t="s">
        <v>304</v>
      </c>
      <c r="M210" s="11" t="s">
        <v>24</v>
      </c>
      <c r="N210" s="12" t="s">
        <v>49</v>
      </c>
      <c r="O210" s="19">
        <v>2000000</v>
      </c>
      <c r="P210" s="19">
        <v>462000</v>
      </c>
      <c r="Q210" s="56">
        <f t="shared" si="17"/>
        <v>2462000</v>
      </c>
      <c r="R210" s="13">
        <v>46098</v>
      </c>
      <c r="S210" s="24">
        <f t="shared" si="16"/>
        <v>17</v>
      </c>
      <c r="T210" s="11" t="s">
        <v>468</v>
      </c>
      <c r="U210" s="11" t="s">
        <v>444</v>
      </c>
    </row>
    <row r="211" spans="1:21" x14ac:dyDescent="0.35">
      <c r="A211" s="12" t="s">
        <v>471</v>
      </c>
      <c r="B211" s="12" t="s">
        <v>44</v>
      </c>
      <c r="C211" s="12">
        <v>58167492</v>
      </c>
      <c r="D211" s="12" t="s">
        <v>146</v>
      </c>
      <c r="E211" s="12" t="s">
        <v>472</v>
      </c>
      <c r="F211" s="12" t="s">
        <v>22</v>
      </c>
      <c r="G211" s="12" t="s">
        <v>23</v>
      </c>
      <c r="H211" s="14">
        <v>46066</v>
      </c>
      <c r="I211" s="14">
        <v>46092</v>
      </c>
      <c r="J211" s="24">
        <f t="shared" si="15"/>
        <v>19</v>
      </c>
      <c r="K211" s="25" t="s">
        <v>303</v>
      </c>
      <c r="L211" s="11" t="s">
        <v>304</v>
      </c>
      <c r="M211" s="11" t="s">
        <v>24</v>
      </c>
      <c r="N211" s="12" t="s">
        <v>49</v>
      </c>
      <c r="O211" s="19">
        <v>650000</v>
      </c>
      <c r="P211" s="19">
        <v>350000</v>
      </c>
      <c r="Q211" s="56">
        <f t="shared" si="17"/>
        <v>1000000</v>
      </c>
      <c r="R211" s="13">
        <v>46098</v>
      </c>
      <c r="S211" s="24">
        <f t="shared" si="16"/>
        <v>23</v>
      </c>
      <c r="T211" s="11" t="s">
        <v>468</v>
      </c>
      <c r="U211" s="11" t="s">
        <v>443</v>
      </c>
    </row>
    <row r="212" spans="1:21" x14ac:dyDescent="0.35">
      <c r="A212" s="5" t="s">
        <v>473</v>
      </c>
      <c r="B212" s="11" t="s">
        <v>31</v>
      </c>
      <c r="C212" s="5">
        <v>58476260</v>
      </c>
      <c r="D212" s="11" t="s">
        <v>474</v>
      </c>
      <c r="E212" s="5">
        <v>2721711965</v>
      </c>
      <c r="F212" s="11" t="s">
        <v>33</v>
      </c>
      <c r="G212" s="11" t="s">
        <v>23</v>
      </c>
      <c r="H212" s="13">
        <v>46070</v>
      </c>
      <c r="I212" s="13">
        <v>46098</v>
      </c>
      <c r="J212" s="24">
        <f t="shared" si="15"/>
        <v>21</v>
      </c>
      <c r="K212" s="11" t="s">
        <v>303</v>
      </c>
      <c r="L212" s="11" t="s">
        <v>327</v>
      </c>
      <c r="M212" s="11" t="s">
        <v>24</v>
      </c>
      <c r="N212" s="11" t="s">
        <v>34</v>
      </c>
      <c r="O212" s="56">
        <v>150000</v>
      </c>
      <c r="P212" s="56">
        <v>60000</v>
      </c>
      <c r="Q212" s="56">
        <f t="shared" si="17"/>
        <v>210000</v>
      </c>
      <c r="R212" s="13">
        <v>46098</v>
      </c>
      <c r="S212" s="24">
        <f t="shared" si="16"/>
        <v>21</v>
      </c>
      <c r="T212" s="11" t="s">
        <v>468</v>
      </c>
      <c r="U212" s="11" t="s">
        <v>443</v>
      </c>
    </row>
    <row r="213" spans="1:21" x14ac:dyDescent="0.35">
      <c r="A213" s="12" t="s">
        <v>120</v>
      </c>
      <c r="B213" s="12" t="s">
        <v>44</v>
      </c>
      <c r="C213" s="12">
        <v>56460494</v>
      </c>
      <c r="D213" s="12" t="s">
        <v>20</v>
      </c>
      <c r="E213" s="12" t="s">
        <v>475</v>
      </c>
      <c r="F213" s="12" t="s">
        <v>22</v>
      </c>
      <c r="G213" s="12" t="s">
        <v>23</v>
      </c>
      <c r="H213" s="16">
        <v>46031</v>
      </c>
      <c r="I213" s="14">
        <v>46071</v>
      </c>
      <c r="J213" s="24">
        <f t="shared" si="15"/>
        <v>29</v>
      </c>
      <c r="K213" s="25" t="s">
        <v>303</v>
      </c>
      <c r="L213" s="11" t="s">
        <v>310</v>
      </c>
      <c r="M213" s="11" t="s">
        <v>24</v>
      </c>
      <c r="N213" s="12" t="s">
        <v>105</v>
      </c>
      <c r="O213" s="19">
        <v>500000</v>
      </c>
      <c r="P213" s="19">
        <v>593997</v>
      </c>
      <c r="Q213" s="56">
        <f>P213+O213</f>
        <v>1093997</v>
      </c>
      <c r="R213" s="13">
        <v>46099</v>
      </c>
      <c r="S213" s="24">
        <f t="shared" si="16"/>
        <v>49</v>
      </c>
      <c r="T213" s="11" t="s">
        <v>468</v>
      </c>
      <c r="U213" s="11" t="s">
        <v>443</v>
      </c>
    </row>
    <row r="214" spans="1:21" x14ac:dyDescent="0.35">
      <c r="A214" s="12" t="s">
        <v>476</v>
      </c>
      <c r="B214" s="12" t="s">
        <v>19</v>
      </c>
      <c r="C214" s="5">
        <v>57771694</v>
      </c>
      <c r="D214" s="12" t="s">
        <v>202</v>
      </c>
      <c r="E214" s="12" t="s">
        <v>477</v>
      </c>
      <c r="F214" s="12" t="s">
        <v>22</v>
      </c>
      <c r="G214" s="12" t="s">
        <v>23</v>
      </c>
      <c r="H214" s="14">
        <v>46057</v>
      </c>
      <c r="I214" s="14">
        <v>46099</v>
      </c>
      <c r="J214" s="24">
        <f t="shared" si="15"/>
        <v>31</v>
      </c>
      <c r="K214" s="25" t="s">
        <v>303</v>
      </c>
      <c r="L214" s="11" t="s">
        <v>327</v>
      </c>
      <c r="M214" s="11" t="s">
        <v>24</v>
      </c>
      <c r="N214" s="12" t="s">
        <v>174</v>
      </c>
      <c r="O214" s="19">
        <v>400000</v>
      </c>
      <c r="P214" s="19">
        <v>1034117</v>
      </c>
      <c r="Q214" s="56">
        <f>P214+O214</f>
        <v>1434117</v>
      </c>
      <c r="R214" s="13">
        <v>46099</v>
      </c>
      <c r="S214" s="24">
        <f t="shared" si="16"/>
        <v>31</v>
      </c>
      <c r="T214" s="11" t="s">
        <v>468</v>
      </c>
      <c r="U214" s="11" t="s">
        <v>443</v>
      </c>
    </row>
    <row r="215" spans="1:21" x14ac:dyDescent="0.35">
      <c r="A215" s="12" t="s">
        <v>469</v>
      </c>
      <c r="B215" s="12" t="s">
        <v>44</v>
      </c>
      <c r="C215" s="12">
        <v>58809268</v>
      </c>
      <c r="D215" s="12" t="s">
        <v>50</v>
      </c>
      <c r="E215" s="12" t="s">
        <v>478</v>
      </c>
      <c r="F215" s="12" t="s">
        <v>22</v>
      </c>
      <c r="G215" s="12" t="s">
        <v>23</v>
      </c>
      <c r="H215" s="14">
        <v>46076</v>
      </c>
      <c r="I215" s="14">
        <v>46099</v>
      </c>
      <c r="J215" s="24">
        <f t="shared" si="15"/>
        <v>18</v>
      </c>
      <c r="K215" s="25" t="s">
        <v>303</v>
      </c>
      <c r="L215" s="11" t="s">
        <v>304</v>
      </c>
      <c r="M215" s="11" t="s">
        <v>24</v>
      </c>
      <c r="N215" s="12" t="s">
        <v>49</v>
      </c>
      <c r="O215" s="19">
        <v>2000000</v>
      </c>
      <c r="P215" s="19">
        <v>462000</v>
      </c>
      <c r="Q215" s="56">
        <f>P215+O215</f>
        <v>2462000</v>
      </c>
      <c r="R215" s="13">
        <v>46100</v>
      </c>
      <c r="S215" s="24">
        <f t="shared" si="16"/>
        <v>19</v>
      </c>
      <c r="T215" s="11" t="s">
        <v>468</v>
      </c>
      <c r="U215" s="11" t="s">
        <v>443</v>
      </c>
    </row>
    <row r="216" spans="1:21" x14ac:dyDescent="0.35">
      <c r="A216" s="12" t="s">
        <v>58</v>
      </c>
      <c r="B216" s="12" t="s">
        <v>44</v>
      </c>
      <c r="C216" s="12">
        <v>56601140</v>
      </c>
      <c r="D216" s="12" t="s">
        <v>479</v>
      </c>
      <c r="E216" s="12" t="s">
        <v>480</v>
      </c>
      <c r="F216" s="12" t="s">
        <v>47</v>
      </c>
      <c r="G216" s="12" t="s">
        <v>23</v>
      </c>
      <c r="H216" s="14">
        <v>46035</v>
      </c>
      <c r="I216" s="14">
        <v>46098</v>
      </c>
      <c r="J216" s="24">
        <f t="shared" si="15"/>
        <v>46</v>
      </c>
      <c r="K216" s="25" t="s">
        <v>303</v>
      </c>
      <c r="L216" s="11" t="s">
        <v>327</v>
      </c>
      <c r="M216" s="11" t="s">
        <v>24</v>
      </c>
      <c r="N216" s="12" t="s">
        <v>49</v>
      </c>
      <c r="O216" s="19">
        <v>8033717</v>
      </c>
      <c r="P216" s="19">
        <v>400000</v>
      </c>
      <c r="Q216" s="56">
        <f>P216+O216</f>
        <v>8433717</v>
      </c>
      <c r="R216" s="13">
        <v>46100</v>
      </c>
      <c r="S216" s="24">
        <f t="shared" si="16"/>
        <v>48</v>
      </c>
      <c r="T216" s="11" t="s">
        <v>468</v>
      </c>
      <c r="U216" s="11" t="s">
        <v>443</v>
      </c>
    </row>
    <row r="217" spans="1:21" x14ac:dyDescent="0.35">
      <c r="A217" s="12" t="s">
        <v>481</v>
      </c>
      <c r="B217" s="12" t="s">
        <v>19</v>
      </c>
      <c r="C217" s="12">
        <v>59027644</v>
      </c>
      <c r="D217" s="12" t="s">
        <v>56</v>
      </c>
      <c r="E217" s="12" t="s">
        <v>482</v>
      </c>
      <c r="F217" s="12" t="s">
        <v>22</v>
      </c>
      <c r="G217" s="12" t="s">
        <v>23</v>
      </c>
      <c r="H217" s="14">
        <v>46079</v>
      </c>
      <c r="I217" s="14">
        <v>46091</v>
      </c>
      <c r="J217" s="24">
        <f t="shared" si="15"/>
        <v>9</v>
      </c>
      <c r="K217" s="25" t="s">
        <v>303</v>
      </c>
      <c r="L217" s="11" t="s">
        <v>304</v>
      </c>
      <c r="M217" s="11" t="s">
        <v>24</v>
      </c>
      <c r="N217" s="12" t="s">
        <v>29</v>
      </c>
      <c r="O217" s="19">
        <v>1500000</v>
      </c>
      <c r="P217" s="19">
        <v>700000</v>
      </c>
      <c r="Q217" s="56">
        <f>P217+O217</f>
        <v>2200000</v>
      </c>
      <c r="R217" s="13">
        <v>46100</v>
      </c>
      <c r="S217" s="24">
        <f t="shared" si="16"/>
        <v>16</v>
      </c>
      <c r="T217" s="11" t="s">
        <v>468</v>
      </c>
      <c r="U217" s="11" t="s">
        <v>443</v>
      </c>
    </row>
  </sheetData>
  <autoFilter ref="A1:U217" xr:uid="{00000000-0001-0000-0000-000000000000}">
    <filterColumn colId="17">
      <filters>
        <dateGroupItem year="2026" month="3" dateTimeGrouping="month"/>
      </filters>
    </filterColumn>
  </autoFilter>
  <conditionalFormatting sqref="C1">
    <cfRule type="duplicateValues" dxfId="80" priority="74"/>
    <cfRule type="duplicateValues" dxfId="79" priority="76"/>
    <cfRule type="duplicateValues" dxfId="78" priority="77"/>
    <cfRule type="duplicateValues" dxfId="77" priority="78"/>
    <cfRule type="duplicateValues" dxfId="76" priority="79"/>
    <cfRule type="duplicateValues" dxfId="75" priority="80"/>
  </conditionalFormatting>
  <conditionalFormatting sqref="C2:C15 C17:C31">
    <cfRule type="duplicateValues" dxfId="74" priority="54"/>
    <cfRule type="duplicateValues" dxfId="73" priority="55"/>
  </conditionalFormatting>
  <conditionalFormatting sqref="C2:C58">
    <cfRule type="duplicateValues" dxfId="72" priority="34"/>
    <cfRule type="duplicateValues" dxfId="71" priority="35"/>
  </conditionalFormatting>
  <conditionalFormatting sqref="C2:C70">
    <cfRule type="duplicateValues" dxfId="70" priority="32"/>
  </conditionalFormatting>
  <conditionalFormatting sqref="C8">
    <cfRule type="duplicateValues" dxfId="69" priority="52"/>
    <cfRule type="duplicateValues" dxfId="68" priority="53"/>
  </conditionalFormatting>
  <conditionalFormatting sqref="C9">
    <cfRule type="duplicateValues" dxfId="67" priority="51"/>
  </conditionalFormatting>
  <conditionalFormatting sqref="C10">
    <cfRule type="duplicateValues" dxfId="66" priority="50"/>
  </conditionalFormatting>
  <conditionalFormatting sqref="C12">
    <cfRule type="duplicateValues" dxfId="65" priority="49"/>
  </conditionalFormatting>
  <conditionalFormatting sqref="C15">
    <cfRule type="duplicateValues" dxfId="64" priority="48"/>
  </conditionalFormatting>
  <conditionalFormatting sqref="C16">
    <cfRule type="duplicateValues" dxfId="63" priority="40"/>
  </conditionalFormatting>
  <conditionalFormatting sqref="C20:C31">
    <cfRule type="duplicateValues" dxfId="62" priority="47"/>
  </conditionalFormatting>
  <conditionalFormatting sqref="C32">
    <cfRule type="duplicateValues" dxfId="61" priority="45"/>
  </conditionalFormatting>
  <conditionalFormatting sqref="C33:C37">
    <cfRule type="duplicateValues" dxfId="60" priority="44"/>
  </conditionalFormatting>
  <conditionalFormatting sqref="C39">
    <cfRule type="duplicateValues" dxfId="59" priority="42"/>
  </conditionalFormatting>
  <conditionalFormatting sqref="C40">
    <cfRule type="duplicateValues" dxfId="58" priority="41"/>
  </conditionalFormatting>
  <conditionalFormatting sqref="C47">
    <cfRule type="duplicateValues" dxfId="57" priority="38"/>
  </conditionalFormatting>
  <conditionalFormatting sqref="C59:C66">
    <cfRule type="duplicateValues" dxfId="56" priority="33"/>
  </conditionalFormatting>
  <conditionalFormatting sqref="C73">
    <cfRule type="duplicateValues" dxfId="55" priority="31"/>
  </conditionalFormatting>
  <conditionalFormatting sqref="C75">
    <cfRule type="duplicateValues" dxfId="54" priority="30"/>
  </conditionalFormatting>
  <conditionalFormatting sqref="C77">
    <cfRule type="duplicateValues" dxfId="53" priority="73"/>
  </conditionalFormatting>
  <conditionalFormatting sqref="C77:C109 C1">
    <cfRule type="duplicateValues" dxfId="52" priority="82"/>
  </conditionalFormatting>
  <conditionalFormatting sqref="C78">
    <cfRule type="duplicateValues" dxfId="51" priority="72"/>
  </conditionalFormatting>
  <conditionalFormatting sqref="C80:C81">
    <cfRule type="duplicateValues" dxfId="50" priority="71"/>
  </conditionalFormatting>
  <conditionalFormatting sqref="C85">
    <cfRule type="duplicateValues" dxfId="49" priority="69"/>
    <cfRule type="duplicateValues" dxfId="48" priority="70"/>
  </conditionalFormatting>
  <conditionalFormatting sqref="C92">
    <cfRule type="duplicateValues" dxfId="47" priority="68"/>
  </conditionalFormatting>
  <conditionalFormatting sqref="C93">
    <cfRule type="duplicateValues" dxfId="46" priority="67"/>
  </conditionalFormatting>
  <conditionalFormatting sqref="C98">
    <cfRule type="duplicateValues" dxfId="45" priority="65"/>
  </conditionalFormatting>
  <conditionalFormatting sqref="C101">
    <cfRule type="duplicateValues" dxfId="44" priority="64"/>
  </conditionalFormatting>
  <conditionalFormatting sqref="C102">
    <cfRule type="duplicateValues" dxfId="43" priority="62"/>
    <cfRule type="duplicateValues" dxfId="42" priority="63"/>
  </conditionalFormatting>
  <conditionalFormatting sqref="C103:C109">
    <cfRule type="duplicateValues" dxfId="41" priority="61"/>
  </conditionalFormatting>
  <conditionalFormatting sqref="C114">
    <cfRule type="duplicateValues" dxfId="40" priority="59"/>
  </conditionalFormatting>
  <conditionalFormatting sqref="C115">
    <cfRule type="duplicateValues" dxfId="39" priority="58"/>
  </conditionalFormatting>
  <conditionalFormatting sqref="C145">
    <cfRule type="duplicateValues" dxfId="38" priority="28"/>
    <cfRule type="duplicateValues" dxfId="37" priority="29"/>
  </conditionalFormatting>
  <conditionalFormatting sqref="C157:C160">
    <cfRule type="duplicateValues" dxfId="36" priority="88"/>
  </conditionalFormatting>
  <conditionalFormatting sqref="C161:C163">
    <cfRule type="duplicateValues" dxfId="35" priority="26"/>
  </conditionalFormatting>
  <conditionalFormatting sqref="C166">
    <cfRule type="duplicateValues" dxfId="34" priority="24"/>
    <cfRule type="duplicateValues" dxfId="33" priority="25"/>
  </conditionalFormatting>
  <conditionalFormatting sqref="C167">
    <cfRule type="duplicateValues" dxfId="32" priority="22"/>
    <cfRule type="duplicateValues" dxfId="31" priority="23"/>
  </conditionalFormatting>
  <conditionalFormatting sqref="C168">
    <cfRule type="duplicateValues" dxfId="30" priority="21"/>
  </conditionalFormatting>
  <conditionalFormatting sqref="C170">
    <cfRule type="duplicateValues" dxfId="29" priority="20"/>
  </conditionalFormatting>
  <conditionalFormatting sqref="C171">
    <cfRule type="duplicateValues" dxfId="28" priority="19"/>
  </conditionalFormatting>
  <conditionalFormatting sqref="C173">
    <cfRule type="duplicateValues" dxfId="27" priority="16"/>
    <cfRule type="duplicateValues" dxfId="26" priority="17"/>
  </conditionalFormatting>
  <conditionalFormatting sqref="C174">
    <cfRule type="duplicateValues" dxfId="25" priority="15"/>
  </conditionalFormatting>
  <conditionalFormatting sqref="C175">
    <cfRule type="duplicateValues" dxfId="24" priority="14"/>
  </conditionalFormatting>
  <conditionalFormatting sqref="C177">
    <cfRule type="duplicateValues" dxfId="23" priority="11"/>
  </conditionalFormatting>
  <conditionalFormatting sqref="C177:C178">
    <cfRule type="duplicateValues" dxfId="22" priority="12"/>
  </conditionalFormatting>
  <conditionalFormatting sqref="C179">
    <cfRule type="duplicateValues" dxfId="21" priority="9"/>
    <cfRule type="duplicateValues" dxfId="20" priority="10"/>
  </conditionalFormatting>
  <conditionalFormatting sqref="C206:C212">
    <cfRule type="duplicateValues" dxfId="19" priority="2"/>
  </conditionalFormatting>
  <conditionalFormatting sqref="C207">
    <cfRule type="duplicateValues" dxfId="18" priority="3"/>
    <cfRule type="duplicateValues" dxfId="17" priority="4"/>
  </conditionalFormatting>
  <conditionalFormatting sqref="C208">
    <cfRule type="duplicateValues" dxfId="16" priority="5"/>
    <cfRule type="duplicateValues" dxfId="15" priority="6"/>
  </conditionalFormatting>
  <conditionalFormatting sqref="E1">
    <cfRule type="duplicateValues" dxfId="14" priority="75"/>
    <cfRule type="duplicateValues" dxfId="13" priority="81"/>
  </conditionalFormatting>
  <conditionalFormatting sqref="E2:E15 E17:E31">
    <cfRule type="duplicateValues" dxfId="12" priority="57"/>
  </conditionalFormatting>
  <conditionalFormatting sqref="E16">
    <cfRule type="duplicateValues" dxfId="11" priority="39"/>
  </conditionalFormatting>
  <conditionalFormatting sqref="E20:E31">
    <cfRule type="duplicateValues" dxfId="10" priority="46"/>
  </conditionalFormatting>
  <conditionalFormatting sqref="E33">
    <cfRule type="duplicateValues" dxfId="9" priority="43"/>
  </conditionalFormatting>
  <conditionalFormatting sqref="E47">
    <cfRule type="duplicateValues" dxfId="8" priority="37"/>
  </conditionalFormatting>
  <conditionalFormatting sqref="E53">
    <cfRule type="duplicateValues" dxfId="7" priority="36"/>
  </conditionalFormatting>
  <conditionalFormatting sqref="E58">
    <cfRule type="duplicateValues" dxfId="6" priority="56"/>
  </conditionalFormatting>
  <conditionalFormatting sqref="E77:E97 E1">
    <cfRule type="duplicateValues" dxfId="5" priority="84"/>
  </conditionalFormatting>
  <conditionalFormatting sqref="E172">
    <cfRule type="duplicateValues" dxfId="4" priority="18"/>
  </conditionalFormatting>
  <conditionalFormatting sqref="E175">
    <cfRule type="duplicateValues" dxfId="3" priority="13"/>
  </conditionalFormatting>
  <conditionalFormatting sqref="C1:C212 C218:C1048576">
    <cfRule type="duplicateValues" dxfId="2" priority="91"/>
  </conditionalFormatting>
  <conditionalFormatting sqref="C1:C205 C218:C1048576">
    <cfRule type="duplicateValues" dxfId="1" priority="95"/>
    <cfRule type="duplicateValues" dxfId="0" priority="96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2026-03-19T16:53:00Z</dcterms:modified>
</cp:coreProperties>
</file>