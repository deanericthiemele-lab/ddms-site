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75" documentId="8_{A229127E-4F00-4A53-B430-1D5D94EE020C}" xr6:coauthVersionLast="47" xr6:coauthVersionMax="47" xr10:uidLastSave="{E0FBD5A7-AE0E-4EDB-983E-B325B0AE9286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2" i="1" l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<sst xmlns="http://schemas.openxmlformats.org/spreadsheetml/2006/main" count="4672" uniqueCount="797">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</sst>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7"/>
  <sheetViews>
    <sheetView tabSelected="1" workbookViewId="0">
      <selection activeCell="W37" sqref="W37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308</v>
      </c>
      <c r="L1" s="13" t="s">
        <v>309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435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>+NETWORKDAYS(H2,I2)</f>
        <v>12</v>
      </c>
      <c r="K2" s="17" t="s">
        <v>297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>P2+O2</f>
        <v>1693500</v>
      </c>
      <c r="R2" s="7">
        <v>46072</v>
      </c>
      <c r="S2" s="16">
        <f>NETWORKDAYS(H2,R2)</f>
        <v>14</v>
      </c>
      <c r="T2" s="5" t="s">
        <v>120</v>
      </c>
      <c r="U2" s="34" t="s">
        <v>436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>+NETWORKDAYS(H3,I3)</f>
        <v>7</v>
      </c>
      <c r="K3" s="17" t="s">
        <v>297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>P3+O3</f>
        <v>0</v>
      </c>
      <c r="R3" s="7">
        <v>46072</v>
      </c>
      <c r="S3" s="16">
        <f>NETWORKDAYS(H3,R3)</f>
        <v>8</v>
      </c>
      <c r="T3" s="5" t="s">
        <v>120</v>
      </c>
      <c r="U3" s="34" t="s">
        <v>436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>+NETWORKDAYS(H4,I4)</f>
        <v>14</v>
      </c>
      <c r="K4" s="17" t="s">
        <v>297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>P4+O4</f>
        <v>593127</v>
      </c>
      <c r="R4" s="7">
        <v>46072</v>
      </c>
      <c r="S4" s="16">
        <f>NETWORKDAYS(H4,R4)</f>
        <v>16</v>
      </c>
      <c r="T4" s="5" t="s">
        <v>120</v>
      </c>
      <c r="U4" s="34" t="s">
        <v>436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>+NETWORKDAYS(H5,I5)</f>
        <v>12</v>
      </c>
      <c r="K5" s="17" t="s">
        <v>297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>P5+O5</f>
        <v>2257902</v>
      </c>
      <c r="R5" s="7">
        <v>46072</v>
      </c>
      <c r="S5" s="16">
        <f>NETWORKDAYS(H5,R5)</f>
        <v>14</v>
      </c>
      <c r="T5" s="5" t="s">
        <v>120</v>
      </c>
      <c r="U5" s="34" t="s">
        <v>436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>+NETWORKDAYS(H6,I6)</f>
        <v>25</v>
      </c>
      <c r="K6" s="17" t="s">
        <v>297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>P6+O6</f>
        <v>2000000</v>
      </c>
      <c r="R6" s="7">
        <v>46071</v>
      </c>
      <c r="S6" s="16">
        <f>NETWORKDAYS(H6,R6)</f>
        <v>27</v>
      </c>
      <c r="T6" s="5" t="s">
        <v>120</v>
      </c>
      <c r="U6" s="34" t="s">
        <v>436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>+NETWORKDAYS(H7,I7)</f>
        <v>25</v>
      </c>
      <c r="K7" s="17" t="s">
        <v>297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>P7+O7</f>
        <v>2000000</v>
      </c>
      <c r="R7" s="7">
        <v>46071</v>
      </c>
      <c r="S7" s="16">
        <f>NETWORKDAYS(H7,R7)</f>
        <v>27</v>
      </c>
      <c r="T7" s="5" t="s">
        <v>120</v>
      </c>
      <c r="U7" s="34" t="s">
        <v>436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>+NETWORKDAYS(H8,I8)</f>
        <v>23</v>
      </c>
      <c r="K8" s="17" t="s">
        <v>297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>P8+O8</f>
        <v>2300000</v>
      </c>
      <c r="R8" s="7">
        <v>46071</v>
      </c>
      <c r="S8" s="16">
        <f>NETWORKDAYS(H8,R8)</f>
        <v>28</v>
      </c>
      <c r="T8" s="5" t="s">
        <v>120</v>
      </c>
      <c r="U8" s="34" t="s">
        <v>436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>+NETWORKDAYS(H9,I9)</f>
        <v>13</v>
      </c>
      <c r="K9" s="17" t="s">
        <v>297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>P9+O9</f>
        <v>2557954</v>
      </c>
      <c r="R9" s="7">
        <v>46070</v>
      </c>
      <c r="S9" s="16">
        <f>NETWORKDAYS(H9,R9)</f>
        <v>13</v>
      </c>
      <c r="T9" s="5" t="s">
        <v>120</v>
      </c>
      <c r="U9" s="34" t="s">
        <v>436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>+NETWORKDAYS(H10,I10)</f>
        <v>17</v>
      </c>
      <c r="K10" s="17" t="s">
        <v>297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>P10+O10</f>
        <v>210000</v>
      </c>
      <c r="R10" s="7">
        <v>46070</v>
      </c>
      <c r="S10" s="16">
        <f>NETWORKDAYS(H10,R10)</f>
        <v>19</v>
      </c>
      <c r="T10" s="5" t="s">
        <v>120</v>
      </c>
      <c r="U10" s="34" t="s">
        <v>436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>+NETWORKDAYS(H11,I11)</f>
        <v>11</v>
      </c>
      <c r="K11" s="17" t="s">
        <v>297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>P11+O11</f>
        <v>1231750</v>
      </c>
      <c r="R11" s="7">
        <v>46070</v>
      </c>
      <c r="S11" s="16">
        <f>NETWORKDAYS(H11,R11)</f>
        <v>12</v>
      </c>
      <c r="T11" s="5" t="s">
        <v>120</v>
      </c>
      <c r="U11" s="34" t="s">
        <v>436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>+NETWORKDAYS(H12,I12)</f>
        <v>14</v>
      </c>
      <c r="K12" s="17" t="s">
        <v>297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>P12+O12</f>
        <v>1474962</v>
      </c>
      <c r="R12" s="7">
        <v>46070</v>
      </c>
      <c r="S12" s="16">
        <f>NETWORKDAYS(H12,R12)</f>
        <v>19</v>
      </c>
      <c r="T12" s="5" t="s">
        <v>120</v>
      </c>
      <c r="U12" s="34" t="s">
        <v>436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>+NETWORKDAYS(H13,I13)</f>
        <v>26</v>
      </c>
      <c r="K13" s="17" t="s">
        <v>297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>P13+O13</f>
        <v>1498817</v>
      </c>
      <c r="R13" s="7">
        <v>46069</v>
      </c>
      <c r="S13" s="16">
        <f>NETWORKDAYS(H13,R13)</f>
        <v>27</v>
      </c>
      <c r="T13" s="5" t="s">
        <v>120</v>
      </c>
      <c r="U13" s="34" t="s">
        <v>436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>+NETWORKDAYS(H14,I14)</f>
        <v>45</v>
      </c>
      <c r="K14" s="17" t="s">
        <v>297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>P14+O14</f>
        <v>1197454</v>
      </c>
      <c r="R14" s="7">
        <v>46069</v>
      </c>
      <c r="S14" s="16">
        <f>NETWORKDAYS(H14,R14)</f>
        <v>60</v>
      </c>
      <c r="T14" s="5" t="s">
        <v>120</v>
      </c>
      <c r="U14" s="34" t="s">
        <v>436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>+NETWORKDAYS(H15,I15)</f>
        <v>23</v>
      </c>
      <c r="K15" s="17" t="s">
        <v>297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>P15+O15</f>
        <v>838483</v>
      </c>
      <c r="R15" s="7">
        <v>46069</v>
      </c>
      <c r="S15" s="16">
        <f>NETWORKDAYS(H15,R15)</f>
        <v>37</v>
      </c>
      <c r="T15" s="5" t="s">
        <v>120</v>
      </c>
      <c r="U15" s="34" t="s">
        <v>436</v>
      </c>
    </row>
    <row r="16" spans="1:21" ht="29" customHeight="1" x14ac:dyDescent="0.35">
      <c r="A16" s="6" t="s">
        <v>293</v>
      </c>
      <c r="B16" s="6" t="s">
        <v>19</v>
      </c>
      <c r="C16" s="6">
        <v>55409194</v>
      </c>
      <c r="D16" s="6" t="s">
        <v>99</v>
      </c>
      <c r="E16" s="6" t="s">
        <v>294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>+NETWORKDAYS(H16,I16)</f>
        <v>27</v>
      </c>
      <c r="K16" s="17" t="s">
        <v>297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>P16+O16</f>
        <v>1319491</v>
      </c>
      <c r="R16" s="7">
        <v>46052</v>
      </c>
      <c r="S16" s="16">
        <f>NETWORKDAYS(H16,R16)</f>
        <v>32</v>
      </c>
      <c r="T16" s="5" t="s">
        <v>267</v>
      </c>
      <c r="U16" s="34" t="s">
        <v>436</v>
      </c>
    </row>
    <row r="17" spans="1:21" ht="29" customHeight="1" x14ac:dyDescent="0.35">
      <c r="A17" s="1" t="s">
        <v>285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>+NETWORKDAYS(H17,I17)</f>
        <v>3</v>
      </c>
      <c r="K17" s="17" t="s">
        <v>297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>P17+O17</f>
        <v>381435</v>
      </c>
      <c r="R17" s="7">
        <v>46051</v>
      </c>
      <c r="S17" s="16">
        <f>NETWORKDAYS(H17,R17)</f>
        <v>4</v>
      </c>
      <c r="T17" s="5" t="s">
        <v>267</v>
      </c>
      <c r="U17" s="34" t="s">
        <v>436</v>
      </c>
    </row>
    <row r="18" spans="1:21" ht="29" customHeight="1" x14ac:dyDescent="0.35">
      <c r="A18" s="1" t="s">
        <v>286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>+NETWORKDAYS(H18,I18)</f>
        <v>5</v>
      </c>
      <c r="K18" s="17" t="s">
        <v>346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>P18+O18</f>
        <v>210000</v>
      </c>
      <c r="R18" s="7">
        <v>46051</v>
      </c>
      <c r="S18" s="16">
        <f>NETWORKDAYS(H18,R18)</f>
        <v>6</v>
      </c>
      <c r="T18" s="5" t="s">
        <v>267</v>
      </c>
      <c r="U18" s="34" t="s">
        <v>436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270</v>
      </c>
      <c r="E19" s="6" t="s">
        <v>287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>+NETWORKDAYS(H19,I19)</f>
        <v>64</v>
      </c>
      <c r="K19" s="17" t="s">
        <v>297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>P19+O19</f>
        <v>217691</v>
      </c>
      <c r="R19" s="7">
        <v>46051</v>
      </c>
      <c r="S19" s="16">
        <f>NETWORKDAYS(H19,R19)</f>
        <v>72</v>
      </c>
      <c r="T19" s="5" t="s">
        <v>267</v>
      </c>
      <c r="U19" s="34" t="s">
        <v>437</v>
      </c>
    </row>
    <row r="20" spans="1:21" ht="29" customHeight="1" x14ac:dyDescent="0.35">
      <c r="A20" s="6" t="s">
        <v>288</v>
      </c>
      <c r="B20" s="6" t="s">
        <v>19</v>
      </c>
      <c r="C20" s="14">
        <v>53798113</v>
      </c>
      <c r="D20" s="6" t="s">
        <v>289</v>
      </c>
      <c r="E20" s="6" t="s">
        <v>290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>+NETWORKDAYS(H20,I20)</f>
        <v>43</v>
      </c>
      <c r="K20" s="17" t="s">
        <v>297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>P20+O20</f>
        <v>1993983</v>
      </c>
      <c r="R20" s="7">
        <v>46051</v>
      </c>
      <c r="S20" s="16">
        <f>NETWORKDAYS(H20,R20)</f>
        <v>50</v>
      </c>
      <c r="T20" s="5" t="s">
        <v>267</v>
      </c>
      <c r="U20" s="34" t="s">
        <v>436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291</v>
      </c>
      <c r="E21" s="6" t="s">
        <v>292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>+NETWORKDAYS(H21,I21)</f>
        <v>65</v>
      </c>
      <c r="K21" s="17" t="s">
        <v>297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>P21+O21</f>
        <v>540923</v>
      </c>
      <c r="R21" s="7">
        <v>46051</v>
      </c>
      <c r="S21" s="16">
        <f>NETWORKDAYS(H21,R21)</f>
        <v>70</v>
      </c>
      <c r="T21" s="5" t="s">
        <v>267</v>
      </c>
      <c r="U21" s="34" t="s">
        <v>437</v>
      </c>
    </row>
    <row r="22" spans="1:21" ht="29" customHeight="1" x14ac:dyDescent="0.35">
      <c r="A22" s="6" t="s">
        <v>280</v>
      </c>
      <c r="B22" s="6" t="s">
        <v>19</v>
      </c>
      <c r="C22" s="6">
        <v>56603297</v>
      </c>
      <c r="D22" s="6" t="s">
        <v>35</v>
      </c>
      <c r="E22" s="6" t="s">
        <v>281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>+NETWORKDAYS(H22,I22)</f>
        <v>8</v>
      </c>
      <c r="K22" s="17" t="s">
        <v>297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>P22+O22</f>
        <v>1725090</v>
      </c>
      <c r="R22" s="7">
        <v>46050</v>
      </c>
      <c r="S22" s="16">
        <f>NETWORKDAYS(H22,R22)</f>
        <v>12</v>
      </c>
      <c r="T22" s="5" t="s">
        <v>267</v>
      </c>
      <c r="U22" s="34" t="s">
        <v>436</v>
      </c>
    </row>
    <row r="23" spans="1:21" ht="29" customHeight="1" x14ac:dyDescent="0.35">
      <c r="A23" s="14" t="s">
        <v>282</v>
      </c>
      <c r="B23" s="6" t="s">
        <v>19</v>
      </c>
      <c r="C23" s="6">
        <v>54796984</v>
      </c>
      <c r="D23" s="6" t="s">
        <v>283</v>
      </c>
      <c r="E23" s="6" t="s">
        <v>284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>+NETWORKDAYS(H23,I23)</f>
        <v>36</v>
      </c>
      <c r="K23" s="17" t="s">
        <v>297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>P23+O23</f>
        <v>3276000</v>
      </c>
      <c r="R23" s="7">
        <v>46050</v>
      </c>
      <c r="S23" s="16">
        <f>NETWORKDAYS(H23,R23)</f>
        <v>38</v>
      </c>
      <c r="T23" s="5" t="s">
        <v>267</v>
      </c>
      <c r="U23" s="34" t="s">
        <v>436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268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>+NETWORKDAYS(H24,I24)</f>
        <v>34</v>
      </c>
      <c r="K24" s="17" t="s">
        <v>297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>P24+O24</f>
        <v>200000</v>
      </c>
      <c r="R24" s="7">
        <v>46049</v>
      </c>
      <c r="S24" s="16">
        <f>NETWORKDAYS(H24,R24)</f>
        <v>35</v>
      </c>
      <c r="T24" s="5" t="s">
        <v>267</v>
      </c>
      <c r="U24" s="34" t="s">
        <v>436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269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>+NETWORKDAYS(H25,I25)</f>
        <v>13</v>
      </c>
      <c r="K25" s="17" t="s">
        <v>346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>P25+O25</f>
        <v>200000</v>
      </c>
      <c r="R25" s="7">
        <v>46049</v>
      </c>
      <c r="S25" s="16">
        <f>NETWORKDAYS(H25,R25)</f>
        <v>14</v>
      </c>
      <c r="T25" s="5" t="s">
        <v>267</v>
      </c>
      <c r="U25" s="34" t="s">
        <v>436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270</v>
      </c>
      <c r="E26" s="6" t="s">
        <v>271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>+NETWORKDAYS(H26,I26)</f>
        <v>64</v>
      </c>
      <c r="K26" s="17" t="s">
        <v>297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>P26+O26</f>
        <v>170681</v>
      </c>
      <c r="R26" s="7">
        <v>46049</v>
      </c>
      <c r="S26" s="16">
        <f>NETWORKDAYS(H26,R26)</f>
        <v>70</v>
      </c>
      <c r="T26" s="5" t="s">
        <v>267</v>
      </c>
      <c r="U26" s="34" t="s">
        <v>437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272</v>
      </c>
      <c r="E27" s="6" t="s">
        <v>273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>+NETWORKDAYS(H27,I27)</f>
        <v>40</v>
      </c>
      <c r="K27" s="17" t="s">
        <v>346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>P27+O27</f>
        <v>546923</v>
      </c>
      <c r="R27" s="7">
        <v>46049</v>
      </c>
      <c r="S27" s="16">
        <f>NETWORKDAYS(H27,R27)</f>
        <v>43</v>
      </c>
      <c r="T27" s="5" t="s">
        <v>267</v>
      </c>
      <c r="U27" s="34" t="s">
        <v>437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274</v>
      </c>
      <c r="E28" s="6" t="s">
        <v>275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>+NETWORKDAYS(H28,I28)</f>
        <v>13</v>
      </c>
      <c r="K28" s="17" t="s">
        <v>297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>P28+O28</f>
        <v>92730</v>
      </c>
      <c r="R28" s="7">
        <v>46049</v>
      </c>
      <c r="S28" s="16">
        <f>NETWORKDAYS(H28,R28)</f>
        <v>26</v>
      </c>
      <c r="T28" s="5" t="s">
        <v>267</v>
      </c>
      <c r="U28" s="34" t="s">
        <v>437</v>
      </c>
    </row>
    <row r="29" spans="1:21" ht="29" customHeight="1" x14ac:dyDescent="0.35">
      <c r="A29" s="6" t="s">
        <v>276</v>
      </c>
      <c r="B29" s="6" t="s">
        <v>43</v>
      </c>
      <c r="C29" s="6">
        <v>54135373</v>
      </c>
      <c r="D29" s="6" t="s">
        <v>277</v>
      </c>
      <c r="E29" s="6" t="s">
        <v>278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>+NETWORKDAYS(H29,I29)</f>
        <v>46</v>
      </c>
      <c r="K29" s="17" t="s">
        <v>297</v>
      </c>
      <c r="L29" s="22"/>
      <c r="M29" s="5" t="s">
        <v>24</v>
      </c>
      <c r="N29" s="6" t="s">
        <v>195</v>
      </c>
      <c r="O29" s="30">
        <v>855000</v>
      </c>
      <c r="P29" s="30">
        <v>196700</v>
      </c>
      <c r="Q29" s="31">
        <f>P29+O29</f>
        <v>1051700</v>
      </c>
      <c r="R29" s="7">
        <v>46049</v>
      </c>
      <c r="S29" s="16">
        <f>NETWORKDAYS(H29,R29)</f>
        <v>46</v>
      </c>
      <c r="T29" s="5" t="s">
        <v>267</v>
      </c>
      <c r="U29" s="34" t="s">
        <v>436</v>
      </c>
    </row>
    <row r="30" spans="1:21" ht="29" customHeight="1" x14ac:dyDescent="0.35">
      <c r="A30" s="1" t="s">
        <v>279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>+NETWORKDAYS(H30,I30)</f>
        <v>11</v>
      </c>
      <c r="K30" s="17" t="s">
        <v>297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>P30+O30</f>
        <v>210000</v>
      </c>
      <c r="R30" s="7">
        <v>46049</v>
      </c>
      <c r="S30" s="16">
        <f>NETWORKDAYS(H30,R30)</f>
        <v>12</v>
      </c>
      <c r="T30" s="5" t="s">
        <v>267</v>
      </c>
      <c r="U30" s="34" t="s">
        <v>436</v>
      </c>
    </row>
    <row r="31" spans="1:21" ht="29" customHeight="1" x14ac:dyDescent="0.35">
      <c r="A31" s="6" t="s">
        <v>265</v>
      </c>
      <c r="B31" s="6" t="s">
        <v>19</v>
      </c>
      <c r="C31" s="14">
        <v>52894293</v>
      </c>
      <c r="D31" s="6" t="s">
        <v>20</v>
      </c>
      <c r="E31" s="6" t="s">
        <v>266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>+NETWORKDAYS(H31,I31)</f>
        <v>59</v>
      </c>
      <c r="K31" s="17" t="s">
        <v>297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>P31+O31</f>
        <v>2182725</v>
      </c>
      <c r="R31" s="7">
        <v>46048</v>
      </c>
      <c r="S31" s="16">
        <f>NETWORKDAYS(H31,R31)</f>
        <v>62</v>
      </c>
      <c r="T31" s="5" t="s">
        <v>267</v>
      </c>
      <c r="U31" s="34" t="s">
        <v>436</v>
      </c>
    </row>
    <row r="32" spans="1:21" ht="29" customHeight="1" x14ac:dyDescent="0.35">
      <c r="A32" s="6" t="s">
        <v>780</v>
      </c>
      <c r="B32" s="55" t="s">
        <v>43</v>
      </c>
      <c r="C32" s="55">
        <v>61220160</v>
      </c>
      <c r="D32" s="55" t="s">
        <v>55</v>
      </c>
      <c r="E32" s="55" t="s">
        <v>781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>+NETWORKDAYS(H32,I32)</f>
        <v>28</v>
      </c>
      <c r="K32" s="6" t="s">
        <v>297</v>
      </c>
      <c r="L32" s="6" t="s">
        <v>298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>NETWORKDAYS(H32,R32)</f>
        <v>40</v>
      </c>
      <c r="T32" s="6" t="s">
        <v>789</v>
      </c>
      <c r="U32" s="6" t="s">
        <v>541</v>
      </c>
    </row>
    <row r="33" spans="1:21" ht="29" customHeight="1" x14ac:dyDescent="0.35">
      <c r="A33" s="6" t="s">
        <v>782</v>
      </c>
      <c r="B33" s="55" t="s">
        <v>19</v>
      </c>
      <c r="C33" s="55">
        <v>64023674</v>
      </c>
      <c r="D33" s="55" t="s">
        <v>49</v>
      </c>
      <c r="E33" s="55" t="s">
        <v>783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>+NETWORKDAYS(H33,I33)</f>
        <v>2</v>
      </c>
      <c r="K33" s="6" t="s">
        <v>297</v>
      </c>
      <c r="L33" s="6" t="s">
        <v>298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>NETWORKDAYS(H33,R33)</f>
        <v>3</v>
      </c>
      <c r="T33" s="6" t="s">
        <v>789</v>
      </c>
      <c r="U33" s="6" t="s">
        <v>541</v>
      </c>
    </row>
    <row r="34" spans="1:21" ht="29" customHeight="1" x14ac:dyDescent="0.35">
      <c r="A34" s="6" t="s">
        <v>764</v>
      </c>
      <c r="B34" s="55" t="s">
        <v>19</v>
      </c>
      <c r="C34" s="55">
        <v>62344830</v>
      </c>
      <c r="D34" s="55" t="s">
        <v>20</v>
      </c>
      <c r="E34" s="55" t="s">
        <v>784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>+NETWORKDAYS(H34,I34)</f>
        <v>26</v>
      </c>
      <c r="K34" s="6" t="s">
        <v>297</v>
      </c>
      <c r="L34" s="6" t="s">
        <v>298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>NETWORKDAYS(H34,R34)</f>
        <v>27</v>
      </c>
      <c r="T34" s="6" t="s">
        <v>789</v>
      </c>
      <c r="U34" s="6" t="s">
        <v>541</v>
      </c>
    </row>
    <row r="35" spans="1:21" ht="29" customHeight="1" x14ac:dyDescent="0.35">
      <c r="A35" s="6" t="s">
        <v>764</v>
      </c>
      <c r="B35" s="55" t="s">
        <v>19</v>
      </c>
      <c r="C35" s="55">
        <v>62343389</v>
      </c>
      <c r="D35" s="55" t="s">
        <v>20</v>
      </c>
      <c r="E35" s="55" t="s">
        <v>785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>+NETWORKDAYS(H35,I35)</f>
        <v>26</v>
      </c>
      <c r="K35" s="6" t="s">
        <v>297</v>
      </c>
      <c r="L35" s="6" t="s">
        <v>298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>NETWORKDAYS(H35,R35)</f>
        <v>27</v>
      </c>
      <c r="T35" s="6" t="s">
        <v>789</v>
      </c>
      <c r="U35" s="6" t="s">
        <v>541</v>
      </c>
    </row>
    <row r="36" spans="1:21" ht="29" customHeight="1" x14ac:dyDescent="0.35">
      <c r="A36" s="6" t="s">
        <v>786</v>
      </c>
      <c r="B36" s="55" t="s">
        <v>30</v>
      </c>
      <c r="C36" s="55">
        <v>63449095</v>
      </c>
      <c r="D36" s="55" t="s">
        <v>787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>+NETWORKDAYS(H36,I36)</f>
        <v>11</v>
      </c>
      <c r="K36" s="6" t="s">
        <v>297</v>
      </c>
      <c r="L36" s="6" t="s">
        <v>298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>NETWORKDAYS(H36,R36)</f>
        <v>12</v>
      </c>
      <c r="T36" s="6" t="s">
        <v>789</v>
      </c>
      <c r="U36" s="6" t="s">
        <v>541</v>
      </c>
    </row>
    <row r="37" spans="1:21" ht="29" customHeight="1" x14ac:dyDescent="0.35">
      <c r="A37" s="6" t="s">
        <v>788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>+NETWORKDAYS(H37,I37)</f>
        <v>28</v>
      </c>
      <c r="K37" s="6" t="s">
        <v>297</v>
      </c>
      <c r="L37" s="6" t="s">
        <v>298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>NETWORKDAYS(H37,R37)</f>
        <v>28</v>
      </c>
      <c r="T37" s="6" t="s">
        <v>789</v>
      </c>
      <c r="U37" s="6" t="s">
        <v>541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768</v>
      </c>
      <c r="E38" s="55" t="s">
        <v>769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>+NETWORKDAYS(H38,I38)</f>
        <v>14</v>
      </c>
      <c r="K38" s="55" t="s">
        <v>297</v>
      </c>
      <c r="L38" s="55" t="s">
        <v>298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>NETWORKDAYS(H38,R38)</f>
        <v>14</v>
      </c>
      <c r="T38" s="55" t="s">
        <v>755</v>
      </c>
      <c r="U38" s="55" t="s">
        <v>541</v>
      </c>
    </row>
    <row r="39" spans="1:21" ht="29" customHeight="1" x14ac:dyDescent="0.35">
      <c r="A39" s="6" t="s">
        <v>770</v>
      </c>
      <c r="B39" s="6" t="s">
        <v>19</v>
      </c>
      <c r="C39" s="6">
        <v>62880594</v>
      </c>
      <c r="D39" s="6" t="s">
        <v>171</v>
      </c>
      <c r="E39" s="6" t="s">
        <v>771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>+NETWORKDAYS(H39,I39)</f>
        <v>2</v>
      </c>
      <c r="K39" s="17" t="s">
        <v>297</v>
      </c>
      <c r="L39" s="5" t="s">
        <v>298</v>
      </c>
      <c r="M39" s="5" t="s">
        <v>24</v>
      </c>
      <c r="N39" s="6" t="s">
        <v>264</v>
      </c>
      <c r="O39" s="33">
        <v>0</v>
      </c>
      <c r="P39" s="33">
        <v>0</v>
      </c>
      <c r="Q39" s="33">
        <f>P39+O39</f>
        <v>0</v>
      </c>
      <c r="R39" s="7">
        <v>46171</v>
      </c>
      <c r="S39" s="16">
        <f>NETWORKDAYS(H39,R39)</f>
        <v>17</v>
      </c>
      <c r="T39" s="5" t="s">
        <v>755</v>
      </c>
      <c r="U39" s="5" t="s">
        <v>541</v>
      </c>
    </row>
    <row r="40" spans="1:21" ht="29" customHeight="1" x14ac:dyDescent="0.35">
      <c r="A40" s="6" t="s">
        <v>770</v>
      </c>
      <c r="B40" s="6" t="s">
        <v>19</v>
      </c>
      <c r="C40" s="6">
        <v>62880628</v>
      </c>
      <c r="D40" s="6" t="s">
        <v>171</v>
      </c>
      <c r="E40" s="6" t="s">
        <v>772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>+NETWORKDAYS(H40,I40)</f>
        <v>2</v>
      </c>
      <c r="K40" s="17" t="s">
        <v>297</v>
      </c>
      <c r="L40" s="5" t="s">
        <v>298</v>
      </c>
      <c r="M40" s="5" t="s">
        <v>24</v>
      </c>
      <c r="N40" s="6" t="s">
        <v>264</v>
      </c>
      <c r="O40" s="33">
        <v>0</v>
      </c>
      <c r="P40" s="33">
        <v>0</v>
      </c>
      <c r="Q40" s="33">
        <f>P40+O40</f>
        <v>0</v>
      </c>
      <c r="R40" s="7">
        <v>46171</v>
      </c>
      <c r="S40" s="16">
        <f>NETWORKDAYS(H40,R40)</f>
        <v>17</v>
      </c>
      <c r="T40" s="5" t="s">
        <v>755</v>
      </c>
      <c r="U40" s="5" t="s">
        <v>541</v>
      </c>
    </row>
    <row r="41" spans="1:21" ht="29" customHeight="1" x14ac:dyDescent="0.35">
      <c r="A41" s="6" t="s">
        <v>773</v>
      </c>
      <c r="B41" s="5" t="s">
        <v>19</v>
      </c>
      <c r="C41" s="26">
        <v>64009558</v>
      </c>
      <c r="D41" s="5" t="s">
        <v>20</v>
      </c>
      <c r="E41" s="6" t="s">
        <v>774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>+NETWORKDAYS(H41,I41)</f>
        <v>1</v>
      </c>
      <c r="K41" s="17" t="s">
        <v>297</v>
      </c>
      <c r="L41" s="5" t="s">
        <v>298</v>
      </c>
      <c r="M41" s="5" t="s">
        <v>24</v>
      </c>
      <c r="N41" s="5" t="s">
        <v>82</v>
      </c>
      <c r="O41" s="33">
        <v>0</v>
      </c>
      <c r="P41" s="33">
        <v>0</v>
      </c>
      <c r="Q41" s="33">
        <f>P41+O41</f>
        <v>0</v>
      </c>
      <c r="R41" s="7">
        <v>46171</v>
      </c>
      <c r="S41" s="16">
        <f>NETWORKDAYS(H41,R41)</f>
        <v>1</v>
      </c>
      <c r="T41" s="5" t="s">
        <v>755</v>
      </c>
      <c r="U41" s="5" t="s">
        <v>541</v>
      </c>
    </row>
    <row r="42" spans="1:21" ht="29" customHeight="1" x14ac:dyDescent="0.35">
      <c r="A42" s="3" t="s">
        <v>775</v>
      </c>
      <c r="B42" s="5" t="s">
        <v>30</v>
      </c>
      <c r="C42" s="3">
        <v>62682536</v>
      </c>
      <c r="D42" s="5" t="s">
        <v>776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>+NETWORKDAYS(H42,I42)</f>
        <v>19</v>
      </c>
      <c r="K42" s="17" t="s">
        <v>297</v>
      </c>
      <c r="L42" s="5" t="s">
        <v>320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>P42+O42</f>
        <v>210000</v>
      </c>
      <c r="R42" s="7">
        <v>46171</v>
      </c>
      <c r="S42" s="16">
        <f>NETWORKDAYS(H42,R42)</f>
        <v>20</v>
      </c>
      <c r="T42" s="5" t="s">
        <v>755</v>
      </c>
      <c r="U42" s="5" t="s">
        <v>541</v>
      </c>
    </row>
    <row r="43" spans="1:21" ht="29" customHeight="1" x14ac:dyDescent="0.35">
      <c r="A43" s="3" t="s">
        <v>764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>+NETWORKDAYS(H43,I43)</f>
        <v>24</v>
      </c>
      <c r="K43" s="17" t="s">
        <v>297</v>
      </c>
      <c r="L43" s="5" t="s">
        <v>298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>P43+O43</f>
        <v>400000</v>
      </c>
      <c r="R43" s="7">
        <v>46171</v>
      </c>
      <c r="S43" s="16">
        <f>NETWORKDAYS(H43,R43)</f>
        <v>25</v>
      </c>
      <c r="T43" s="5" t="s">
        <v>755</v>
      </c>
      <c r="U43" s="5" t="s">
        <v>541</v>
      </c>
    </row>
    <row r="44" spans="1:21" ht="29" customHeight="1" x14ac:dyDescent="0.35">
      <c r="A44" s="6" t="s">
        <v>777</v>
      </c>
      <c r="B44" s="5" t="s">
        <v>19</v>
      </c>
      <c r="C44" s="6">
        <v>63330974</v>
      </c>
      <c r="D44" s="5" t="s">
        <v>20</v>
      </c>
      <c r="E44" s="6" t="s">
        <v>778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>+NETWORKDAYS(H44,I44)</f>
        <v>11</v>
      </c>
      <c r="K44" s="17" t="s">
        <v>297</v>
      </c>
      <c r="L44" s="5" t="s">
        <v>298</v>
      </c>
      <c r="M44" s="5" t="s">
        <v>155</v>
      </c>
      <c r="N44" s="5" t="s">
        <v>92</v>
      </c>
      <c r="O44" s="33">
        <v>0</v>
      </c>
      <c r="P44" s="33">
        <v>0</v>
      </c>
      <c r="Q44" s="33">
        <f>P44+O44</f>
        <v>0</v>
      </c>
      <c r="R44" s="7">
        <v>46171</v>
      </c>
      <c r="S44" s="16">
        <f>NETWORKDAYS(H44,R44)</f>
        <v>11</v>
      </c>
      <c r="T44" s="5" t="s">
        <v>755</v>
      </c>
      <c r="U44" s="5" t="s">
        <v>541</v>
      </c>
    </row>
    <row r="45" spans="1:21" ht="29" customHeight="1" x14ac:dyDescent="0.35">
      <c r="A45" s="6" t="s">
        <v>762</v>
      </c>
      <c r="B45" s="6" t="s">
        <v>19</v>
      </c>
      <c r="C45" s="6">
        <v>59541145</v>
      </c>
      <c r="D45" s="6" t="s">
        <v>99</v>
      </c>
      <c r="E45" s="6" t="s">
        <v>763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>+NETWORKDAYS(H45,I45)</f>
        <v>53</v>
      </c>
      <c r="K45" s="6" t="s">
        <v>297</v>
      </c>
      <c r="L45" s="6" t="s">
        <v>320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>NETWORKDAYS(H45,R45)</f>
        <v>59</v>
      </c>
      <c r="T45" s="6" t="s">
        <v>755</v>
      </c>
      <c r="U45" s="6" t="s">
        <v>437</v>
      </c>
    </row>
    <row r="46" spans="1:21" ht="29" customHeight="1" x14ac:dyDescent="0.35">
      <c r="A46" s="6" t="s">
        <v>764</v>
      </c>
      <c r="B46" s="6" t="s">
        <v>19</v>
      </c>
      <c r="C46" s="6">
        <v>62348127</v>
      </c>
      <c r="D46" s="6" t="s">
        <v>20</v>
      </c>
      <c r="E46" s="6" t="s">
        <v>765</v>
      </c>
      <c r="F46" s="6" t="s">
        <v>192</v>
      </c>
      <c r="G46" s="6" t="s">
        <v>37</v>
      </c>
      <c r="H46" s="8">
        <v>46139</v>
      </c>
      <c r="I46" s="8">
        <v>46170</v>
      </c>
      <c r="J46" s="16">
        <f>+NETWORKDAYS(H46,I46)</f>
        <v>24</v>
      </c>
      <c r="K46" s="6" t="s">
        <v>297</v>
      </c>
      <c r="L46" s="6" t="s">
        <v>298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>NETWORKDAYS(H46,R46)</f>
        <v>24</v>
      </c>
      <c r="T46" s="6" t="s">
        <v>755</v>
      </c>
      <c r="U46" s="6" t="s">
        <v>541</v>
      </c>
    </row>
    <row r="47" spans="1:21" ht="29" customHeight="1" x14ac:dyDescent="0.35">
      <c r="A47" s="6" t="s">
        <v>764</v>
      </c>
      <c r="B47" s="6" t="s">
        <v>19</v>
      </c>
      <c r="C47" s="6">
        <v>62346912</v>
      </c>
      <c r="D47" s="6" t="s">
        <v>20</v>
      </c>
      <c r="E47" s="6" t="s">
        <v>766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>+NETWORKDAYS(H47,I47)</f>
        <v>24</v>
      </c>
      <c r="K47" s="6" t="s">
        <v>297</v>
      </c>
      <c r="L47" s="6" t="s">
        <v>298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>NETWORKDAYS(H47,R47)</f>
        <v>24</v>
      </c>
      <c r="T47" s="6" t="s">
        <v>755</v>
      </c>
      <c r="U47" s="6" t="s">
        <v>541</v>
      </c>
    </row>
    <row r="48" spans="1:21" ht="29" customHeight="1" x14ac:dyDescent="0.35">
      <c r="A48" s="6" t="s">
        <v>767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>+NETWORKDAYS(H48,I48)</f>
        <v>16</v>
      </c>
      <c r="K48" s="6" t="s">
        <v>297</v>
      </c>
      <c r="L48" s="6" t="s">
        <v>298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>NETWORKDAYS(H48,R48)</f>
        <v>16</v>
      </c>
      <c r="T48" s="6" t="s">
        <v>755</v>
      </c>
      <c r="U48" s="6" t="s">
        <v>541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751</v>
      </c>
      <c r="E49" s="55" t="s">
        <v>752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>+NETWORKDAYS(H49,I49)</f>
        <v>74</v>
      </c>
      <c r="K49" s="6" t="s">
        <v>297</v>
      </c>
      <c r="L49" s="6" t="s">
        <v>320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>NETWORKDAYS(H49,R49)</f>
        <v>96</v>
      </c>
      <c r="T49" s="6" t="s">
        <v>755</v>
      </c>
      <c r="U49" s="6" t="s">
        <v>541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753</v>
      </c>
      <c r="E50" s="55" t="s">
        <v>754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>+NETWORKDAYS(H50,I50)</f>
        <v>77</v>
      </c>
      <c r="K50" s="6" t="s">
        <v>297</v>
      </c>
      <c r="L50" s="6" t="s">
        <v>320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>NETWORKDAYS(H50,R50)</f>
        <v>96</v>
      </c>
      <c r="T50" s="6" t="s">
        <v>755</v>
      </c>
      <c r="U50" s="6" t="s">
        <v>541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756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>+NETWORKDAYS(H51,I51)</f>
        <v>65</v>
      </c>
      <c r="K51" s="6" t="s">
        <v>297</v>
      </c>
      <c r="L51" s="6" t="s">
        <v>320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>NETWORKDAYS(H51,R51)</f>
        <v>65</v>
      </c>
      <c r="T51" s="6" t="s">
        <v>755</v>
      </c>
      <c r="U51" s="6" t="s">
        <v>541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757</v>
      </c>
      <c r="E52" s="55" t="s">
        <v>758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>+NETWORKDAYS(H52,I52)</f>
        <v>92</v>
      </c>
      <c r="K52" s="55" t="s">
        <v>297</v>
      </c>
      <c r="L52" s="55" t="s">
        <v>320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>NETWORKDAYS(H52,R52)</f>
        <v>96</v>
      </c>
      <c r="T52" s="6" t="s">
        <v>755</v>
      </c>
      <c r="U52" s="6" t="s">
        <v>541</v>
      </c>
    </row>
    <row r="53" spans="1:21" x14ac:dyDescent="0.35">
      <c r="A53" s="6" t="s">
        <v>759</v>
      </c>
      <c r="B53" s="55" t="s">
        <v>19</v>
      </c>
      <c r="C53" s="55">
        <v>62937923</v>
      </c>
      <c r="D53" s="55" t="s">
        <v>519</v>
      </c>
      <c r="E53" s="55" t="s">
        <v>760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>+NETWORKDAYS(H53,I53)</f>
        <v>11</v>
      </c>
      <c r="K53" s="55" t="s">
        <v>297</v>
      </c>
      <c r="L53" s="55" t="s">
        <v>298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>NETWORKDAYS(H53,R53)</f>
        <v>13</v>
      </c>
      <c r="T53" s="6" t="s">
        <v>755</v>
      </c>
      <c r="U53" s="6" t="s">
        <v>541</v>
      </c>
    </row>
    <row r="54" spans="1:21" x14ac:dyDescent="0.35">
      <c r="A54" s="6" t="s">
        <v>761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>+NETWORKDAYS(H54,I54)</f>
        <v>29</v>
      </c>
      <c r="K54" s="6" t="s">
        <v>297</v>
      </c>
      <c r="L54" s="6" t="s">
        <v>298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>NETWORKDAYS(H54,R54)</f>
        <v>29</v>
      </c>
      <c r="T54" s="6" t="s">
        <v>755</v>
      </c>
      <c r="U54" s="6" t="s">
        <v>541</v>
      </c>
    </row>
    <row r="55" spans="1:21" x14ac:dyDescent="0.35">
      <c r="A55" s="6" t="s">
        <v>742</v>
      </c>
      <c r="B55" s="6" t="s">
        <v>43</v>
      </c>
      <c r="C55" s="6">
        <v>62170297</v>
      </c>
      <c r="D55" s="6" t="s">
        <v>743</v>
      </c>
      <c r="E55" s="6" t="s">
        <v>744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>+NETWORKDAYS(H55,I55)</f>
        <v>20</v>
      </c>
      <c r="K55" s="6" t="s">
        <v>297</v>
      </c>
      <c r="L55" s="6" t="s">
        <v>298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>NETWORKDAYS(H55,R55)</f>
        <v>21</v>
      </c>
      <c r="T55" s="6" t="s">
        <v>704</v>
      </c>
      <c r="U55" s="6" t="s">
        <v>541</v>
      </c>
    </row>
    <row r="56" spans="1:21" ht="24" x14ac:dyDescent="0.35">
      <c r="A56" s="14" t="s">
        <v>337</v>
      </c>
      <c r="B56" s="14" t="s">
        <v>43</v>
      </c>
      <c r="C56" s="6">
        <v>58896886</v>
      </c>
      <c r="D56" s="5" t="s">
        <v>745</v>
      </c>
      <c r="E56" s="6" t="s">
        <v>746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>+NETWORKDAYS(H56,I56)</f>
        <v>61</v>
      </c>
      <c r="K56" s="6" t="s">
        <v>297</v>
      </c>
      <c r="L56" s="6" t="s">
        <v>298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>NETWORKDAYS(H56,R56)</f>
        <v>62</v>
      </c>
      <c r="T56" s="6" t="s">
        <v>704</v>
      </c>
      <c r="U56" s="6" t="s">
        <v>541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747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>+NETWORKDAYS(H57,I57)</f>
        <v>65</v>
      </c>
      <c r="K57" s="6" t="s">
        <v>297</v>
      </c>
      <c r="L57" s="6" t="s">
        <v>320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>NETWORKDAYS(H57,R57)</f>
        <v>65</v>
      </c>
      <c r="T57" s="6" t="s">
        <v>704</v>
      </c>
      <c r="U57" s="6" t="s">
        <v>541</v>
      </c>
    </row>
    <row r="58" spans="1:21" x14ac:dyDescent="0.35">
      <c r="A58" s="6" t="s">
        <v>748</v>
      </c>
      <c r="B58" s="6" t="s">
        <v>19</v>
      </c>
      <c r="C58" s="6">
        <v>61828334</v>
      </c>
      <c r="D58" s="6" t="s">
        <v>322</v>
      </c>
      <c r="E58" s="6" t="s">
        <v>749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>+NETWORKDAYS(H58,I58)</f>
        <v>23</v>
      </c>
      <c r="K58" s="17" t="s">
        <v>297</v>
      </c>
      <c r="L58" s="5" t="s">
        <v>304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>NETWORKDAYS(H58,R58)</f>
        <v>25</v>
      </c>
      <c r="T58" s="5" t="s">
        <v>704</v>
      </c>
      <c r="U58" s="5" t="s">
        <v>541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750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>+NETWORKDAYS(H59,I59)</f>
        <v>62</v>
      </c>
      <c r="K59" s="6" t="s">
        <v>297</v>
      </c>
      <c r="L59" s="6" t="s">
        <v>304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>NETWORKDAYS(H59,R59)</f>
        <v>63</v>
      </c>
      <c r="T59" s="6" t="s">
        <v>704</v>
      </c>
      <c r="U59" s="6" t="s">
        <v>541</v>
      </c>
    </row>
    <row r="60" spans="1:21" x14ac:dyDescent="0.35">
      <c r="A60" s="6" t="s">
        <v>727</v>
      </c>
      <c r="B60" s="6" t="s">
        <v>19</v>
      </c>
      <c r="C60" s="1">
        <v>62243628</v>
      </c>
      <c r="D60" s="6" t="s">
        <v>99</v>
      </c>
      <c r="E60" s="6" t="s">
        <v>728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>+NETWORKDAYS(H60,I60)</f>
        <v>19</v>
      </c>
      <c r="K60" s="6" t="s">
        <v>297</v>
      </c>
      <c r="L60" s="6" t="s">
        <v>298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>NETWORKDAYS(H60,R60)</f>
        <v>19</v>
      </c>
      <c r="T60" s="6" t="s">
        <v>704</v>
      </c>
      <c r="U60" s="6" t="s">
        <v>541</v>
      </c>
    </row>
    <row r="61" spans="1:21" x14ac:dyDescent="0.35">
      <c r="A61" s="6" t="s">
        <v>729</v>
      </c>
      <c r="B61" s="5" t="s">
        <v>19</v>
      </c>
      <c r="C61" s="19" t="s">
        <v>730</v>
      </c>
      <c r="D61" s="5" t="s">
        <v>20</v>
      </c>
      <c r="E61" s="6" t="s">
        <v>731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>+NETWORKDAYS(H61,I61)</f>
        <v>7</v>
      </c>
      <c r="K61" s="6" t="s">
        <v>297</v>
      </c>
      <c r="L61" s="6" t="s">
        <v>298</v>
      </c>
      <c r="M61" s="6" t="s">
        <v>155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>NETWORKDAYS(H61,R61)</f>
        <v>10</v>
      </c>
      <c r="T61" s="6" t="s">
        <v>704</v>
      </c>
      <c r="U61" s="6" t="s">
        <v>541</v>
      </c>
    </row>
    <row r="62" spans="1:21" x14ac:dyDescent="0.35">
      <c r="A62" s="6" t="s">
        <v>732</v>
      </c>
      <c r="B62" s="5" t="s">
        <v>19</v>
      </c>
      <c r="C62" s="6">
        <v>59684312</v>
      </c>
      <c r="D62" s="5" t="s">
        <v>67</v>
      </c>
      <c r="E62" s="6" t="s">
        <v>733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>+NETWORKDAYS(H62,I62)</f>
        <v>47</v>
      </c>
      <c r="K62" s="6" t="s">
        <v>297</v>
      </c>
      <c r="L62" s="6" t="s">
        <v>298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>NETWORKDAYS(H62,R62)</f>
        <v>48</v>
      </c>
      <c r="T62" s="6" t="s">
        <v>704</v>
      </c>
      <c r="U62" s="6" t="s">
        <v>437</v>
      </c>
    </row>
    <row r="63" spans="1:21" ht="24.5" x14ac:dyDescent="0.35">
      <c r="A63" s="21" t="s">
        <v>734</v>
      </c>
      <c r="B63" s="5" t="s">
        <v>19</v>
      </c>
      <c r="C63" s="6">
        <v>62014200</v>
      </c>
      <c r="D63" s="5" t="s">
        <v>20</v>
      </c>
      <c r="E63" s="6" t="s">
        <v>735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>+NETWORKDAYS(H63,I63)</f>
        <v>22</v>
      </c>
      <c r="K63" s="6" t="s">
        <v>297</v>
      </c>
      <c r="L63" s="6" t="s">
        <v>298</v>
      </c>
      <c r="M63" s="6" t="s">
        <v>155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>NETWORKDAYS(H63,R63)</f>
        <v>23</v>
      </c>
      <c r="T63" s="6" t="s">
        <v>704</v>
      </c>
      <c r="U63" s="6" t="s">
        <v>541</v>
      </c>
    </row>
    <row r="64" spans="1:21" x14ac:dyDescent="0.35">
      <c r="A64" s="6" t="s">
        <v>736</v>
      </c>
      <c r="B64" s="5" t="s">
        <v>19</v>
      </c>
      <c r="C64" s="6">
        <v>63143165</v>
      </c>
      <c r="D64" s="5" t="s">
        <v>49</v>
      </c>
      <c r="E64" s="6" t="s">
        <v>737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>+NETWORKDAYS(H64,I64)</f>
        <v>6</v>
      </c>
      <c r="K64" s="6" t="s">
        <v>297</v>
      </c>
      <c r="L64" s="6" t="s">
        <v>298</v>
      </c>
      <c r="M64" s="6" t="s">
        <v>155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>NETWORKDAYS(H64,R64)</f>
        <v>8</v>
      </c>
      <c r="T64" s="6" t="s">
        <v>704</v>
      </c>
      <c r="U64" s="6" t="s">
        <v>541</v>
      </c>
    </row>
    <row r="65" spans="1:21" x14ac:dyDescent="0.35">
      <c r="A65" s="6" t="s">
        <v>738</v>
      </c>
      <c r="B65" s="5" t="s">
        <v>19</v>
      </c>
      <c r="C65" s="6">
        <v>63518049</v>
      </c>
      <c r="D65" s="5" t="s">
        <v>197</v>
      </c>
      <c r="E65" s="6" t="s">
        <v>739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>+NETWORKDAYS(H65,I65)</f>
        <v>3</v>
      </c>
      <c r="K65" s="6" t="s">
        <v>297</v>
      </c>
      <c r="L65" s="6" t="s">
        <v>298</v>
      </c>
      <c r="M65" s="6" t="s">
        <v>155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>NETWORKDAYS(H65,R65)</f>
        <v>3</v>
      </c>
      <c r="T65" s="6" t="s">
        <v>704</v>
      </c>
      <c r="U65" s="6" t="s">
        <v>541</v>
      </c>
    </row>
    <row r="66" spans="1:21" x14ac:dyDescent="0.35">
      <c r="A66" s="6" t="s">
        <v>738</v>
      </c>
      <c r="B66" s="5" t="s">
        <v>19</v>
      </c>
      <c r="C66" s="6">
        <v>63518010</v>
      </c>
      <c r="D66" s="5" t="s">
        <v>197</v>
      </c>
      <c r="E66" s="6" t="s">
        <v>740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>+NETWORKDAYS(H66,I66)</f>
        <v>3</v>
      </c>
      <c r="K66" s="6" t="s">
        <v>297</v>
      </c>
      <c r="L66" s="6" t="s">
        <v>298</v>
      </c>
      <c r="M66" s="6" t="s">
        <v>155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>NETWORKDAYS(H66,R66)</f>
        <v>3</v>
      </c>
      <c r="T66" s="6" t="s">
        <v>704</v>
      </c>
      <c r="U66" s="6" t="s">
        <v>541</v>
      </c>
    </row>
    <row r="67" spans="1:21" x14ac:dyDescent="0.35">
      <c r="A67" s="1" t="s">
        <v>741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>+NETWORKDAYS(H67,I67)</f>
        <v>37</v>
      </c>
      <c r="K67" s="6" t="s">
        <v>297</v>
      </c>
      <c r="L67" s="6" t="s">
        <v>298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>NETWORKDAYS(H67,R67)</f>
        <v>37</v>
      </c>
      <c r="T67" s="6" t="s">
        <v>704</v>
      </c>
      <c r="U67" s="6" t="s">
        <v>541</v>
      </c>
    </row>
    <row r="68" spans="1:21" x14ac:dyDescent="0.35">
      <c r="A68" s="6" t="s">
        <v>719</v>
      </c>
      <c r="B68" s="55" t="s">
        <v>19</v>
      </c>
      <c r="C68" s="55">
        <v>63302106</v>
      </c>
      <c r="D68" s="55" t="s">
        <v>197</v>
      </c>
      <c r="E68" s="55" t="s">
        <v>720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>+NETWORKDAYS(H68,I68)</f>
        <v>3</v>
      </c>
      <c r="K68" s="55" t="s">
        <v>297</v>
      </c>
      <c r="L68" s="55" t="s">
        <v>298</v>
      </c>
      <c r="M68" s="55" t="s">
        <v>155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>NETWORKDAYS(H68,R68)</f>
        <v>4</v>
      </c>
      <c r="T68" s="55" t="s">
        <v>704</v>
      </c>
      <c r="U68" s="55" t="s">
        <v>541</v>
      </c>
    </row>
    <row r="69" spans="1:21" x14ac:dyDescent="0.35">
      <c r="A69" s="6" t="s">
        <v>719</v>
      </c>
      <c r="B69" s="55" t="s">
        <v>19</v>
      </c>
      <c r="C69" s="55">
        <v>63303380</v>
      </c>
      <c r="D69" s="55" t="s">
        <v>197</v>
      </c>
      <c r="E69" s="55" t="s">
        <v>721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>+NETWORKDAYS(H69,I69)</f>
        <v>3</v>
      </c>
      <c r="K69" s="55" t="s">
        <v>297</v>
      </c>
      <c r="L69" s="55" t="s">
        <v>298</v>
      </c>
      <c r="M69" s="55" t="s">
        <v>155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>NETWORKDAYS(H69,R69)</f>
        <v>4</v>
      </c>
      <c r="T69" s="55" t="s">
        <v>704</v>
      </c>
      <c r="U69" s="55" t="s">
        <v>541</v>
      </c>
    </row>
    <row r="70" spans="1:21" x14ac:dyDescent="0.35">
      <c r="A70" s="1" t="s">
        <v>722</v>
      </c>
      <c r="B70" s="5" t="s">
        <v>85</v>
      </c>
      <c r="C70" s="1">
        <v>61240462</v>
      </c>
      <c r="D70" s="5" t="s">
        <v>723</v>
      </c>
      <c r="E70" s="1" t="s">
        <v>724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>+NETWORKDAYS(H70,I70)</f>
        <v>31</v>
      </c>
      <c r="K70" s="6" t="s">
        <v>297</v>
      </c>
      <c r="L70" s="6" t="s">
        <v>304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>NETWORKDAYS(H70,R70)</f>
        <v>31</v>
      </c>
      <c r="T70" s="6" t="s">
        <v>704</v>
      </c>
      <c r="U70" s="6" t="s">
        <v>437</v>
      </c>
    </row>
    <row r="71" spans="1:21" x14ac:dyDescent="0.35">
      <c r="A71" s="1" t="s">
        <v>725</v>
      </c>
      <c r="B71" s="5" t="s">
        <v>30</v>
      </c>
      <c r="C71" s="1">
        <v>62715782</v>
      </c>
      <c r="D71" s="5" t="s">
        <v>726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>+NETWORKDAYS(H71,I71)</f>
        <v>13</v>
      </c>
      <c r="K71" s="6" t="s">
        <v>297</v>
      </c>
      <c r="L71" s="6" t="s">
        <v>298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>NETWORKDAYS(H71,R71)</f>
        <v>13</v>
      </c>
      <c r="T71" s="6" t="s">
        <v>704</v>
      </c>
      <c r="U71" s="6" t="s">
        <v>541</v>
      </c>
    </row>
    <row r="72" spans="1:21" x14ac:dyDescent="0.35">
      <c r="A72" s="6" t="s">
        <v>549</v>
      </c>
      <c r="B72" s="55" t="s">
        <v>19</v>
      </c>
      <c r="C72" s="55">
        <v>60356605</v>
      </c>
      <c r="D72" s="55" t="s">
        <v>716</v>
      </c>
      <c r="E72" s="55" t="s">
        <v>717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>+NETWORKDAYS(H72,I72)</f>
        <v>41</v>
      </c>
      <c r="K72" s="55" t="s">
        <v>297</v>
      </c>
      <c r="L72" s="55" t="s">
        <v>320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>NETWORKDAYS(H72,R72)</f>
        <v>42</v>
      </c>
      <c r="T72" s="55" t="s">
        <v>704</v>
      </c>
      <c r="U72" s="55" t="s">
        <v>541</v>
      </c>
    </row>
    <row r="73" spans="1:21" x14ac:dyDescent="0.35">
      <c r="A73" s="6" t="s">
        <v>693</v>
      </c>
      <c r="B73" s="55" t="s">
        <v>43</v>
      </c>
      <c r="C73" s="55">
        <v>62748443</v>
      </c>
      <c r="D73" s="55" t="s">
        <v>20</v>
      </c>
      <c r="E73" s="55" t="s">
        <v>718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>+NETWORKDAYS(H73,I73)</f>
        <v>10</v>
      </c>
      <c r="K73" s="55" t="s">
        <v>297</v>
      </c>
      <c r="L73" s="55" t="s">
        <v>298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>NETWORKDAYS(H73,R73)</f>
        <v>11</v>
      </c>
      <c r="T73" s="55" t="s">
        <v>704</v>
      </c>
      <c r="U73" s="55" t="s">
        <v>541</v>
      </c>
    </row>
    <row r="74" spans="1:21" x14ac:dyDescent="0.35">
      <c r="A74" s="1" t="s">
        <v>703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>+NETWORKDAYS(H74,I74)</f>
        <v>9</v>
      </c>
      <c r="K74" s="17" t="s">
        <v>297</v>
      </c>
      <c r="L74" s="5" t="s">
        <v>298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>NETWORKDAYS(H74,R74)</f>
        <v>13</v>
      </c>
      <c r="T74" s="5" t="s">
        <v>704</v>
      </c>
      <c r="U74" s="5" t="s">
        <v>541</v>
      </c>
    </row>
    <row r="75" spans="1:21" x14ac:dyDescent="0.35">
      <c r="A75" s="1" t="s">
        <v>705</v>
      </c>
      <c r="B75" s="5" t="s">
        <v>30</v>
      </c>
      <c r="C75" s="1">
        <v>61702838</v>
      </c>
      <c r="D75" s="5" t="s">
        <v>706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>+NETWORKDAYS(H75,I75)</f>
        <v>19</v>
      </c>
      <c r="K75" s="17" t="s">
        <v>297</v>
      </c>
      <c r="L75" s="5" t="s">
        <v>298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>NETWORKDAYS(H75,R75)</f>
        <v>23</v>
      </c>
      <c r="T75" s="5" t="s">
        <v>704</v>
      </c>
      <c r="U75" s="5" t="s">
        <v>541</v>
      </c>
    </row>
    <row r="76" spans="1:21" x14ac:dyDescent="0.35">
      <c r="A76" s="6" t="s">
        <v>707</v>
      </c>
      <c r="B76" s="6" t="s">
        <v>19</v>
      </c>
      <c r="C76" s="6">
        <v>62241651</v>
      </c>
      <c r="D76" s="6" t="s">
        <v>35</v>
      </c>
      <c r="E76" s="6" t="s">
        <v>708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>+NETWORKDAYS(H76,I76)</f>
        <v>15</v>
      </c>
      <c r="K76" s="17" t="s">
        <v>297</v>
      </c>
      <c r="L76" s="5" t="s">
        <v>298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>NETWORKDAYS(H76,R76)</f>
        <v>16</v>
      </c>
      <c r="T76" s="5" t="s">
        <v>704</v>
      </c>
      <c r="U76" s="5" t="s">
        <v>541</v>
      </c>
    </row>
    <row r="77" spans="1:21" x14ac:dyDescent="0.35">
      <c r="A77" s="6" t="s">
        <v>709</v>
      </c>
      <c r="B77" s="55" t="s">
        <v>43</v>
      </c>
      <c r="C77" s="55">
        <v>62544794</v>
      </c>
      <c r="D77" s="55" t="s">
        <v>710</v>
      </c>
      <c r="E77" s="55" t="s">
        <v>711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>+NETWORKDAYS(H77,I77)</f>
        <v>13</v>
      </c>
      <c r="K77" s="55" t="s">
        <v>297</v>
      </c>
      <c r="L77" s="55" t="s">
        <v>298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>NETWORKDAYS(H77,R77)</f>
        <v>13</v>
      </c>
      <c r="T77" s="55" t="s">
        <v>704</v>
      </c>
      <c r="U77" s="55" t="s">
        <v>541</v>
      </c>
    </row>
    <row r="78" spans="1:21" x14ac:dyDescent="0.35">
      <c r="A78" s="6" t="s">
        <v>712</v>
      </c>
      <c r="B78" s="55" t="s">
        <v>30</v>
      </c>
      <c r="C78" s="55">
        <v>61700587</v>
      </c>
      <c r="D78" s="55" t="s">
        <v>519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>+NETWORKDAYS(H78,I78)</f>
        <v>23</v>
      </c>
      <c r="K78" s="55" t="s">
        <v>297</v>
      </c>
      <c r="L78" s="55" t="s">
        <v>298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>NETWORKDAYS(H78,R78)</f>
        <v>23</v>
      </c>
      <c r="T78" s="55" t="s">
        <v>704</v>
      </c>
      <c r="U78" s="55" t="s">
        <v>541</v>
      </c>
    </row>
    <row r="79" spans="1:21" x14ac:dyDescent="0.35">
      <c r="A79" s="6" t="s">
        <v>713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>+NETWORKDAYS(H79,I79)</f>
        <v>16</v>
      </c>
      <c r="K79" s="55" t="s">
        <v>297</v>
      </c>
      <c r="L79" s="55" t="s">
        <v>298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>NETWORKDAYS(H79,R79)</f>
        <v>16</v>
      </c>
      <c r="T79" s="55" t="s">
        <v>704</v>
      </c>
      <c r="U79" s="55" t="s">
        <v>541</v>
      </c>
    </row>
    <row r="80" spans="1:21" x14ac:dyDescent="0.35">
      <c r="A80" s="6" t="s">
        <v>714</v>
      </c>
      <c r="B80" s="55" t="s">
        <v>30</v>
      </c>
      <c r="C80" s="55">
        <v>59480507</v>
      </c>
      <c r="D80" s="55" t="s">
        <v>715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>+NETWORKDAYS(H80,I80)</f>
        <v>52</v>
      </c>
      <c r="K80" s="55" t="s">
        <v>297</v>
      </c>
      <c r="L80" s="55" t="s">
        <v>320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>NETWORKDAYS(H80,R80)</f>
        <v>52</v>
      </c>
      <c r="T80" s="55" t="s">
        <v>704</v>
      </c>
      <c r="U80" s="55" t="s">
        <v>541</v>
      </c>
    </row>
    <row r="81" spans="1:21" x14ac:dyDescent="0.35">
      <c r="A81" s="6" t="s">
        <v>700</v>
      </c>
      <c r="B81" s="6" t="s">
        <v>19</v>
      </c>
      <c r="C81" s="6">
        <v>60026486</v>
      </c>
      <c r="D81" s="6" t="s">
        <v>122</v>
      </c>
      <c r="E81" s="6" t="s">
        <v>701</v>
      </c>
      <c r="F81" s="6" t="s">
        <v>192</v>
      </c>
      <c r="G81" s="6" t="s">
        <v>37</v>
      </c>
      <c r="H81" s="10">
        <v>46098</v>
      </c>
      <c r="I81" s="8">
        <v>46140</v>
      </c>
      <c r="J81" s="16">
        <f>+NETWORKDAYS(H81,I81)</f>
        <v>31</v>
      </c>
      <c r="K81" s="17" t="s">
        <v>346</v>
      </c>
      <c r="L81" s="5" t="s">
        <v>298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>NETWORKDAYS(H81,R81)</f>
        <v>44</v>
      </c>
      <c r="T81" s="5" t="s">
        <v>688</v>
      </c>
      <c r="U81" s="6" t="s">
        <v>437</v>
      </c>
    </row>
    <row r="82" spans="1:21" x14ac:dyDescent="0.35">
      <c r="A82" s="6" t="s">
        <v>168</v>
      </c>
      <c r="B82" s="6" t="s">
        <v>19</v>
      </c>
      <c r="C82" s="6">
        <v>57706849</v>
      </c>
      <c r="D82" s="6" t="s">
        <v>35</v>
      </c>
      <c r="E82" s="6" t="s">
        <v>702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>+NETWORKDAYS(H82,I82)</f>
        <v>72</v>
      </c>
      <c r="K82" s="17" t="s">
        <v>297</v>
      </c>
      <c r="L82" s="5" t="s">
        <v>654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>NETWORKDAYS(H82,R82)</f>
        <v>74</v>
      </c>
      <c r="T82" s="5" t="s">
        <v>688</v>
      </c>
      <c r="U82" s="5" t="s">
        <v>541</v>
      </c>
    </row>
    <row r="83" spans="1:21" x14ac:dyDescent="0.35">
      <c r="A83" s="6" t="s">
        <v>697</v>
      </c>
      <c r="B83" s="55" t="s">
        <v>19</v>
      </c>
      <c r="C83" s="55">
        <v>62852675</v>
      </c>
      <c r="D83" s="55" t="s">
        <v>20</v>
      </c>
      <c r="E83" s="55" t="s">
        <v>698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>+NETWORKDAYS(H83,I83)</f>
        <v>4</v>
      </c>
      <c r="K83" s="6" t="s">
        <v>297</v>
      </c>
      <c r="L83" s="6" t="s">
        <v>298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>NETWORKDAYS(H83,R83)</f>
        <v>6</v>
      </c>
      <c r="T83" s="6" t="s">
        <v>688</v>
      </c>
      <c r="U83" s="6" t="s">
        <v>541</v>
      </c>
    </row>
    <row r="84" spans="1:21" x14ac:dyDescent="0.35">
      <c r="A84" s="6" t="s">
        <v>693</v>
      </c>
      <c r="B84" s="55" t="s">
        <v>19</v>
      </c>
      <c r="C84" s="55">
        <v>62746621</v>
      </c>
      <c r="D84" s="55" t="s">
        <v>439</v>
      </c>
      <c r="E84" s="55" t="s">
        <v>699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>+NETWORKDAYS(H84,I84)</f>
        <v>6</v>
      </c>
      <c r="K84" s="6" t="s">
        <v>297</v>
      </c>
      <c r="L84" s="6" t="s">
        <v>298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>NETWORKDAYS(H84,R84)</f>
        <v>7</v>
      </c>
      <c r="T84" s="6" t="s">
        <v>688</v>
      </c>
      <c r="U84" s="6" t="s">
        <v>541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358</v>
      </c>
      <c r="E85" s="6" t="s">
        <v>695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>+NETWORKDAYS(H85,I85)</f>
        <v>72</v>
      </c>
      <c r="K85" s="17" t="s">
        <v>297</v>
      </c>
      <c r="L85" s="5" t="s">
        <v>304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>P85+O85</f>
        <v>1905147</v>
      </c>
      <c r="R85" s="43">
        <v>46154</v>
      </c>
      <c r="S85" s="16">
        <f>NETWORKDAYS(H85,R85)</f>
        <v>72</v>
      </c>
      <c r="T85" s="5" t="s">
        <v>688</v>
      </c>
      <c r="U85" s="5" t="s">
        <v>541</v>
      </c>
    </row>
    <row r="86" spans="1:21" x14ac:dyDescent="0.35">
      <c r="A86" s="1" t="s">
        <v>671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>+NETWORKDAYS(H86,I86)</f>
        <v>6</v>
      </c>
      <c r="K86" s="17" t="s">
        <v>297</v>
      </c>
      <c r="L86" s="5" t="s">
        <v>298</v>
      </c>
      <c r="M86" s="5" t="s">
        <v>47</v>
      </c>
      <c r="N86" s="5" t="s">
        <v>56</v>
      </c>
      <c r="O86" s="1">
        <v>228000</v>
      </c>
      <c r="P86" s="1">
        <v>0</v>
      </c>
      <c r="Q86" s="33">
        <f>P86+O86</f>
        <v>228000</v>
      </c>
      <c r="R86" s="43">
        <v>46154</v>
      </c>
      <c r="S86" s="16">
        <f>NETWORKDAYS(H86,R86)</f>
        <v>11</v>
      </c>
      <c r="T86" s="5" t="s">
        <v>688</v>
      </c>
      <c r="U86" s="5" t="s">
        <v>541</v>
      </c>
    </row>
    <row r="87" spans="1:21" x14ac:dyDescent="0.35">
      <c r="A87" s="1" t="s">
        <v>696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>+NETWORKDAYS(H87,I87)</f>
        <v>6</v>
      </c>
      <c r="K87" s="17" t="s">
        <v>297</v>
      </c>
      <c r="L87" s="5" t="s">
        <v>298</v>
      </c>
      <c r="M87" s="5" t="s">
        <v>47</v>
      </c>
      <c r="N87" s="6" t="s">
        <v>33</v>
      </c>
      <c r="O87" s="33">
        <v>60000</v>
      </c>
      <c r="P87" s="33">
        <v>0</v>
      </c>
      <c r="Q87" s="33">
        <f>P87+O87</f>
        <v>60000</v>
      </c>
      <c r="R87" s="43">
        <v>46154</v>
      </c>
      <c r="S87" s="16">
        <f>NETWORKDAYS(H87,R87)</f>
        <v>11</v>
      </c>
      <c r="T87" s="5" t="s">
        <v>688</v>
      </c>
      <c r="U87" s="5" t="s">
        <v>541</v>
      </c>
    </row>
    <row r="88" spans="1:21" x14ac:dyDescent="0.35">
      <c r="A88" s="1" t="s">
        <v>696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>+NETWORKDAYS(H88,I88)</f>
        <v>6</v>
      </c>
      <c r="K88" s="17" t="s">
        <v>297</v>
      </c>
      <c r="L88" s="5" t="s">
        <v>298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>P88+O88</f>
        <v>108000</v>
      </c>
      <c r="R88" s="43">
        <v>46154</v>
      </c>
      <c r="S88" s="16">
        <f>NETWORKDAYS(H88,R88)</f>
        <v>11</v>
      </c>
      <c r="T88" s="5" t="s">
        <v>688</v>
      </c>
      <c r="U88" s="5" t="s">
        <v>541</v>
      </c>
    </row>
    <row r="89" spans="1:21" x14ac:dyDescent="0.35">
      <c r="A89" s="6" t="s">
        <v>686</v>
      </c>
      <c r="B89" s="3" t="s">
        <v>19</v>
      </c>
      <c r="C89" s="6">
        <v>61363241</v>
      </c>
      <c r="D89" s="5" t="s">
        <v>49</v>
      </c>
      <c r="E89" s="6" t="s">
        <v>687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>+NETWORKDAYS(H89,I89)</f>
        <v>22</v>
      </c>
      <c r="K89" s="17" t="s">
        <v>297</v>
      </c>
      <c r="L89" s="5" t="s">
        <v>298</v>
      </c>
      <c r="M89" s="5" t="s">
        <v>47</v>
      </c>
      <c r="N89" s="5" t="s">
        <v>103</v>
      </c>
      <c r="O89" s="41">
        <v>0</v>
      </c>
      <c r="P89" s="41">
        <v>0</v>
      </c>
      <c r="Q89" s="33">
        <f>P89+O89</f>
        <v>0</v>
      </c>
      <c r="R89" s="7">
        <v>46153</v>
      </c>
      <c r="S89" s="16">
        <f>NETWORKDAYS(H89,R89)</f>
        <v>22</v>
      </c>
      <c r="T89" s="5" t="s">
        <v>688</v>
      </c>
      <c r="U89" s="5" t="s">
        <v>541</v>
      </c>
    </row>
    <row r="90" spans="1:21" x14ac:dyDescent="0.35">
      <c r="A90" s="3" t="s">
        <v>689</v>
      </c>
      <c r="B90" s="3" t="s">
        <v>19</v>
      </c>
      <c r="C90" s="54">
        <v>62840921</v>
      </c>
      <c r="D90" s="5" t="s">
        <v>690</v>
      </c>
      <c r="E90" s="6" t="s">
        <v>691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>+NETWORKDAYS(H90,I90)</f>
        <v>3</v>
      </c>
      <c r="K90" s="17" t="s">
        <v>297</v>
      </c>
      <c r="L90" s="5" t="s">
        <v>298</v>
      </c>
      <c r="M90" s="5" t="s">
        <v>24</v>
      </c>
      <c r="N90" s="5" t="s">
        <v>692</v>
      </c>
      <c r="O90" s="41">
        <v>0</v>
      </c>
      <c r="P90" s="41">
        <v>0</v>
      </c>
      <c r="Q90" s="33">
        <f>P90+O90</f>
        <v>0</v>
      </c>
      <c r="R90" s="7">
        <v>46153</v>
      </c>
      <c r="S90" s="16">
        <f>NETWORKDAYS(H90,R90)</f>
        <v>4</v>
      </c>
      <c r="T90" s="5" t="s">
        <v>688</v>
      </c>
      <c r="U90" s="6" t="s">
        <v>437</v>
      </c>
    </row>
    <row r="91" spans="1:21" x14ac:dyDescent="0.35">
      <c r="A91" s="14" t="s">
        <v>693</v>
      </c>
      <c r="B91" s="6" t="s">
        <v>19</v>
      </c>
      <c r="C91" s="6">
        <v>62742919</v>
      </c>
      <c r="D91" s="6" t="s">
        <v>20</v>
      </c>
      <c r="E91" s="6" t="s">
        <v>694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>+NETWORKDAYS(H91,I91)</f>
        <v>5</v>
      </c>
      <c r="K91" s="17" t="s">
        <v>297</v>
      </c>
      <c r="L91" s="5" t="s">
        <v>298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>P91+O91</f>
        <v>670000</v>
      </c>
      <c r="R91" s="7">
        <v>46153</v>
      </c>
      <c r="S91" s="16">
        <f>NETWORKDAYS(H91,R91)</f>
        <v>5</v>
      </c>
      <c r="T91" s="5" t="s">
        <v>688</v>
      </c>
      <c r="U91" s="5" t="s">
        <v>541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673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>+NETWORKDAYS(H92,I92)</f>
        <v>68</v>
      </c>
      <c r="K92" s="17" t="s">
        <v>297</v>
      </c>
      <c r="L92" s="5" t="s">
        <v>320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>P92+O92</f>
        <v>1696700</v>
      </c>
      <c r="R92" s="7">
        <v>46149</v>
      </c>
      <c r="S92" s="16">
        <f>NETWORKDAYS(H92,R92)</f>
        <v>69</v>
      </c>
      <c r="T92" s="5" t="s">
        <v>657</v>
      </c>
      <c r="U92" s="5" t="s">
        <v>541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674</v>
      </c>
      <c r="E93" s="6" t="s">
        <v>675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>+NETWORKDAYS(H93,I93)</f>
        <v>80</v>
      </c>
      <c r="K93" s="17" t="s">
        <v>297</v>
      </c>
      <c r="L93" s="5" t="s">
        <v>304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>P93+O93</f>
        <v>2300000</v>
      </c>
      <c r="R93" s="7">
        <v>46149</v>
      </c>
      <c r="S93" s="16">
        <f>NETWORKDAYS(H93,R93)</f>
        <v>83</v>
      </c>
      <c r="T93" s="5" t="s">
        <v>657</v>
      </c>
      <c r="U93" s="5" t="s">
        <v>541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598</v>
      </c>
      <c r="E94" s="6" t="s">
        <v>676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>+NETWORKDAYS(H94,I94)</f>
        <v>56</v>
      </c>
      <c r="K94" s="17" t="s">
        <v>297</v>
      </c>
      <c r="L94" s="5" t="s">
        <v>304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>P94+O94</f>
        <v>2300000</v>
      </c>
      <c r="R94" s="7">
        <v>46149</v>
      </c>
      <c r="S94" s="16">
        <f>NETWORKDAYS(H94,R94)</f>
        <v>62</v>
      </c>
      <c r="T94" s="5" t="s">
        <v>657</v>
      </c>
      <c r="U94" s="5" t="s">
        <v>541</v>
      </c>
    </row>
    <row r="95" spans="1:21" x14ac:dyDescent="0.35">
      <c r="A95" s="6" t="s">
        <v>677</v>
      </c>
      <c r="B95" s="1" t="s">
        <v>19</v>
      </c>
      <c r="C95" s="6">
        <v>60845648</v>
      </c>
      <c r="D95" s="6" t="s">
        <v>678</v>
      </c>
      <c r="E95" s="6" t="s">
        <v>679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>+NETWORKDAYS(H95,I95)</f>
        <v>26</v>
      </c>
      <c r="K95" s="17" t="s">
        <v>297</v>
      </c>
      <c r="L95" s="5" t="s">
        <v>298</v>
      </c>
      <c r="M95" s="5" t="s">
        <v>24</v>
      </c>
      <c r="N95" s="6" t="s">
        <v>146</v>
      </c>
      <c r="O95" s="9">
        <v>0</v>
      </c>
      <c r="P95" s="9">
        <v>0</v>
      </c>
      <c r="Q95" s="33">
        <f>P95+O95</f>
        <v>0</v>
      </c>
      <c r="R95" s="7">
        <v>46149</v>
      </c>
      <c r="S95" s="16">
        <f>NETWORKDAYS(H95,R95)</f>
        <v>28</v>
      </c>
      <c r="T95" s="5" t="s">
        <v>657</v>
      </c>
      <c r="U95" s="6" t="s">
        <v>541</v>
      </c>
    </row>
    <row r="96" spans="1:21" x14ac:dyDescent="0.35">
      <c r="A96" s="6" t="s">
        <v>680</v>
      </c>
      <c r="B96" s="6" t="s">
        <v>19</v>
      </c>
      <c r="C96" s="6">
        <v>61671472</v>
      </c>
      <c r="D96" s="6" t="s">
        <v>483</v>
      </c>
      <c r="E96" s="6" t="s">
        <v>681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>+NETWORKDAYS(H96,I96)</f>
        <v>34</v>
      </c>
      <c r="K96" s="17" t="s">
        <v>297</v>
      </c>
      <c r="L96" s="5" t="s">
        <v>304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>P96+O96</f>
        <v>1252000</v>
      </c>
      <c r="R96" s="7">
        <v>46149</v>
      </c>
      <c r="S96" s="16">
        <f>NETWORKDAYS(H96,R96)</f>
        <v>41</v>
      </c>
      <c r="T96" s="5" t="s">
        <v>657</v>
      </c>
      <c r="U96" s="5" t="s">
        <v>541</v>
      </c>
    </row>
    <row r="97" spans="1:21" ht="22.5" customHeight="1" x14ac:dyDescent="0.35">
      <c r="A97" s="14" t="s">
        <v>597</v>
      </c>
      <c r="B97" s="6" t="s">
        <v>19</v>
      </c>
      <c r="C97" s="1">
        <v>61541433</v>
      </c>
      <c r="D97" s="6" t="s">
        <v>682</v>
      </c>
      <c r="E97" s="6" t="s">
        <v>683</v>
      </c>
      <c r="F97" s="6" t="s">
        <v>192</v>
      </c>
      <c r="G97" s="6" t="s">
        <v>23</v>
      </c>
      <c r="H97" s="10">
        <v>46126</v>
      </c>
      <c r="I97" s="10">
        <v>46140</v>
      </c>
      <c r="J97" s="16">
        <f>+NETWORKDAYS(H97,I97)</f>
        <v>11</v>
      </c>
      <c r="K97" s="17" t="s">
        <v>297</v>
      </c>
      <c r="L97" s="5" t="s">
        <v>298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>P97+O97</f>
        <v>4324962</v>
      </c>
      <c r="R97" s="7">
        <v>46149</v>
      </c>
      <c r="S97" s="16">
        <f>NETWORKDAYS(H97,R97)</f>
        <v>18</v>
      </c>
      <c r="T97" s="5" t="s">
        <v>657</v>
      </c>
      <c r="U97" s="5" t="s">
        <v>541</v>
      </c>
    </row>
    <row r="98" spans="1:21" x14ac:dyDescent="0.35">
      <c r="A98" s="3" t="s">
        <v>684</v>
      </c>
      <c r="B98" s="6" t="s">
        <v>30</v>
      </c>
      <c r="C98" s="3">
        <v>60760104</v>
      </c>
      <c r="D98" s="6" t="s">
        <v>483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>+NETWORKDAYS(H98,I98)</f>
        <v>26</v>
      </c>
      <c r="K98" s="17" t="s">
        <v>297</v>
      </c>
      <c r="L98" s="5" t="s">
        <v>320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>P98+O98</f>
        <v>210000</v>
      </c>
      <c r="R98" s="7">
        <v>46149</v>
      </c>
      <c r="S98" s="16">
        <f>NETWORKDAYS(H98,R98)</f>
        <v>29</v>
      </c>
      <c r="T98" s="5" t="s">
        <v>657</v>
      </c>
      <c r="U98" s="5" t="s">
        <v>541</v>
      </c>
    </row>
    <row r="99" spans="1:21" x14ac:dyDescent="0.35">
      <c r="A99" s="6" t="s">
        <v>677</v>
      </c>
      <c r="B99" s="3" t="s">
        <v>19</v>
      </c>
      <c r="C99" s="6">
        <v>60845660</v>
      </c>
      <c r="D99" s="6" t="s">
        <v>678</v>
      </c>
      <c r="E99" s="6" t="s">
        <v>685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>+NETWORKDAYS(H99,I99)</f>
        <v>26</v>
      </c>
      <c r="K99" s="17" t="s">
        <v>346</v>
      </c>
      <c r="L99" s="5" t="s">
        <v>298</v>
      </c>
      <c r="M99" s="5" t="s">
        <v>24</v>
      </c>
      <c r="N99" s="6" t="s">
        <v>146</v>
      </c>
      <c r="O99" s="41">
        <v>0</v>
      </c>
      <c r="P99" s="41">
        <v>0</v>
      </c>
      <c r="Q99" s="33">
        <f>P99+O99</f>
        <v>0</v>
      </c>
      <c r="R99" s="7">
        <v>46149</v>
      </c>
      <c r="S99" s="16">
        <f>NETWORKDAYS(H99,R99)</f>
        <v>28</v>
      </c>
      <c r="T99" s="5" t="s">
        <v>657</v>
      </c>
      <c r="U99" s="6" t="s">
        <v>541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666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>+NETWORKDAYS(H100,I100)</f>
        <v>28</v>
      </c>
      <c r="K100" s="17" t="s">
        <v>297</v>
      </c>
      <c r="L100" s="5" t="s">
        <v>569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>P100+O100</f>
        <v>2462000</v>
      </c>
      <c r="R100" s="7">
        <v>46148</v>
      </c>
      <c r="S100" s="16">
        <f>NETWORKDAYS(H100,R100)</f>
        <v>47</v>
      </c>
      <c r="T100" s="5" t="s">
        <v>657</v>
      </c>
      <c r="U100" s="5" t="s">
        <v>541</v>
      </c>
    </row>
    <row r="101" spans="1:21" x14ac:dyDescent="0.35">
      <c r="A101" s="6" t="s">
        <v>667</v>
      </c>
      <c r="B101" s="6" t="s">
        <v>19</v>
      </c>
      <c r="C101" s="6">
        <v>61317028</v>
      </c>
      <c r="D101" s="6" t="s">
        <v>35</v>
      </c>
      <c r="E101" s="6" t="s">
        <v>668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>+NETWORKDAYS(H101,I101)</f>
        <v>2</v>
      </c>
      <c r="K101" s="17" t="s">
        <v>297</v>
      </c>
      <c r="L101" s="5" t="s">
        <v>298</v>
      </c>
      <c r="M101" s="3" t="s">
        <v>24</v>
      </c>
      <c r="N101" s="6" t="s">
        <v>38</v>
      </c>
      <c r="O101" s="41">
        <v>0</v>
      </c>
      <c r="P101" s="3">
        <v>0</v>
      </c>
      <c r="Q101" s="33">
        <f>P101+O101</f>
        <v>0</v>
      </c>
      <c r="R101" s="7">
        <v>46148</v>
      </c>
      <c r="S101" s="16">
        <f>NETWORKDAYS(H101,R101)</f>
        <v>13</v>
      </c>
      <c r="T101" s="5" t="s">
        <v>657</v>
      </c>
      <c r="U101" s="6" t="s">
        <v>437</v>
      </c>
    </row>
    <row r="102" spans="1:21" x14ac:dyDescent="0.35">
      <c r="A102" s="1" t="s">
        <v>669</v>
      </c>
      <c r="B102" s="1" t="s">
        <v>85</v>
      </c>
      <c r="C102" s="1">
        <v>61239330</v>
      </c>
      <c r="D102" s="6" t="s">
        <v>494</v>
      </c>
      <c r="E102" s="1" t="s">
        <v>670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>+NETWORKDAYS(H102,I102)</f>
        <v>20</v>
      </c>
      <c r="K102" s="17" t="s">
        <v>297</v>
      </c>
      <c r="L102" s="5" t="s">
        <v>298</v>
      </c>
      <c r="M102" s="5" t="s">
        <v>24</v>
      </c>
      <c r="N102" s="6" t="s">
        <v>82</v>
      </c>
      <c r="O102" s="1">
        <v>0</v>
      </c>
      <c r="P102" s="1">
        <v>0</v>
      </c>
      <c r="Q102" s="33">
        <f>P102+O102</f>
        <v>0</v>
      </c>
      <c r="R102" s="7">
        <v>46148</v>
      </c>
      <c r="S102" s="16">
        <f>NETWORKDAYS(H102,R102)</f>
        <v>21</v>
      </c>
      <c r="T102" s="5" t="s">
        <v>657</v>
      </c>
      <c r="U102" s="6" t="s">
        <v>437</v>
      </c>
    </row>
    <row r="103" spans="1:21" x14ac:dyDescent="0.35">
      <c r="A103" s="1" t="s">
        <v>671</v>
      </c>
      <c r="B103" s="6" t="s">
        <v>85</v>
      </c>
      <c r="C103" s="1">
        <v>59409078</v>
      </c>
      <c r="D103" s="6" t="s">
        <v>494</v>
      </c>
      <c r="E103" s="1" t="s">
        <v>672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>+NETWORKDAYS(H103,I103)</f>
        <v>45</v>
      </c>
      <c r="K103" s="17" t="s">
        <v>297</v>
      </c>
      <c r="L103" s="5" t="s">
        <v>320</v>
      </c>
      <c r="M103" s="5" t="s">
        <v>24</v>
      </c>
      <c r="N103" s="6" t="s">
        <v>82</v>
      </c>
      <c r="O103" s="1">
        <v>0</v>
      </c>
      <c r="P103" s="1">
        <v>0</v>
      </c>
      <c r="Q103" s="33">
        <f>P103+O103</f>
        <v>0</v>
      </c>
      <c r="R103" s="7">
        <v>46148</v>
      </c>
      <c r="S103" s="16">
        <f>NETWORKDAYS(H103,R103)</f>
        <v>45</v>
      </c>
      <c r="T103" s="5" t="s">
        <v>657</v>
      </c>
      <c r="U103" s="6" t="s">
        <v>437</v>
      </c>
    </row>
    <row r="104" spans="1:21" x14ac:dyDescent="0.35">
      <c r="A104" s="14" t="s">
        <v>597</v>
      </c>
      <c r="B104" s="6" t="s">
        <v>19</v>
      </c>
      <c r="C104" s="6">
        <v>61532855</v>
      </c>
      <c r="D104" s="6" t="s">
        <v>333</v>
      </c>
      <c r="E104" s="6" t="s">
        <v>665</v>
      </c>
      <c r="F104" s="6" t="s">
        <v>192</v>
      </c>
      <c r="G104" s="6" t="s">
        <v>23</v>
      </c>
      <c r="H104" s="8">
        <v>46126</v>
      </c>
      <c r="I104" s="10">
        <v>46146</v>
      </c>
      <c r="J104" s="16">
        <f>+NETWORKDAYS(H104,I104)</f>
        <v>15</v>
      </c>
      <c r="K104" s="17" t="s">
        <v>297</v>
      </c>
      <c r="L104" s="5" t="s">
        <v>298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>P104+O104</f>
        <v>4517054</v>
      </c>
      <c r="R104" s="43">
        <v>46147</v>
      </c>
      <c r="S104" s="16">
        <f>NETWORKDAYS(H104,R104)</f>
        <v>16</v>
      </c>
      <c r="T104" s="5" t="s">
        <v>657</v>
      </c>
      <c r="U104" s="5" t="s">
        <v>541</v>
      </c>
    </row>
    <row r="105" spans="1:21" x14ac:dyDescent="0.35">
      <c r="A105" s="6" t="s">
        <v>658</v>
      </c>
      <c r="B105" s="6" t="s">
        <v>19</v>
      </c>
      <c r="C105" s="19">
        <v>61532967</v>
      </c>
      <c r="D105" s="6" t="s">
        <v>49</v>
      </c>
      <c r="E105" s="6" t="s">
        <v>659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>+NETWORKDAYS(H105,I105)</f>
        <v>12</v>
      </c>
      <c r="K105" s="17" t="s">
        <v>297</v>
      </c>
      <c r="L105" s="5" t="s">
        <v>298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>P105+O105</f>
        <v>423729</v>
      </c>
      <c r="R105" s="7">
        <v>46146</v>
      </c>
      <c r="S105" s="16">
        <f>NETWORKDAYS(H105,R105)</f>
        <v>15</v>
      </c>
      <c r="T105" s="5" t="s">
        <v>657</v>
      </c>
      <c r="U105" s="5" t="s">
        <v>541</v>
      </c>
    </row>
    <row r="106" spans="1:21" x14ac:dyDescent="0.35">
      <c r="A106" s="1" t="s">
        <v>660</v>
      </c>
      <c r="B106" s="6" t="s">
        <v>30</v>
      </c>
      <c r="C106" s="1">
        <v>61918089</v>
      </c>
      <c r="D106" s="6" t="s">
        <v>661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>+NETWORKDAYS(H106,I106)</f>
        <v>11</v>
      </c>
      <c r="K106" s="17" t="s">
        <v>297</v>
      </c>
      <c r="L106" s="5" t="s">
        <v>298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>P106+O106</f>
        <v>791635</v>
      </c>
      <c r="R106" s="7">
        <v>46146</v>
      </c>
      <c r="S106" s="16">
        <f>NETWORKDAYS(H106,R106)</f>
        <v>11</v>
      </c>
      <c r="T106" s="5" t="s">
        <v>657</v>
      </c>
      <c r="U106" s="5" t="s">
        <v>541</v>
      </c>
    </row>
    <row r="107" spans="1:21" x14ac:dyDescent="0.35">
      <c r="A107" s="1" t="s">
        <v>662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>+NETWORKDAYS(H107,I107)</f>
        <v>11</v>
      </c>
      <c r="K107" s="17" t="s">
        <v>297</v>
      </c>
      <c r="L107" s="5" t="s">
        <v>298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>P107+O107</f>
        <v>381435</v>
      </c>
      <c r="R107" s="7">
        <v>46146</v>
      </c>
      <c r="S107" s="16">
        <f>NETWORKDAYS(H107,R107)</f>
        <v>11</v>
      </c>
      <c r="T107" s="5" t="s">
        <v>657</v>
      </c>
      <c r="U107" s="5" t="s">
        <v>541</v>
      </c>
    </row>
    <row r="108" spans="1:21" x14ac:dyDescent="0.35">
      <c r="A108" s="1" t="s">
        <v>663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>+NETWORKDAYS(H108,I108)</f>
        <v>6</v>
      </c>
      <c r="K108" s="17" t="s">
        <v>297</v>
      </c>
      <c r="L108" s="5" t="s">
        <v>298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>P108+O108</f>
        <v>381435</v>
      </c>
      <c r="R108" s="7">
        <v>46146</v>
      </c>
      <c r="S108" s="16">
        <f>NETWORKDAYS(H108,R108)</f>
        <v>6</v>
      </c>
      <c r="T108" s="5" t="s">
        <v>657</v>
      </c>
      <c r="U108" s="5" t="s">
        <v>541</v>
      </c>
    </row>
    <row r="109" spans="1:21" x14ac:dyDescent="0.35">
      <c r="A109" s="1" t="s">
        <v>664</v>
      </c>
      <c r="B109" s="3" t="s">
        <v>30</v>
      </c>
      <c r="C109" s="1">
        <v>61702223</v>
      </c>
      <c r="D109" s="6" t="s">
        <v>483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>+NETWORKDAYS(H109,I109)</f>
        <v>11</v>
      </c>
      <c r="K109" s="17" t="s">
        <v>297</v>
      </c>
      <c r="L109" s="5" t="s">
        <v>298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>P109+O109</f>
        <v>190000</v>
      </c>
      <c r="R109" s="7">
        <v>46146</v>
      </c>
      <c r="S109" s="16">
        <f>NETWORKDAYS(H109,R109)</f>
        <v>13</v>
      </c>
      <c r="T109" s="5" t="s">
        <v>657</v>
      </c>
      <c r="U109" s="5" t="s">
        <v>541</v>
      </c>
    </row>
    <row r="110" spans="1:21" x14ac:dyDescent="0.35">
      <c r="A110" s="6" t="s">
        <v>655</v>
      </c>
      <c r="B110" s="6" t="s">
        <v>19</v>
      </c>
      <c r="C110" s="6">
        <v>59801109</v>
      </c>
      <c r="D110" s="6" t="s">
        <v>453</v>
      </c>
      <c r="E110" s="6" t="s">
        <v>656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>+NETWORKDAYS(H110,I110)</f>
        <v>10</v>
      </c>
      <c r="K110" s="17" t="s">
        <v>297</v>
      </c>
      <c r="L110" s="5" t="s">
        <v>298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>P110+O110</f>
        <v>0</v>
      </c>
      <c r="R110" s="7">
        <v>46143</v>
      </c>
      <c r="S110" s="16">
        <f>NETWORKDAYS(H110,R110)</f>
        <v>12</v>
      </c>
      <c r="T110" s="5" t="s">
        <v>657</v>
      </c>
      <c r="U110" s="5" t="s">
        <v>541</v>
      </c>
    </row>
    <row r="111" spans="1:21" x14ac:dyDescent="0.35">
      <c r="A111" s="6" t="s">
        <v>168</v>
      </c>
      <c r="B111" s="6" t="s">
        <v>43</v>
      </c>
      <c r="C111" s="6">
        <v>60461778</v>
      </c>
      <c r="D111" s="6" t="s">
        <v>598</v>
      </c>
      <c r="E111" s="6" t="s">
        <v>622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>+NETWORKDAYS(H111,I111)</f>
        <v>23</v>
      </c>
      <c r="K111" s="6" t="s">
        <v>297</v>
      </c>
      <c r="L111" s="6" t="s">
        <v>298</v>
      </c>
      <c r="M111" s="6" t="s">
        <v>24</v>
      </c>
      <c r="N111" s="6" t="s">
        <v>193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>NETWORKDAYS(H111,R111)</f>
        <v>27</v>
      </c>
      <c r="T111" s="5" t="s">
        <v>649</v>
      </c>
      <c r="U111" s="5" t="s">
        <v>437</v>
      </c>
    </row>
    <row r="112" spans="1:21" x14ac:dyDescent="0.35">
      <c r="A112" s="6" t="s">
        <v>621</v>
      </c>
      <c r="B112" s="6" t="s">
        <v>19</v>
      </c>
      <c r="C112" s="6">
        <v>62008380</v>
      </c>
      <c r="D112" s="6" t="s">
        <v>197</v>
      </c>
      <c r="E112" s="6" t="s">
        <v>620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>+NETWORKDAYS(H112,I112)</f>
        <v>5</v>
      </c>
      <c r="K112" s="6" t="s">
        <v>297</v>
      </c>
      <c r="L112" s="6" t="s">
        <v>298</v>
      </c>
      <c r="M112" s="6" t="s">
        <v>351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>NETWORKDAYS(H112,R112)</f>
        <v>8</v>
      </c>
      <c r="T112" s="5" t="s">
        <v>649</v>
      </c>
      <c r="U112" s="5" t="s">
        <v>541</v>
      </c>
    </row>
    <row r="113" spans="1:21" x14ac:dyDescent="0.35">
      <c r="A113" s="6" t="s">
        <v>432</v>
      </c>
      <c r="B113" s="6" t="s">
        <v>43</v>
      </c>
      <c r="C113" s="6">
        <v>58889872</v>
      </c>
      <c r="D113" s="6" t="s">
        <v>573</v>
      </c>
      <c r="E113" s="6" t="s">
        <v>619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>+NETWORKDAYS(H113,I113)</f>
        <v>47</v>
      </c>
      <c r="K113" s="6" t="s">
        <v>297</v>
      </c>
      <c r="L113" s="6" t="s">
        <v>320</v>
      </c>
      <c r="M113" s="6" t="s">
        <v>351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>NETWORKDAYS(H113,R113)</f>
        <v>48</v>
      </c>
      <c r="T113" s="5" t="s">
        <v>649</v>
      </c>
      <c r="U113" s="5" t="s">
        <v>541</v>
      </c>
    </row>
    <row r="114" spans="1:21" x14ac:dyDescent="0.35">
      <c r="A114" s="6" t="s">
        <v>168</v>
      </c>
      <c r="B114" s="6" t="s">
        <v>43</v>
      </c>
      <c r="C114" s="6">
        <v>60458135</v>
      </c>
      <c r="D114" s="6" t="s">
        <v>335</v>
      </c>
      <c r="E114" s="6" t="s">
        <v>618</v>
      </c>
      <c r="F114" s="6" t="s">
        <v>502</v>
      </c>
      <c r="G114" s="6" t="s">
        <v>37</v>
      </c>
      <c r="H114" s="8">
        <v>46106</v>
      </c>
      <c r="I114" s="8">
        <v>46141</v>
      </c>
      <c r="J114" s="16">
        <f>+NETWORKDAYS(H114,I114)</f>
        <v>26</v>
      </c>
      <c r="K114" s="6" t="s">
        <v>297</v>
      </c>
      <c r="L114" s="6" t="s">
        <v>298</v>
      </c>
      <c r="M114" s="6" t="s">
        <v>24</v>
      </c>
      <c r="N114" s="6" t="s">
        <v>193</v>
      </c>
      <c r="O114" s="6">
        <v>0</v>
      </c>
      <c r="P114" s="6">
        <v>0</v>
      </c>
      <c r="Q114" s="12">
        <v>0</v>
      </c>
      <c r="R114" s="8">
        <v>46142</v>
      </c>
      <c r="S114" s="16">
        <f>NETWORKDAYS(H114,R114)</f>
        <v>27</v>
      </c>
      <c r="T114" s="5" t="s">
        <v>649</v>
      </c>
      <c r="U114" s="5" t="s">
        <v>437</v>
      </c>
    </row>
    <row r="115" spans="1:21" x14ac:dyDescent="0.35">
      <c r="A115" s="6" t="s">
        <v>168</v>
      </c>
      <c r="B115" s="6" t="s">
        <v>43</v>
      </c>
      <c r="C115" s="6">
        <v>60461761</v>
      </c>
      <c r="D115" s="6" t="s">
        <v>598</v>
      </c>
      <c r="E115" s="6" t="s">
        <v>617</v>
      </c>
      <c r="F115" s="6" t="s">
        <v>502</v>
      </c>
      <c r="G115" s="6" t="s">
        <v>37</v>
      </c>
      <c r="H115" s="8">
        <v>46106</v>
      </c>
      <c r="I115" s="8">
        <v>46141</v>
      </c>
      <c r="J115" s="16">
        <f>+NETWORKDAYS(H115,I115)</f>
        <v>26</v>
      </c>
      <c r="K115" s="6" t="s">
        <v>346</v>
      </c>
      <c r="L115" s="6" t="s">
        <v>298</v>
      </c>
      <c r="M115" s="6" t="s">
        <v>24</v>
      </c>
      <c r="N115" s="6" t="s">
        <v>193</v>
      </c>
      <c r="O115" s="6">
        <v>0</v>
      </c>
      <c r="P115" s="6">
        <v>0</v>
      </c>
      <c r="Q115" s="12">
        <v>0</v>
      </c>
      <c r="R115" s="8">
        <v>46142</v>
      </c>
      <c r="S115" s="16">
        <f>NETWORKDAYS(H115,R115)</f>
        <v>27</v>
      </c>
      <c r="T115" s="5" t="s">
        <v>649</v>
      </c>
      <c r="U115" s="5" t="s">
        <v>437</v>
      </c>
    </row>
    <row r="116" spans="1:21" x14ac:dyDescent="0.35">
      <c r="A116" s="6" t="s">
        <v>638</v>
      </c>
      <c r="B116" s="6" t="s">
        <v>19</v>
      </c>
      <c r="C116" s="6">
        <v>58649804</v>
      </c>
      <c r="D116" s="6" t="s">
        <v>35</v>
      </c>
      <c r="E116" s="6" t="s">
        <v>651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>+NETWORKDAYS(H116,I116)</f>
        <v>47</v>
      </c>
      <c r="K116" s="6" t="s">
        <v>297</v>
      </c>
      <c r="L116" s="6" t="s">
        <v>654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>NETWORKDAYS(H116,R116)</f>
        <v>48</v>
      </c>
      <c r="T116" s="6" t="s">
        <v>649</v>
      </c>
      <c r="U116" s="6" t="s">
        <v>541</v>
      </c>
    </row>
    <row r="117" spans="1:21" x14ac:dyDescent="0.35">
      <c r="A117" s="6" t="s">
        <v>652</v>
      </c>
      <c r="B117" s="6" t="s">
        <v>19</v>
      </c>
      <c r="C117" s="6">
        <v>61157877</v>
      </c>
      <c r="D117" s="6" t="s">
        <v>20</v>
      </c>
      <c r="E117" s="6" t="s">
        <v>653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>+NETWORKDAYS(H117,I117)</f>
        <v>18</v>
      </c>
      <c r="K117" s="6" t="s">
        <v>297</v>
      </c>
      <c r="L117" s="6" t="s">
        <v>304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>NETWORKDAYS(H117,R117)</f>
        <v>18</v>
      </c>
      <c r="T117" s="6" t="s">
        <v>649</v>
      </c>
      <c r="U117" s="6" t="s">
        <v>541</v>
      </c>
    </row>
    <row r="118" spans="1:21" x14ac:dyDescent="0.35">
      <c r="A118" s="6" t="s">
        <v>168</v>
      </c>
      <c r="B118" s="6" t="s">
        <v>43</v>
      </c>
      <c r="C118" s="6">
        <v>58821553</v>
      </c>
      <c r="D118" s="6" t="s">
        <v>49</v>
      </c>
      <c r="E118" s="6" t="s">
        <v>636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>+NETWORKDAYS(H118,I118)</f>
        <v>46</v>
      </c>
      <c r="K118" s="6" t="s">
        <v>297</v>
      </c>
      <c r="L118" s="6" t="s">
        <v>304</v>
      </c>
      <c r="M118" s="6" t="s">
        <v>24</v>
      </c>
      <c r="N118" s="6" t="s">
        <v>193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>NETWORKDAYS(H118,R118)</f>
        <v>48</v>
      </c>
      <c r="T118" s="5" t="s">
        <v>649</v>
      </c>
      <c r="U118" s="5" t="s">
        <v>437</v>
      </c>
    </row>
    <row r="119" spans="1:21" x14ac:dyDescent="0.35">
      <c r="A119" s="6" t="s">
        <v>168</v>
      </c>
      <c r="B119" s="6" t="s">
        <v>43</v>
      </c>
      <c r="C119" s="6">
        <v>60463210</v>
      </c>
      <c r="D119" s="6" t="s">
        <v>318</v>
      </c>
      <c r="E119" s="6" t="s">
        <v>635</v>
      </c>
      <c r="F119" s="6" t="s">
        <v>502</v>
      </c>
      <c r="G119" s="6" t="s">
        <v>37</v>
      </c>
      <c r="H119" s="8">
        <v>46106</v>
      </c>
      <c r="I119" s="8">
        <v>46132</v>
      </c>
      <c r="J119" s="16">
        <f>+NETWORKDAYS(H119,I119)</f>
        <v>19</v>
      </c>
      <c r="K119" s="6" t="s">
        <v>297</v>
      </c>
      <c r="L119" s="6" t="s">
        <v>298</v>
      </c>
      <c r="M119" s="6" t="s">
        <v>24</v>
      </c>
      <c r="N119" s="6" t="s">
        <v>193</v>
      </c>
      <c r="O119" s="6">
        <v>0</v>
      </c>
      <c r="P119" s="6">
        <v>0</v>
      </c>
      <c r="Q119" s="12">
        <v>0</v>
      </c>
      <c r="R119" s="8">
        <v>46141</v>
      </c>
      <c r="S119" s="16">
        <f>NETWORKDAYS(H119,R119)</f>
        <v>26</v>
      </c>
      <c r="T119" s="5" t="s">
        <v>649</v>
      </c>
      <c r="U119" s="5" t="s">
        <v>437</v>
      </c>
    </row>
    <row r="120" spans="1:21" x14ac:dyDescent="0.35">
      <c r="A120" s="6" t="s">
        <v>168</v>
      </c>
      <c r="B120" s="6" t="s">
        <v>43</v>
      </c>
      <c r="C120" s="6">
        <v>60458148</v>
      </c>
      <c r="D120" s="6" t="s">
        <v>335</v>
      </c>
      <c r="E120" s="6" t="s">
        <v>634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>+NETWORKDAYS(H120,I120)</f>
        <v>14</v>
      </c>
      <c r="K120" s="6" t="s">
        <v>297</v>
      </c>
      <c r="L120" s="6" t="s">
        <v>298</v>
      </c>
      <c r="M120" s="6" t="s">
        <v>24</v>
      </c>
      <c r="N120" s="6" t="s">
        <v>193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>NETWORKDAYS(H120,R120)</f>
        <v>22</v>
      </c>
      <c r="T120" s="5" t="s">
        <v>649</v>
      </c>
      <c r="U120" s="5" t="s">
        <v>437</v>
      </c>
    </row>
    <row r="121" spans="1:21" x14ac:dyDescent="0.35">
      <c r="A121" s="6" t="s">
        <v>168</v>
      </c>
      <c r="B121" s="6" t="s">
        <v>43</v>
      </c>
      <c r="C121" s="6">
        <v>58821537</v>
      </c>
      <c r="D121" s="6" t="s">
        <v>49</v>
      </c>
      <c r="E121" s="6" t="s">
        <v>633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>+NETWORKDAYS(H121,I121)</f>
        <v>38</v>
      </c>
      <c r="K121" s="6" t="s">
        <v>297</v>
      </c>
      <c r="L121" s="6" t="s">
        <v>298</v>
      </c>
      <c r="M121" s="6" t="s">
        <v>24</v>
      </c>
      <c r="N121" s="6" t="s">
        <v>193</v>
      </c>
      <c r="O121" s="6">
        <v>0</v>
      </c>
      <c r="P121" s="6">
        <v>30000</v>
      </c>
      <c r="Q121" s="12">
        <v>30000</v>
      </c>
      <c r="R121" s="8">
        <v>46141</v>
      </c>
      <c r="S121" s="16">
        <f>NETWORKDAYS(H121,R121)</f>
        <v>48</v>
      </c>
      <c r="T121" s="5" t="s">
        <v>649</v>
      </c>
      <c r="U121" s="5" t="s">
        <v>437</v>
      </c>
    </row>
    <row r="122" spans="1:21" x14ac:dyDescent="0.35">
      <c r="A122" s="6" t="s">
        <v>168</v>
      </c>
      <c r="B122" s="6" t="s">
        <v>43</v>
      </c>
      <c r="C122" s="6">
        <v>58822576</v>
      </c>
      <c r="D122" s="6" t="s">
        <v>283</v>
      </c>
      <c r="E122" s="6" t="s">
        <v>632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>+NETWORKDAYS(H122,I122)</f>
        <v>8</v>
      </c>
      <c r="K122" s="6" t="s">
        <v>297</v>
      </c>
      <c r="L122" s="6" t="s">
        <v>298</v>
      </c>
      <c r="M122" s="6" t="s">
        <v>24</v>
      </c>
      <c r="N122" s="6" t="s">
        <v>193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>NETWORKDAYS(H122,R122)</f>
        <v>48</v>
      </c>
      <c r="T122" s="5" t="s">
        <v>649</v>
      </c>
      <c r="U122" s="5" t="s">
        <v>437</v>
      </c>
    </row>
    <row r="123" spans="1:21" x14ac:dyDescent="0.35">
      <c r="A123" s="6" t="s">
        <v>168</v>
      </c>
      <c r="B123" s="6" t="s">
        <v>43</v>
      </c>
      <c r="C123" s="6">
        <v>58822595</v>
      </c>
      <c r="D123" s="6" t="s">
        <v>283</v>
      </c>
      <c r="E123" s="6" t="s">
        <v>631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>+NETWORKDAYS(H123,I123)</f>
        <v>19</v>
      </c>
      <c r="K123" s="6" t="s">
        <v>297</v>
      </c>
      <c r="L123" s="6" t="s">
        <v>298</v>
      </c>
      <c r="M123" s="6" t="s">
        <v>24</v>
      </c>
      <c r="N123" s="6" t="s">
        <v>193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>NETWORKDAYS(H123,R123)</f>
        <v>48</v>
      </c>
      <c r="T123" s="5" t="s">
        <v>649</v>
      </c>
      <c r="U123" s="5" t="s">
        <v>437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561</v>
      </c>
      <c r="E124" s="6" t="s">
        <v>630</v>
      </c>
      <c r="F124" s="6" t="s">
        <v>192</v>
      </c>
      <c r="G124" s="6" t="s">
        <v>23</v>
      </c>
      <c r="H124" s="8">
        <v>46121</v>
      </c>
      <c r="I124" s="8">
        <v>46122</v>
      </c>
      <c r="J124" s="16">
        <f>+NETWORKDAYS(H124,I124)</f>
        <v>2</v>
      </c>
      <c r="K124" s="6" t="s">
        <v>297</v>
      </c>
      <c r="L124" s="6" t="s">
        <v>298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>NETWORKDAYS(H124,R124)</f>
        <v>15</v>
      </c>
      <c r="T124" s="5" t="s">
        <v>649</v>
      </c>
      <c r="U124" s="5" t="s">
        <v>650</v>
      </c>
    </row>
    <row r="125" spans="1:21" x14ac:dyDescent="0.35">
      <c r="A125" s="6" t="s">
        <v>629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>+NETWORKDAYS(H125,I125)</f>
        <v>13</v>
      </c>
      <c r="K125" s="6" t="s">
        <v>297</v>
      </c>
      <c r="L125" s="6" t="s">
        <v>298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>NETWORKDAYS(H125,R125)</f>
        <v>16</v>
      </c>
      <c r="T125" s="5" t="s">
        <v>649</v>
      </c>
      <c r="U125" s="6" t="s">
        <v>437</v>
      </c>
    </row>
    <row r="126" spans="1:21" x14ac:dyDescent="0.35">
      <c r="A126" s="6" t="s">
        <v>628</v>
      </c>
      <c r="B126" s="6" t="s">
        <v>19</v>
      </c>
      <c r="C126" s="6">
        <v>61565561</v>
      </c>
      <c r="D126" s="6" t="s">
        <v>136</v>
      </c>
      <c r="E126" s="6" t="s">
        <v>627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>+NETWORKDAYS(H126,I126)</f>
        <v>6</v>
      </c>
      <c r="K126" s="6" t="s">
        <v>297</v>
      </c>
      <c r="L126" s="6" t="s">
        <v>298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>NETWORKDAYS(H126,R126)</f>
        <v>12</v>
      </c>
      <c r="T126" s="5" t="s">
        <v>649</v>
      </c>
      <c r="U126" s="5" t="s">
        <v>541</v>
      </c>
    </row>
    <row r="127" spans="1:21" x14ac:dyDescent="0.35">
      <c r="A127" s="6" t="s">
        <v>626</v>
      </c>
      <c r="B127" s="6" t="s">
        <v>19</v>
      </c>
      <c r="C127" s="6">
        <v>61580430</v>
      </c>
      <c r="D127" s="6" t="s">
        <v>35</v>
      </c>
      <c r="E127" s="6" t="s">
        <v>625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>+NETWORKDAYS(H127,I127)</f>
        <v>6</v>
      </c>
      <c r="K127" s="6" t="s">
        <v>297</v>
      </c>
      <c r="L127" s="6" t="s">
        <v>298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>NETWORKDAYS(H127,R127)</f>
        <v>12</v>
      </c>
      <c r="T127" s="5" t="s">
        <v>649</v>
      </c>
      <c r="U127" s="5" t="s">
        <v>541</v>
      </c>
    </row>
    <row r="128" spans="1:21" x14ac:dyDescent="0.35">
      <c r="A128" s="6" t="s">
        <v>624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>+NETWORKDAYS(H128,I128)</f>
        <v>14</v>
      </c>
      <c r="K128" s="6" t="s">
        <v>297</v>
      </c>
      <c r="L128" s="6" t="s">
        <v>298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>NETWORKDAYS(H128,R128)</f>
        <v>16</v>
      </c>
      <c r="T128" s="5" t="s">
        <v>649</v>
      </c>
      <c r="U128" s="6" t="s">
        <v>437</v>
      </c>
    </row>
    <row r="129" spans="1:21" x14ac:dyDescent="0.35">
      <c r="A129" s="6" t="s">
        <v>623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>+NETWORKDAYS(H129,I129)</f>
        <v>38</v>
      </c>
      <c r="K129" s="6" t="s">
        <v>297</v>
      </c>
      <c r="L129" s="6" t="s">
        <v>320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>NETWORKDAYS(H129,R129)</f>
        <v>40</v>
      </c>
      <c r="T129" s="5" t="s">
        <v>649</v>
      </c>
      <c r="U129" s="6" t="s">
        <v>437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642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>+NETWORKDAYS(H130,I130)</f>
        <v>12</v>
      </c>
      <c r="K130" s="6" t="s">
        <v>297</v>
      </c>
      <c r="L130" s="6" t="s">
        <v>298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>NETWORKDAYS(H130,R130)</f>
        <v>13</v>
      </c>
      <c r="T130" s="5" t="s">
        <v>649</v>
      </c>
      <c r="U130" s="5" t="s">
        <v>541</v>
      </c>
    </row>
    <row r="131" spans="1:21" x14ac:dyDescent="0.35">
      <c r="A131" s="6" t="s">
        <v>628</v>
      </c>
      <c r="B131" s="6" t="s">
        <v>19</v>
      </c>
      <c r="C131" s="6">
        <v>61509436</v>
      </c>
      <c r="D131" s="6" t="s">
        <v>270</v>
      </c>
      <c r="E131" s="6" t="s">
        <v>641</v>
      </c>
      <c r="F131" s="6" t="s">
        <v>192</v>
      </c>
      <c r="G131" s="6" t="s">
        <v>23</v>
      </c>
      <c r="H131" s="8">
        <v>46125</v>
      </c>
      <c r="I131" s="8">
        <v>46140</v>
      </c>
      <c r="J131" s="16">
        <f>+NETWORKDAYS(H131,I131)</f>
        <v>12</v>
      </c>
      <c r="K131" s="6" t="s">
        <v>297</v>
      </c>
      <c r="L131" s="6" t="s">
        <v>298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>NETWORKDAYS(H131,R131)</f>
        <v>12</v>
      </c>
      <c r="T131" s="5" t="s">
        <v>649</v>
      </c>
      <c r="U131" s="5" t="s">
        <v>437</v>
      </c>
    </row>
    <row r="132" spans="1:21" s="18" customFormat="1" x14ac:dyDescent="0.35">
      <c r="A132" s="6" t="s">
        <v>628</v>
      </c>
      <c r="B132" s="6" t="s">
        <v>19</v>
      </c>
      <c r="C132" s="6">
        <v>61510116</v>
      </c>
      <c r="D132" s="6" t="s">
        <v>640</v>
      </c>
      <c r="E132" s="6" t="s">
        <v>639</v>
      </c>
      <c r="F132" s="6" t="s">
        <v>192</v>
      </c>
      <c r="G132" s="6" t="s">
        <v>23</v>
      </c>
      <c r="H132" s="8">
        <v>46125</v>
      </c>
      <c r="I132" s="8">
        <v>46140</v>
      </c>
      <c r="J132" s="16">
        <f>+NETWORKDAYS(H132,I132)</f>
        <v>12</v>
      </c>
      <c r="K132" s="6" t="s">
        <v>297</v>
      </c>
      <c r="L132" s="6" t="s">
        <v>298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>NETWORKDAYS(H132,R132)</f>
        <v>12</v>
      </c>
      <c r="T132" s="5" t="s">
        <v>649</v>
      </c>
      <c r="U132" s="5" t="s">
        <v>437</v>
      </c>
    </row>
    <row r="133" spans="1:21" s="18" customFormat="1" x14ac:dyDescent="0.35">
      <c r="A133" s="6" t="s">
        <v>638</v>
      </c>
      <c r="B133" s="6" t="s">
        <v>19</v>
      </c>
      <c r="C133" s="6">
        <v>58649837</v>
      </c>
      <c r="D133" s="6" t="s">
        <v>35</v>
      </c>
      <c r="E133" s="6" t="s">
        <v>637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>+NETWORKDAYS(H133,I133)</f>
        <v>46</v>
      </c>
      <c r="K133" s="6" t="s">
        <v>297</v>
      </c>
      <c r="L133" s="6" t="s">
        <v>298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>NETWORKDAYS(H133,R133)</f>
        <v>46</v>
      </c>
      <c r="T133" s="5" t="s">
        <v>649</v>
      </c>
      <c r="U133" s="5" t="s">
        <v>437</v>
      </c>
    </row>
    <row r="134" spans="1:21" x14ac:dyDescent="0.35">
      <c r="A134" s="6" t="s">
        <v>648</v>
      </c>
      <c r="B134" s="6" t="s">
        <v>19</v>
      </c>
      <c r="C134" s="6">
        <v>61622459</v>
      </c>
      <c r="D134" s="6" t="s">
        <v>647</v>
      </c>
      <c r="E134" s="6" t="s">
        <v>646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>+NETWORKDAYS(H134,I134)</f>
        <v>8</v>
      </c>
      <c r="K134" s="6" t="s">
        <v>346</v>
      </c>
      <c r="L134" s="6" t="s">
        <v>298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>NETWORKDAYS(H134,R134)</f>
        <v>9</v>
      </c>
      <c r="T134" s="5" t="s">
        <v>649</v>
      </c>
      <c r="U134" s="6" t="s">
        <v>437</v>
      </c>
    </row>
    <row r="135" spans="1:21" x14ac:dyDescent="0.35">
      <c r="A135" s="6" t="s">
        <v>645</v>
      </c>
      <c r="B135" s="6" t="s">
        <v>19</v>
      </c>
      <c r="C135" s="6">
        <v>58274609</v>
      </c>
      <c r="D135" s="6" t="s">
        <v>20</v>
      </c>
      <c r="E135" s="6" t="s">
        <v>644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>+NETWORKDAYS(H135,I135)</f>
        <v>51</v>
      </c>
      <c r="K135" s="6" t="s">
        <v>297</v>
      </c>
      <c r="L135" s="6" t="s">
        <v>569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>NETWORKDAYS(H135,R135)</f>
        <v>52</v>
      </c>
      <c r="T135" s="5" t="s">
        <v>649</v>
      </c>
      <c r="U135" s="5" t="s">
        <v>541</v>
      </c>
    </row>
    <row r="136" spans="1:21" x14ac:dyDescent="0.35">
      <c r="A136" s="6" t="s">
        <v>459</v>
      </c>
      <c r="B136" s="6" t="s">
        <v>19</v>
      </c>
      <c r="C136" s="6">
        <v>61572859</v>
      </c>
      <c r="D136" s="6" t="s">
        <v>20</v>
      </c>
      <c r="E136" s="6" t="s">
        <v>643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>+NETWORKDAYS(H136,I136)</f>
        <v>10</v>
      </c>
      <c r="K136" s="6" t="s">
        <v>297</v>
      </c>
      <c r="L136" s="6" t="s">
        <v>298</v>
      </c>
      <c r="M136" s="6" t="s">
        <v>155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>NETWORKDAYS(H136,R136)</f>
        <v>10</v>
      </c>
      <c r="T136" s="5" t="s">
        <v>649</v>
      </c>
      <c r="U136" s="5" t="s">
        <v>541</v>
      </c>
    </row>
    <row r="137" spans="1:21" x14ac:dyDescent="0.35">
      <c r="A137" s="1" t="s">
        <v>616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>+NETWORKDAYS(H137,I137)</f>
        <v>13</v>
      </c>
      <c r="K137" s="17" t="s">
        <v>297</v>
      </c>
      <c r="L137" s="5" t="s">
        <v>298</v>
      </c>
      <c r="M137" s="42" t="s">
        <v>24</v>
      </c>
      <c r="N137" s="5" t="s">
        <v>82</v>
      </c>
      <c r="O137" s="1">
        <v>0</v>
      </c>
      <c r="P137" s="1">
        <v>0</v>
      </c>
      <c r="Q137" s="33">
        <f>P137+O137</f>
        <v>0</v>
      </c>
      <c r="R137" s="44">
        <v>46136</v>
      </c>
      <c r="S137" s="16">
        <f>NETWORKDAYS(H137,R137)</f>
        <v>13</v>
      </c>
      <c r="T137" s="5" t="s">
        <v>592</v>
      </c>
      <c r="U137" s="6" t="s">
        <v>437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608</v>
      </c>
      <c r="E138" s="6" t="s">
        <v>609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>+NETWORKDAYS(H138,I138)</f>
        <v>70</v>
      </c>
      <c r="K138" s="17" t="s">
        <v>297</v>
      </c>
      <c r="L138" s="5" t="s">
        <v>320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>P138+O138</f>
        <v>2300000</v>
      </c>
      <c r="R138" s="7">
        <v>46135</v>
      </c>
      <c r="S138" s="16">
        <f>NETWORKDAYS(H138,R138)</f>
        <v>73</v>
      </c>
      <c r="T138" s="5" t="s">
        <v>592</v>
      </c>
      <c r="U138" s="5" t="s">
        <v>541</v>
      </c>
    </row>
    <row r="139" spans="1:21" x14ac:dyDescent="0.35">
      <c r="A139" s="14" t="s">
        <v>610</v>
      </c>
      <c r="B139" s="6" t="s">
        <v>19</v>
      </c>
      <c r="C139" s="6">
        <v>55686160</v>
      </c>
      <c r="D139" s="6" t="s">
        <v>122</v>
      </c>
      <c r="E139" s="6" t="s">
        <v>611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>+NETWORKDAYS(H139,I139)</f>
        <v>85</v>
      </c>
      <c r="K139" s="17" t="s">
        <v>297</v>
      </c>
      <c r="L139" s="5" t="s">
        <v>304</v>
      </c>
      <c r="M139" s="5" t="s">
        <v>24</v>
      </c>
      <c r="N139" s="6" t="s">
        <v>256</v>
      </c>
      <c r="O139" s="12">
        <v>1722301</v>
      </c>
      <c r="P139" s="12">
        <v>1114967</v>
      </c>
      <c r="Q139" s="33">
        <f>P139+O139</f>
        <v>2837268</v>
      </c>
      <c r="R139" s="7">
        <v>46135</v>
      </c>
      <c r="S139" s="16">
        <f>NETWORKDAYS(H139,R139)</f>
        <v>87</v>
      </c>
      <c r="T139" s="5" t="s">
        <v>592</v>
      </c>
      <c r="U139" s="5" t="s">
        <v>541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612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>+NETWORKDAYS(H140,I140)</f>
        <v>32</v>
      </c>
      <c r="K140" s="17" t="s">
        <v>297</v>
      </c>
      <c r="L140" s="5" t="s">
        <v>320</v>
      </c>
      <c r="M140" s="5" t="s">
        <v>24</v>
      </c>
      <c r="N140" s="6" t="s">
        <v>170</v>
      </c>
      <c r="O140" s="12">
        <v>0</v>
      </c>
      <c r="P140" s="12">
        <v>0</v>
      </c>
      <c r="Q140" s="33">
        <f>P140+O140</f>
        <v>0</v>
      </c>
      <c r="R140" s="7">
        <v>46135</v>
      </c>
      <c r="S140" s="16">
        <f>NETWORKDAYS(H140,R140)</f>
        <v>35</v>
      </c>
      <c r="T140" s="5" t="s">
        <v>592</v>
      </c>
      <c r="U140" s="6" t="s">
        <v>437</v>
      </c>
    </row>
    <row r="141" spans="1:21" x14ac:dyDescent="0.35">
      <c r="A141" s="3" t="s">
        <v>613</v>
      </c>
      <c r="B141" s="3" t="s">
        <v>30</v>
      </c>
      <c r="C141" s="3">
        <v>61183418</v>
      </c>
      <c r="D141" s="5" t="s">
        <v>614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>+NETWORKDAYS(H141,I141)</f>
        <v>11</v>
      </c>
      <c r="K141" s="17" t="s">
        <v>297</v>
      </c>
      <c r="L141" s="5" t="s">
        <v>298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>P141+O141</f>
        <v>711635</v>
      </c>
      <c r="R141" s="43">
        <v>46135</v>
      </c>
      <c r="S141" s="16">
        <f>NETWORKDAYS(H141,R141)</f>
        <v>13</v>
      </c>
      <c r="T141" s="5" t="s">
        <v>592</v>
      </c>
      <c r="U141" s="5" t="s">
        <v>541</v>
      </c>
    </row>
    <row r="142" spans="1:21" x14ac:dyDescent="0.35">
      <c r="A142" s="1" t="s">
        <v>615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>+NETWORKDAYS(H142,I142)</f>
        <v>22</v>
      </c>
      <c r="K142" s="17" t="s">
        <v>297</v>
      </c>
      <c r="L142" s="5" t="s">
        <v>298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>P142+O142</f>
        <v>1231750</v>
      </c>
      <c r="R142" s="44">
        <v>46135</v>
      </c>
      <c r="S142" s="16">
        <f>NETWORKDAYS(H142,R142)</f>
        <v>22</v>
      </c>
      <c r="T142" s="5" t="s">
        <v>592</v>
      </c>
      <c r="U142" s="5" t="s">
        <v>541</v>
      </c>
    </row>
    <row r="143" spans="1:21" x14ac:dyDescent="0.35">
      <c r="A143" s="1" t="s">
        <v>605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>+NETWORKDAYS(H143,I143)</f>
        <v>24</v>
      </c>
      <c r="K143" s="17" t="s">
        <v>297</v>
      </c>
      <c r="L143" s="5" t="s">
        <v>298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>P143+O143</f>
        <v>1231750</v>
      </c>
      <c r="R143" s="7">
        <v>46134</v>
      </c>
      <c r="S143" s="16">
        <f>NETWORKDAYS(H143,R143)</f>
        <v>25</v>
      </c>
      <c r="T143" s="5" t="s">
        <v>592</v>
      </c>
      <c r="U143" s="5" t="s">
        <v>541</v>
      </c>
    </row>
    <row r="144" spans="1:21" x14ac:dyDescent="0.35">
      <c r="A144" s="6" t="s">
        <v>600</v>
      </c>
      <c r="B144" s="6" t="s">
        <v>19</v>
      </c>
      <c r="C144" s="6">
        <v>61507701</v>
      </c>
      <c r="D144" s="6" t="s">
        <v>358</v>
      </c>
      <c r="E144" s="6" t="s">
        <v>606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>+NETWORKDAYS(H144,I144)</f>
        <v>8</v>
      </c>
      <c r="K144" s="17" t="s">
        <v>297</v>
      </c>
      <c r="L144" s="5" t="s">
        <v>298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>P144+O144</f>
        <v>1071850</v>
      </c>
      <c r="R144" s="7">
        <v>46134</v>
      </c>
      <c r="S144" s="16">
        <f>NETWORKDAYS(H144,R144)</f>
        <v>8</v>
      </c>
      <c r="T144" s="5" t="s">
        <v>592</v>
      </c>
      <c r="U144" s="5" t="s">
        <v>541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607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>+NETWORKDAYS(H145,I145)</f>
        <v>14</v>
      </c>
      <c r="K145" s="17" t="s">
        <v>297</v>
      </c>
      <c r="L145" s="5" t="s">
        <v>298</v>
      </c>
      <c r="M145" s="42" t="s">
        <v>24</v>
      </c>
      <c r="N145" s="6" t="s">
        <v>195</v>
      </c>
      <c r="O145" s="12">
        <v>1600000</v>
      </c>
      <c r="P145" s="12">
        <v>150000</v>
      </c>
      <c r="Q145" s="33">
        <f>P145+O145</f>
        <v>1750000</v>
      </c>
      <c r="R145" s="7">
        <v>46134</v>
      </c>
      <c r="S145" s="16">
        <f>NETWORKDAYS(H145,R145)</f>
        <v>14</v>
      </c>
      <c r="T145" s="5" t="s">
        <v>592</v>
      </c>
      <c r="U145" s="5" t="s">
        <v>541</v>
      </c>
    </row>
    <row r="146" spans="1:21" x14ac:dyDescent="0.35">
      <c r="A146" s="6" t="s">
        <v>600</v>
      </c>
      <c r="B146" s="6" t="s">
        <v>19</v>
      </c>
      <c r="C146" s="6">
        <v>61506362</v>
      </c>
      <c r="D146" s="6" t="s">
        <v>601</v>
      </c>
      <c r="E146" s="6" t="s">
        <v>602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>+NETWORKDAYS(H146,I146)</f>
        <v>5</v>
      </c>
      <c r="K146" s="17" t="s">
        <v>297</v>
      </c>
      <c r="L146" s="5" t="s">
        <v>298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>P146+O146</f>
        <v>1693896</v>
      </c>
      <c r="R146" s="7">
        <v>46133</v>
      </c>
      <c r="S146" s="16">
        <f>NETWORKDAYS(H146,R146)</f>
        <v>7</v>
      </c>
      <c r="T146" s="5" t="s">
        <v>592</v>
      </c>
      <c r="U146" s="5" t="s">
        <v>541</v>
      </c>
    </row>
    <row r="147" spans="1:21" x14ac:dyDescent="0.35">
      <c r="A147" s="6" t="s">
        <v>347</v>
      </c>
      <c r="B147" s="6" t="s">
        <v>19</v>
      </c>
      <c r="C147" s="6">
        <v>60399905</v>
      </c>
      <c r="D147" s="6" t="s">
        <v>573</v>
      </c>
      <c r="E147" s="6" t="s">
        <v>603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>+NETWORKDAYS(H147,I147)</f>
        <v>19</v>
      </c>
      <c r="K147" s="17" t="s">
        <v>297</v>
      </c>
      <c r="L147" s="5" t="s">
        <v>298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>P147+O147</f>
        <v>1460000</v>
      </c>
      <c r="R147" s="7">
        <v>46133</v>
      </c>
      <c r="S147" s="16">
        <f>NETWORKDAYS(H147,R147)</f>
        <v>21</v>
      </c>
      <c r="T147" s="5" t="s">
        <v>592</v>
      </c>
      <c r="U147" s="5" t="s">
        <v>541</v>
      </c>
    </row>
    <row r="148" spans="1:21" x14ac:dyDescent="0.35">
      <c r="A148" s="5" t="s">
        <v>539</v>
      </c>
      <c r="B148" s="5" t="s">
        <v>43</v>
      </c>
      <c r="C148" s="6">
        <v>44431296</v>
      </c>
      <c r="D148" s="5" t="s">
        <v>283</v>
      </c>
      <c r="E148" s="6" t="s">
        <v>604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>+NETWORKDAYS(H148,I148)</f>
        <v>248</v>
      </c>
      <c r="K148" s="17" t="s">
        <v>297</v>
      </c>
      <c r="L148" s="5" t="s">
        <v>320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>P148+O148</f>
        <v>700000</v>
      </c>
      <c r="R148" s="7">
        <v>46133</v>
      </c>
      <c r="S148" s="16">
        <f>NETWORKDAYS(H148,R148)</f>
        <v>248</v>
      </c>
      <c r="T148" s="5" t="s">
        <v>592</v>
      </c>
      <c r="U148" s="5" t="s">
        <v>541</v>
      </c>
    </row>
    <row r="149" spans="1:21" x14ac:dyDescent="0.35">
      <c r="A149" s="6" t="s">
        <v>590</v>
      </c>
      <c r="B149" s="6" t="s">
        <v>19</v>
      </c>
      <c r="C149" s="6">
        <v>60416636</v>
      </c>
      <c r="D149" s="6" t="s">
        <v>283</v>
      </c>
      <c r="E149" s="6" t="s">
        <v>591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>+NETWORKDAYS(H149,I149)</f>
        <v>19</v>
      </c>
      <c r="K149" s="17" t="s">
        <v>297</v>
      </c>
      <c r="L149" s="5" t="s">
        <v>298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>P149+O149</f>
        <v>856222</v>
      </c>
      <c r="R149" s="7">
        <v>46132</v>
      </c>
      <c r="S149" s="16">
        <f>NETWORKDAYS(H149,R149)</f>
        <v>20</v>
      </c>
      <c r="T149" s="5" t="s">
        <v>592</v>
      </c>
      <c r="U149" s="5" t="s">
        <v>541</v>
      </c>
    </row>
    <row r="150" spans="1:21" x14ac:dyDescent="0.35">
      <c r="A150" s="6" t="s">
        <v>593</v>
      </c>
      <c r="B150" s="6" t="s">
        <v>43</v>
      </c>
      <c r="C150" s="6">
        <v>57849095</v>
      </c>
      <c r="D150" s="6" t="s">
        <v>35</v>
      </c>
      <c r="E150" s="6" t="s">
        <v>594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>+NETWORKDAYS(H150,I150)</f>
        <v>32</v>
      </c>
      <c r="K150" s="17" t="s">
        <v>297</v>
      </c>
      <c r="L150" s="5" t="s">
        <v>298</v>
      </c>
      <c r="M150" s="5" t="s">
        <v>24</v>
      </c>
      <c r="N150" s="6" t="s">
        <v>170</v>
      </c>
      <c r="O150" s="33">
        <v>0</v>
      </c>
      <c r="P150" s="33">
        <v>0</v>
      </c>
      <c r="Q150" s="33">
        <f>P150+O150</f>
        <v>0</v>
      </c>
      <c r="R150" s="7">
        <v>46132</v>
      </c>
      <c r="S150" s="16">
        <f>NETWORKDAYS(H150,R150)</f>
        <v>51</v>
      </c>
      <c r="T150" s="5" t="s">
        <v>592</v>
      </c>
      <c r="U150" s="6" t="s">
        <v>437</v>
      </c>
    </row>
    <row r="151" spans="1:21" x14ac:dyDescent="0.35">
      <c r="A151" s="6" t="s">
        <v>593</v>
      </c>
      <c r="B151" s="6" t="s">
        <v>43</v>
      </c>
      <c r="C151" s="6">
        <v>57692887</v>
      </c>
      <c r="D151" s="6" t="s">
        <v>595</v>
      </c>
      <c r="E151" s="6" t="s">
        <v>596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>+NETWORKDAYS(H151,I151)</f>
        <v>30</v>
      </c>
      <c r="K151" s="17" t="s">
        <v>297</v>
      </c>
      <c r="L151" s="5" t="s">
        <v>298</v>
      </c>
      <c r="M151" s="5" t="s">
        <v>24</v>
      </c>
      <c r="N151" s="6" t="s">
        <v>170</v>
      </c>
      <c r="O151" s="33">
        <v>0</v>
      </c>
      <c r="P151" s="33">
        <v>0</v>
      </c>
      <c r="Q151" s="33">
        <f>P151+O151</f>
        <v>0</v>
      </c>
      <c r="R151" s="7">
        <v>46132</v>
      </c>
      <c r="S151" s="16">
        <f>NETWORKDAYS(H151,R151)</f>
        <v>54</v>
      </c>
      <c r="T151" s="5" t="s">
        <v>592</v>
      </c>
      <c r="U151" s="6" t="s">
        <v>437</v>
      </c>
    </row>
    <row r="152" spans="1:21" x14ac:dyDescent="0.35">
      <c r="A152" s="14" t="s">
        <v>597</v>
      </c>
      <c r="B152" s="6" t="s">
        <v>19</v>
      </c>
      <c r="C152" s="6">
        <v>61552809</v>
      </c>
      <c r="D152" s="6" t="s">
        <v>598</v>
      </c>
      <c r="E152" s="6" t="s">
        <v>599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>+NETWORKDAYS(H152,I152)</f>
        <v>5</v>
      </c>
      <c r="K152" s="17" t="s">
        <v>297</v>
      </c>
      <c r="L152" s="5" t="s">
        <v>298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>P152+O152</f>
        <v>1230552</v>
      </c>
      <c r="R152" s="7">
        <v>46132</v>
      </c>
      <c r="S152" s="16">
        <f>NETWORKDAYS(H152,R152)</f>
        <v>5</v>
      </c>
      <c r="T152" s="5" t="s">
        <v>592</v>
      </c>
      <c r="U152" s="5" t="s">
        <v>541</v>
      </c>
    </row>
    <row r="153" spans="1:21" x14ac:dyDescent="0.35">
      <c r="A153" s="6" t="s">
        <v>367</v>
      </c>
      <c r="B153" s="6" t="s">
        <v>43</v>
      </c>
      <c r="C153" s="6">
        <v>54967903</v>
      </c>
      <c r="D153" s="6" t="s">
        <v>197</v>
      </c>
      <c r="E153" s="6" t="s">
        <v>580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>+NETWORKDAYS(H153,I153)</f>
        <v>58</v>
      </c>
      <c r="K153" s="17" t="s">
        <v>297</v>
      </c>
      <c r="L153" s="5" t="s">
        <v>320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>P153+O153</f>
        <v>3200000</v>
      </c>
      <c r="R153" s="7">
        <v>46129</v>
      </c>
      <c r="S153" s="16">
        <f>NETWORKDAYS(H153,R153)</f>
        <v>92</v>
      </c>
      <c r="T153" s="6" t="s">
        <v>570</v>
      </c>
      <c r="U153" s="6" t="s">
        <v>437</v>
      </c>
    </row>
    <row r="154" spans="1:21" x14ac:dyDescent="0.35">
      <c r="A154" s="6" t="s">
        <v>367</v>
      </c>
      <c r="B154" s="6" t="s">
        <v>43</v>
      </c>
      <c r="C154" s="6">
        <v>54970719</v>
      </c>
      <c r="D154" s="6" t="s">
        <v>581</v>
      </c>
      <c r="E154" s="6" t="s">
        <v>582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>+NETWORKDAYS(H154,I154)</f>
        <v>18</v>
      </c>
      <c r="K154" s="17" t="s">
        <v>297</v>
      </c>
      <c r="L154" s="5" t="s">
        <v>298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>P154+O154</f>
        <v>3200000</v>
      </c>
      <c r="R154" s="7">
        <v>46129</v>
      </c>
      <c r="S154" s="16">
        <f>NETWORKDAYS(H154,R154)</f>
        <v>92</v>
      </c>
      <c r="T154" s="6" t="s">
        <v>570</v>
      </c>
      <c r="U154" s="6" t="s">
        <v>437</v>
      </c>
    </row>
    <row r="155" spans="1:21" x14ac:dyDescent="0.35">
      <c r="A155" s="6" t="s">
        <v>367</v>
      </c>
      <c r="B155" s="6" t="s">
        <v>43</v>
      </c>
      <c r="C155" s="6">
        <v>55105103</v>
      </c>
      <c r="D155" s="6" t="s">
        <v>583</v>
      </c>
      <c r="E155" s="6" t="s">
        <v>584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>+NETWORKDAYS(H155,I155)</f>
        <v>26</v>
      </c>
      <c r="K155" s="17" t="s">
        <v>297</v>
      </c>
      <c r="L155" s="5" t="s">
        <v>298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>P155+O155</f>
        <v>3200000</v>
      </c>
      <c r="R155" s="7">
        <v>46129</v>
      </c>
      <c r="S155" s="16">
        <f>NETWORKDAYS(H155,R155)</f>
        <v>90</v>
      </c>
      <c r="T155" s="6" t="s">
        <v>570</v>
      </c>
      <c r="U155" s="6" t="s">
        <v>437</v>
      </c>
    </row>
    <row r="156" spans="1:21" x14ac:dyDescent="0.35">
      <c r="A156" s="6" t="s">
        <v>585</v>
      </c>
      <c r="B156" s="6" t="s">
        <v>19</v>
      </c>
      <c r="C156" s="6">
        <v>58151683</v>
      </c>
      <c r="D156" s="6" t="s">
        <v>99</v>
      </c>
      <c r="E156" s="6" t="s">
        <v>586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>+NETWORKDAYS(H156,I156)</f>
        <v>48</v>
      </c>
      <c r="K156" s="17" t="s">
        <v>297</v>
      </c>
      <c r="L156" s="5" t="s">
        <v>320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>P156+O156</f>
        <v>2332619</v>
      </c>
      <c r="R156" s="7">
        <v>46129</v>
      </c>
      <c r="S156" s="16">
        <f>NETWORKDAYS(H156,R156)</f>
        <v>48</v>
      </c>
      <c r="T156" s="6" t="s">
        <v>570</v>
      </c>
      <c r="U156" s="6" t="s">
        <v>541</v>
      </c>
    </row>
    <row r="157" spans="1:21" x14ac:dyDescent="0.35">
      <c r="A157" s="6" t="s">
        <v>587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>+NETWORKDAYS(H157,I157)</f>
        <v>13</v>
      </c>
      <c r="K157" s="17" t="s">
        <v>297</v>
      </c>
      <c r="L157" s="5" t="s">
        <v>298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>P157+O157</f>
        <v>190000</v>
      </c>
      <c r="R157" s="7">
        <v>46129</v>
      </c>
      <c r="S157" s="16">
        <f>NETWORKDAYS(H157,R157)</f>
        <v>13</v>
      </c>
      <c r="T157" s="6" t="s">
        <v>570</v>
      </c>
      <c r="U157" s="6" t="s">
        <v>541</v>
      </c>
    </row>
    <row r="158" spans="1:21" x14ac:dyDescent="0.35">
      <c r="A158" s="6" t="s">
        <v>588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>+NETWORKDAYS(H158,I158)</f>
        <v>19</v>
      </c>
      <c r="K158" s="17" t="s">
        <v>297</v>
      </c>
      <c r="L158" s="5" t="s">
        <v>298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>P158+O158</f>
        <v>190000</v>
      </c>
      <c r="R158" s="7">
        <v>46129</v>
      </c>
      <c r="S158" s="16">
        <f>NETWORKDAYS(H158,R158)</f>
        <v>19</v>
      </c>
      <c r="T158" s="6" t="s">
        <v>570</v>
      </c>
      <c r="U158" s="6" t="s">
        <v>541</v>
      </c>
    </row>
    <row r="159" spans="1:21" x14ac:dyDescent="0.35">
      <c r="A159" s="6" t="s">
        <v>589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>+NETWORKDAYS(H159,I159)</f>
        <v>13</v>
      </c>
      <c r="K159" s="17" t="s">
        <v>297</v>
      </c>
      <c r="L159" s="5" t="s">
        <v>298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>P159+O159</f>
        <v>210000</v>
      </c>
      <c r="R159" s="7">
        <v>46129</v>
      </c>
      <c r="S159" s="16">
        <f>NETWORKDAYS(H159,R159)</f>
        <v>18</v>
      </c>
      <c r="T159" s="6" t="s">
        <v>570</v>
      </c>
      <c r="U159" s="6" t="s">
        <v>541</v>
      </c>
    </row>
    <row r="160" spans="1:21" x14ac:dyDescent="0.35">
      <c r="A160" s="6" t="s">
        <v>571</v>
      </c>
      <c r="B160" s="6" t="s">
        <v>43</v>
      </c>
      <c r="C160" s="6">
        <v>60410207</v>
      </c>
      <c r="D160" s="6" t="s">
        <v>35</v>
      </c>
      <c r="E160" s="6" t="s">
        <v>572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>+NETWORKDAYS(H160,I160)</f>
        <v>17</v>
      </c>
      <c r="K160" s="17" t="s">
        <v>297</v>
      </c>
      <c r="L160" s="5" t="s">
        <v>298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>P160+O160</f>
        <v>5019607</v>
      </c>
      <c r="R160" s="7">
        <v>46128</v>
      </c>
      <c r="S160" s="16">
        <f>NETWORKDAYS(H160,R160)</f>
        <v>18</v>
      </c>
      <c r="T160" s="6" t="s">
        <v>570</v>
      </c>
      <c r="U160" s="6" t="s">
        <v>541</v>
      </c>
    </row>
    <row r="161" spans="1:21" x14ac:dyDescent="0.35">
      <c r="A161" s="6" t="s">
        <v>432</v>
      </c>
      <c r="B161" s="6" t="s">
        <v>43</v>
      </c>
      <c r="C161" s="6">
        <v>58889883</v>
      </c>
      <c r="D161" s="6" t="s">
        <v>573</v>
      </c>
      <c r="E161" s="6" t="s">
        <v>574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>+NETWORKDAYS(H161,I161)</f>
        <v>37</v>
      </c>
      <c r="K161" s="17" t="s">
        <v>297</v>
      </c>
      <c r="L161" s="5" t="s">
        <v>298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>P161+O161</f>
        <v>0</v>
      </c>
      <c r="R161" s="7">
        <v>46128</v>
      </c>
      <c r="S161" s="16">
        <f>NETWORKDAYS(H161,R161)</f>
        <v>38</v>
      </c>
      <c r="T161" s="6" t="s">
        <v>570</v>
      </c>
      <c r="U161" s="6" t="s">
        <v>541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575</v>
      </c>
      <c r="E162" s="6" t="s">
        <v>576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>+NETWORKDAYS(H162,I162)</f>
        <v>68</v>
      </c>
      <c r="K162" s="17" t="s">
        <v>297</v>
      </c>
      <c r="L162" s="5" t="s">
        <v>298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>P162+O162</f>
        <v>2300000</v>
      </c>
      <c r="R162" s="7">
        <v>46128</v>
      </c>
      <c r="S162" s="16">
        <f>NETWORKDAYS(H162,R162)</f>
        <v>68</v>
      </c>
      <c r="T162" s="6" t="s">
        <v>570</v>
      </c>
      <c r="U162" s="6" t="s">
        <v>541</v>
      </c>
    </row>
    <row r="163" spans="1:21" x14ac:dyDescent="0.35">
      <c r="A163" s="6" t="s">
        <v>432</v>
      </c>
      <c r="B163" s="6" t="s">
        <v>43</v>
      </c>
      <c r="C163" s="6">
        <v>58868860</v>
      </c>
      <c r="D163" s="6" t="s">
        <v>136</v>
      </c>
      <c r="E163" s="6" t="s">
        <v>577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>+NETWORKDAYS(H163,I163)</f>
        <v>38</v>
      </c>
      <c r="K163" s="17" t="s">
        <v>297</v>
      </c>
      <c r="L163" s="5" t="s">
        <v>298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>P163+O163</f>
        <v>0</v>
      </c>
      <c r="R163" s="7">
        <v>46128</v>
      </c>
      <c r="S163" s="16">
        <f>NETWORKDAYS(H163,R163)</f>
        <v>38</v>
      </c>
      <c r="T163" s="6" t="s">
        <v>570</v>
      </c>
      <c r="U163" s="6" t="s">
        <v>541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358</v>
      </c>
      <c r="E164" s="6" t="s">
        <v>578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>+NETWORKDAYS(H164,I164)</f>
        <v>21</v>
      </c>
      <c r="K164" s="17" t="s">
        <v>346</v>
      </c>
      <c r="L164" s="5" t="s">
        <v>298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>P164+O164</f>
        <v>725636</v>
      </c>
      <c r="R164" s="7">
        <v>46128</v>
      </c>
      <c r="S164" s="16">
        <f>NETWORKDAYS(H164,R164)</f>
        <v>124</v>
      </c>
      <c r="T164" s="6" t="s">
        <v>570</v>
      </c>
      <c r="U164" s="6" t="s">
        <v>437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358</v>
      </c>
      <c r="E165" s="6" t="s">
        <v>579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>+NETWORKDAYS(H165,I165)</f>
        <v>119</v>
      </c>
      <c r="K165" s="17" t="s">
        <v>297</v>
      </c>
      <c r="L165" s="5" t="s">
        <v>569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>P165+O165</f>
        <v>217691</v>
      </c>
      <c r="R165" s="7">
        <v>46128</v>
      </c>
      <c r="S165" s="16">
        <f>NETWORKDAYS(H165,R165)</f>
        <v>124</v>
      </c>
      <c r="T165" s="6" t="s">
        <v>570</v>
      </c>
      <c r="U165" s="6" t="s">
        <v>437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561</v>
      </c>
      <c r="E166" s="6" t="s">
        <v>562</v>
      </c>
      <c r="F166" s="6" t="s">
        <v>192</v>
      </c>
      <c r="G166" s="6" t="s">
        <v>23</v>
      </c>
      <c r="H166" s="8">
        <v>46121</v>
      </c>
      <c r="I166" s="8">
        <v>46122</v>
      </c>
      <c r="J166" s="16">
        <f>+NETWORKDAYS(H166,I166)</f>
        <v>2</v>
      </c>
      <c r="K166" s="6" t="s">
        <v>346</v>
      </c>
      <c r="L166" s="6" t="s">
        <v>298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>NETWORKDAYS(H166,R166)</f>
        <v>4</v>
      </c>
      <c r="T166" s="5" t="s">
        <v>570</v>
      </c>
      <c r="U166" s="5" t="s">
        <v>437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358</v>
      </c>
      <c r="E167" s="6" t="s">
        <v>563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>+NETWORKDAYS(H167,I167)</f>
        <v>122</v>
      </c>
      <c r="K167" s="6" t="s">
        <v>297</v>
      </c>
      <c r="L167" s="6" t="s">
        <v>569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>NETWORKDAYS(H167,R167)</f>
        <v>125</v>
      </c>
      <c r="T167" s="5" t="s">
        <v>570</v>
      </c>
      <c r="U167" s="5" t="s">
        <v>437</v>
      </c>
    </row>
    <row r="168" spans="1:21" x14ac:dyDescent="0.35">
      <c r="A168" s="6" t="s">
        <v>564</v>
      </c>
      <c r="B168" s="6" t="s">
        <v>85</v>
      </c>
      <c r="C168" s="6">
        <v>49471604</v>
      </c>
      <c r="D168" s="6" t="s">
        <v>157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>+NETWORKDAYS(H168,I168)</f>
        <v>165</v>
      </c>
      <c r="K168" s="6" t="s">
        <v>346</v>
      </c>
      <c r="L168" s="6" t="s">
        <v>320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>NETWORKDAYS(H168,R168)</f>
        <v>167</v>
      </c>
      <c r="T168" s="5" t="s">
        <v>570</v>
      </c>
      <c r="U168" s="5" t="s">
        <v>541</v>
      </c>
    </row>
    <row r="169" spans="1:21" x14ac:dyDescent="0.35">
      <c r="A169" s="6" t="s">
        <v>565</v>
      </c>
      <c r="B169" s="6" t="s">
        <v>85</v>
      </c>
      <c r="C169" s="6">
        <v>58642079</v>
      </c>
      <c r="D169" s="6" t="s">
        <v>566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>+NETWORKDAYS(H169,I169)</f>
        <v>37</v>
      </c>
      <c r="K169" s="6" t="s">
        <v>297</v>
      </c>
      <c r="L169" s="6" t="s">
        <v>569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>NETWORKDAYS(H169,R169)</f>
        <v>38</v>
      </c>
      <c r="T169" s="5" t="s">
        <v>570</v>
      </c>
      <c r="U169" s="5" t="s">
        <v>541</v>
      </c>
    </row>
    <row r="170" spans="1:21" x14ac:dyDescent="0.35">
      <c r="A170" s="6" t="s">
        <v>567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>+NETWORKDAYS(H170,I170)</f>
        <v>8</v>
      </c>
      <c r="K170" s="6" t="s">
        <v>297</v>
      </c>
      <c r="L170" s="6" t="s">
        <v>298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>NETWORKDAYS(H170,R170)</f>
        <v>13</v>
      </c>
      <c r="T170" s="5" t="s">
        <v>570</v>
      </c>
      <c r="U170" s="5" t="s">
        <v>541</v>
      </c>
    </row>
    <row r="171" spans="1:21" x14ac:dyDescent="0.35">
      <c r="A171" s="6" t="s">
        <v>567</v>
      </c>
      <c r="B171" s="6" t="s">
        <v>30</v>
      </c>
      <c r="C171" s="6">
        <v>60611946</v>
      </c>
      <c r="D171" s="6" t="s">
        <v>568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>+NETWORKDAYS(H171,I171)</f>
        <v>9</v>
      </c>
      <c r="K171" s="6" t="s">
        <v>297</v>
      </c>
      <c r="L171" s="6" t="s">
        <v>298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>NETWORKDAYS(H171,R171)</f>
        <v>13</v>
      </c>
      <c r="T171" s="5" t="s">
        <v>570</v>
      </c>
      <c r="U171" s="5" t="s">
        <v>541</v>
      </c>
    </row>
    <row r="172" spans="1:21" x14ac:dyDescent="0.35">
      <c r="A172" s="6" t="s">
        <v>531</v>
      </c>
      <c r="B172" s="6" t="s">
        <v>19</v>
      </c>
      <c r="C172" s="6" t="s">
        <v>554</v>
      </c>
      <c r="D172" s="6" t="s">
        <v>20</v>
      </c>
      <c r="E172" s="6" t="s">
        <v>555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>+NETWORKDAYS(H172,I172)</f>
        <v>183</v>
      </c>
      <c r="K172" s="6" t="s">
        <v>297</v>
      </c>
      <c r="L172" s="6" t="s">
        <v>320</v>
      </c>
      <c r="M172" s="6" t="s">
        <v>47</v>
      </c>
      <c r="N172" s="6" t="s">
        <v>193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>NETWORKDAYS(H172,R172)</f>
        <v>189</v>
      </c>
      <c r="T172" s="5" t="s">
        <v>570</v>
      </c>
      <c r="U172" s="5" t="s">
        <v>541</v>
      </c>
    </row>
    <row r="173" spans="1:21" x14ac:dyDescent="0.35">
      <c r="A173" s="6" t="s">
        <v>556</v>
      </c>
      <c r="B173" s="6" t="s">
        <v>43</v>
      </c>
      <c r="C173" s="6">
        <v>57899728</v>
      </c>
      <c r="D173" s="6" t="s">
        <v>67</v>
      </c>
      <c r="E173" s="6" t="s">
        <v>557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>+NETWORKDAYS(H173,I173)</f>
        <v>39</v>
      </c>
      <c r="K173" s="6" t="s">
        <v>297</v>
      </c>
      <c r="L173" s="6" t="s">
        <v>298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>NETWORKDAYS(H173,R173)</f>
        <v>47</v>
      </c>
      <c r="T173" s="5" t="s">
        <v>570</v>
      </c>
      <c r="U173" s="5" t="s">
        <v>541</v>
      </c>
    </row>
    <row r="174" spans="1:21" x14ac:dyDescent="0.35">
      <c r="A174" s="6" t="s">
        <v>459</v>
      </c>
      <c r="B174" s="6" t="s">
        <v>19</v>
      </c>
      <c r="C174" s="6">
        <v>60573620</v>
      </c>
      <c r="D174" s="6" t="s">
        <v>197</v>
      </c>
      <c r="E174" s="6" t="s">
        <v>558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>+NETWORKDAYS(H174,I174)</f>
        <v>9</v>
      </c>
      <c r="K174" s="6" t="s">
        <v>297</v>
      </c>
      <c r="L174" s="6" t="s">
        <v>298</v>
      </c>
      <c r="M174" s="6" t="s">
        <v>155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>NETWORKDAYS(H174,R174)</f>
        <v>13</v>
      </c>
      <c r="T174" s="5" t="s">
        <v>570</v>
      </c>
      <c r="U174" s="5" t="s">
        <v>541</v>
      </c>
    </row>
    <row r="175" spans="1:21" x14ac:dyDescent="0.35">
      <c r="A175" s="6" t="s">
        <v>559</v>
      </c>
      <c r="B175" s="6" t="s">
        <v>19</v>
      </c>
      <c r="C175" s="6">
        <v>54973689</v>
      </c>
      <c r="D175" s="6" t="s">
        <v>87</v>
      </c>
      <c r="E175" s="6" t="s">
        <v>560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>+NETWORKDAYS(H175,I175)</f>
        <v>82</v>
      </c>
      <c r="K175" s="6" t="s">
        <v>297</v>
      </c>
      <c r="L175" s="6" t="s">
        <v>320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>NETWORKDAYS(H175,R175)</f>
        <v>85</v>
      </c>
      <c r="T175" s="5" t="s">
        <v>570</v>
      </c>
      <c r="U175" s="5" t="s">
        <v>541</v>
      </c>
    </row>
    <row r="176" spans="1:21" x14ac:dyDescent="0.35">
      <c r="A176" s="6" t="s">
        <v>543</v>
      </c>
      <c r="B176" s="6" t="s">
        <v>43</v>
      </c>
      <c r="C176" s="6">
        <v>48847621</v>
      </c>
      <c r="D176" s="6" t="s">
        <v>544</v>
      </c>
      <c r="E176" s="6" t="s">
        <v>545</v>
      </c>
      <c r="F176" s="6" t="s">
        <v>192</v>
      </c>
      <c r="G176" s="6" t="s">
        <v>23</v>
      </c>
      <c r="H176" s="8">
        <v>45887</v>
      </c>
      <c r="I176" s="8">
        <v>46099</v>
      </c>
      <c r="J176" s="16">
        <f>+NETWORKDAYS(H176,I176)</f>
        <v>153</v>
      </c>
      <c r="K176" s="6" t="s">
        <v>297</v>
      </c>
      <c r="L176" s="6" t="s">
        <v>320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>NETWORKDAYS(H176,R176)</f>
        <v>169</v>
      </c>
      <c r="T176" s="5" t="s">
        <v>542</v>
      </c>
      <c r="U176" s="6" t="s">
        <v>437</v>
      </c>
    </row>
    <row r="177" spans="1:21" x14ac:dyDescent="0.35">
      <c r="A177" s="6" t="s">
        <v>546</v>
      </c>
      <c r="B177" s="6" t="s">
        <v>43</v>
      </c>
      <c r="C177" s="6">
        <v>54178346</v>
      </c>
      <c r="D177" s="6" t="s">
        <v>547</v>
      </c>
      <c r="E177" s="6" t="s">
        <v>548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>+NETWORKDAYS(H177,I177)</f>
        <v>71</v>
      </c>
      <c r="K177" s="6" t="s">
        <v>297</v>
      </c>
      <c r="L177" s="6" t="s">
        <v>320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>NETWORKDAYS(H177,R177)</f>
        <v>92</v>
      </c>
      <c r="T177" s="5" t="s">
        <v>542</v>
      </c>
      <c r="U177" s="6" t="s">
        <v>437</v>
      </c>
    </row>
    <row r="178" spans="1:21" x14ac:dyDescent="0.35">
      <c r="A178" s="6" t="s">
        <v>549</v>
      </c>
      <c r="B178" s="6" t="s">
        <v>19</v>
      </c>
      <c r="C178" s="6">
        <v>60358121</v>
      </c>
      <c r="D178" s="6" t="s">
        <v>49</v>
      </c>
      <c r="E178" s="6" t="s">
        <v>550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>+NETWORKDAYS(H178,I178)</f>
        <v>14</v>
      </c>
      <c r="K178" s="6" t="s">
        <v>297</v>
      </c>
      <c r="L178" s="6" t="s">
        <v>298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>NETWORKDAYS(H178,R178)</f>
        <v>14</v>
      </c>
      <c r="T178" s="5" t="s">
        <v>542</v>
      </c>
      <c r="U178" s="6" t="s">
        <v>541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551</v>
      </c>
      <c r="E179" s="6" t="s">
        <v>552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>+NETWORKDAYS(H179,I179)</f>
        <v>142</v>
      </c>
      <c r="K179" s="6" t="s">
        <v>297</v>
      </c>
      <c r="L179" s="6" t="s">
        <v>320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>NETWORKDAYS(H179,R179)</f>
        <v>142</v>
      </c>
      <c r="T179" s="5" t="s">
        <v>542</v>
      </c>
      <c r="U179" s="6" t="s">
        <v>541</v>
      </c>
    </row>
    <row r="180" spans="1:21" x14ac:dyDescent="0.35">
      <c r="A180" s="6" t="s">
        <v>553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>+NETWORKDAYS(H180,I180)</f>
        <v>86</v>
      </c>
      <c r="K180" s="6" t="s">
        <v>297</v>
      </c>
      <c r="L180" s="6" t="s">
        <v>320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>NETWORKDAYS(H180,R180)</f>
        <v>86</v>
      </c>
      <c r="T180" s="5" t="s">
        <v>542</v>
      </c>
      <c r="U180" s="6" t="s">
        <v>541</v>
      </c>
    </row>
    <row r="181" spans="1:21" x14ac:dyDescent="0.35">
      <c r="A181" s="6" t="s">
        <v>537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>+NETWORKDAYS(H181,I181)</f>
        <v>19</v>
      </c>
      <c r="K181" s="6" t="s">
        <v>297</v>
      </c>
      <c r="L181" s="6" t="s">
        <v>298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>NETWORKDAYS(H181,R181)</f>
        <v>24</v>
      </c>
      <c r="T181" s="5" t="s">
        <v>542</v>
      </c>
      <c r="U181" s="6" t="s">
        <v>541</v>
      </c>
    </row>
    <row r="182" spans="1:21" x14ac:dyDescent="0.35">
      <c r="A182" s="6" t="s">
        <v>538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>+NETWORKDAYS(H182,I182)</f>
        <v>8</v>
      </c>
      <c r="K182" s="6" t="s">
        <v>297</v>
      </c>
      <c r="L182" s="6" t="s">
        <v>298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>NETWORKDAYS(H182,R182)</f>
        <v>9</v>
      </c>
      <c r="T182" s="5" t="s">
        <v>542</v>
      </c>
      <c r="U182" s="6" t="s">
        <v>541</v>
      </c>
    </row>
    <row r="183" spans="1:21" x14ac:dyDescent="0.35">
      <c r="A183" s="6" t="s">
        <v>539</v>
      </c>
      <c r="B183" s="6" t="s">
        <v>43</v>
      </c>
      <c r="C183" s="6">
        <v>48618333</v>
      </c>
      <c r="D183" s="6" t="s">
        <v>270</v>
      </c>
      <c r="E183" s="6" t="s">
        <v>540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>+NETWORKDAYS(H183,I183)</f>
        <v>8</v>
      </c>
      <c r="K183" s="6" t="s">
        <v>297</v>
      </c>
      <c r="L183" s="6" t="s">
        <v>298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>NETWORKDAYS(H183,R183)</f>
        <v>9</v>
      </c>
      <c r="T183" s="5" t="s">
        <v>542</v>
      </c>
      <c r="U183" s="6" t="s">
        <v>541</v>
      </c>
    </row>
    <row r="184" spans="1:21" x14ac:dyDescent="0.35">
      <c r="A184" s="6" t="s">
        <v>530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>+NETWORKDAYS(H184,I184)</f>
        <v>12</v>
      </c>
      <c r="K184" s="6" t="s">
        <v>297</v>
      </c>
      <c r="L184" s="6" t="s">
        <v>298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>NETWORKDAYS(H184,R184)</f>
        <v>14</v>
      </c>
      <c r="T184" s="5" t="s">
        <v>542</v>
      </c>
      <c r="U184" s="5" t="s">
        <v>541</v>
      </c>
    </row>
    <row r="185" spans="1:21" x14ac:dyDescent="0.35">
      <c r="A185" s="6" t="s">
        <v>531</v>
      </c>
      <c r="B185" s="6" t="s">
        <v>19</v>
      </c>
      <c r="C185" s="6">
        <v>47658350</v>
      </c>
      <c r="D185" s="6" t="s">
        <v>44</v>
      </c>
      <c r="E185" s="6" t="s">
        <v>532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>+NETWORKDAYS(H185,I185)</f>
        <v>185</v>
      </c>
      <c r="K185" s="6" t="s">
        <v>297</v>
      </c>
      <c r="L185" s="6" t="s">
        <v>298</v>
      </c>
      <c r="M185" s="6" t="s">
        <v>47</v>
      </c>
      <c r="N185" s="6" t="s">
        <v>193</v>
      </c>
      <c r="O185" s="6">
        <v>350000</v>
      </c>
      <c r="P185" s="6">
        <v>0</v>
      </c>
      <c r="Q185" s="12">
        <v>350000</v>
      </c>
      <c r="R185" s="8">
        <v>46119</v>
      </c>
      <c r="S185" s="16">
        <f>NETWORKDAYS(H185,R185)</f>
        <v>187</v>
      </c>
      <c r="T185" s="5" t="s">
        <v>542</v>
      </c>
      <c r="U185" s="5" t="s">
        <v>541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533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>+NETWORKDAYS(H186,I186)</f>
        <v>177</v>
      </c>
      <c r="K186" s="6" t="s">
        <v>297</v>
      </c>
      <c r="L186" s="6" t="s">
        <v>298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>NETWORKDAYS(H186,R186)</f>
        <v>179</v>
      </c>
      <c r="T186" s="5" t="s">
        <v>542</v>
      </c>
      <c r="U186" s="5" t="s">
        <v>541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534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>+NETWORKDAYS(H187,I187)</f>
        <v>22</v>
      </c>
      <c r="K187" s="6" t="s">
        <v>297</v>
      </c>
      <c r="L187" s="6" t="s">
        <v>298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>NETWORKDAYS(H187,R187)</f>
        <v>26</v>
      </c>
      <c r="T187" s="5" t="s">
        <v>542</v>
      </c>
      <c r="U187" s="5" t="s">
        <v>541</v>
      </c>
    </row>
    <row r="188" spans="1:21" x14ac:dyDescent="0.35">
      <c r="A188" s="6" t="s">
        <v>462</v>
      </c>
      <c r="B188" s="6" t="s">
        <v>43</v>
      </c>
      <c r="C188" s="6">
        <v>59301554</v>
      </c>
      <c r="D188" s="6" t="s">
        <v>535</v>
      </c>
      <c r="E188" s="6" t="s">
        <v>536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>+NETWORKDAYS(H188,I188)</f>
        <v>22</v>
      </c>
      <c r="K188" s="6" t="s">
        <v>297</v>
      </c>
      <c r="L188" s="6" t="s">
        <v>298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>NETWORKDAYS(H188,R188)</f>
        <v>26</v>
      </c>
      <c r="T188" s="5" t="s">
        <v>542</v>
      </c>
      <c r="U188" s="5" t="s">
        <v>541</v>
      </c>
    </row>
    <row r="189" spans="1:21" x14ac:dyDescent="0.35">
      <c r="A189" s="6" t="s">
        <v>528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>+NETWORKDAYS(H189,I189)</f>
        <v>31</v>
      </c>
      <c r="K189" s="6" t="s">
        <v>297</v>
      </c>
      <c r="L189" s="6" t="s">
        <v>298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>NETWORKDAYS(H189,R189)</f>
        <v>34</v>
      </c>
      <c r="T189" s="5" t="s">
        <v>542</v>
      </c>
      <c r="U189" s="5" t="s">
        <v>541</v>
      </c>
    </row>
    <row r="190" spans="1:21" x14ac:dyDescent="0.35">
      <c r="A190" s="6" t="s">
        <v>452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>+NETWORKDAYS(H190,I190)</f>
        <v>37</v>
      </c>
      <c r="K190" s="6" t="s">
        <v>297</v>
      </c>
      <c r="L190" s="6" t="s">
        <v>298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>NETWORKDAYS(H190,R190)</f>
        <v>40</v>
      </c>
      <c r="T190" s="5" t="s">
        <v>542</v>
      </c>
      <c r="U190" s="5" t="s">
        <v>541</v>
      </c>
    </row>
    <row r="191" spans="1:21" x14ac:dyDescent="0.35">
      <c r="A191" s="6" t="s">
        <v>525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>+NETWORKDAYS(H191,I191)</f>
        <v>110</v>
      </c>
      <c r="K191" s="6" t="s">
        <v>297</v>
      </c>
      <c r="L191" s="6" t="s">
        <v>298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>NETWORKDAYS(H191,R191)</f>
        <v>113</v>
      </c>
      <c r="T191" s="5" t="s">
        <v>542</v>
      </c>
      <c r="U191" s="5" t="s">
        <v>541</v>
      </c>
    </row>
    <row r="192" spans="1:21" x14ac:dyDescent="0.35">
      <c r="A192" s="6" t="s">
        <v>529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>+NETWORKDAYS(H192,I192)</f>
        <v>24</v>
      </c>
      <c r="K192" s="6" t="s">
        <v>297</v>
      </c>
      <c r="L192" s="6" t="s">
        <v>298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>NETWORKDAYS(H192,R192)</f>
        <v>27</v>
      </c>
      <c r="T192" s="5" t="s">
        <v>542</v>
      </c>
      <c r="U192" s="5" t="s">
        <v>541</v>
      </c>
    </row>
    <row r="193" spans="1:21" x14ac:dyDescent="0.35">
      <c r="A193" s="6" t="s">
        <v>525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>+NETWORKDAYS(H193,I193)</f>
        <v>184</v>
      </c>
      <c r="K193" s="6" t="s">
        <v>297</v>
      </c>
      <c r="L193" s="6" t="s">
        <v>298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>NETWORKDAYS(H193,R193)</f>
        <v>186</v>
      </c>
      <c r="T193" s="5" t="s">
        <v>542</v>
      </c>
      <c r="U193" s="5" t="s">
        <v>541</v>
      </c>
    </row>
    <row r="194" spans="1:21" x14ac:dyDescent="0.35">
      <c r="A194" s="6" t="s">
        <v>523</v>
      </c>
      <c r="B194" s="6" t="s">
        <v>43</v>
      </c>
      <c r="C194" s="6">
        <v>51053195</v>
      </c>
      <c r="D194" s="6" t="s">
        <v>150</v>
      </c>
      <c r="E194" s="6" t="s">
        <v>524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>+NETWORKDAYS(H194,I194)</f>
        <v>135</v>
      </c>
      <c r="K194" s="6" t="s">
        <v>297</v>
      </c>
      <c r="L194" s="6" t="s">
        <v>298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>NETWORKDAYS(H194,R194)</f>
        <v>136</v>
      </c>
      <c r="T194" s="5" t="s">
        <v>508</v>
      </c>
      <c r="U194" s="5" t="s">
        <v>541</v>
      </c>
    </row>
    <row r="195" spans="1:21" x14ac:dyDescent="0.35">
      <c r="A195" s="6" t="s">
        <v>525</v>
      </c>
      <c r="B195" s="6" t="s">
        <v>43</v>
      </c>
      <c r="C195" s="6">
        <v>47878019</v>
      </c>
      <c r="D195" s="6" t="s">
        <v>166</v>
      </c>
      <c r="E195" s="6" t="s">
        <v>526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>+NETWORKDAYS(H195,I195)</f>
        <v>179</v>
      </c>
      <c r="K195" s="6" t="s">
        <v>297</v>
      </c>
      <c r="L195" s="6" t="s">
        <v>298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>NETWORKDAYS(H195,R195)</f>
        <v>181</v>
      </c>
      <c r="T195" s="5" t="s">
        <v>508</v>
      </c>
      <c r="U195" s="5" t="s">
        <v>541</v>
      </c>
    </row>
    <row r="196" spans="1:21" x14ac:dyDescent="0.35">
      <c r="A196" s="6" t="s">
        <v>525</v>
      </c>
      <c r="B196" s="6" t="s">
        <v>43</v>
      </c>
      <c r="C196" s="6">
        <v>47653333</v>
      </c>
      <c r="D196" s="6" t="s">
        <v>44</v>
      </c>
      <c r="E196" s="6" t="s">
        <v>527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>+NETWORKDAYS(H196,I196)</f>
        <v>182</v>
      </c>
      <c r="K196" s="6" t="s">
        <v>297</v>
      </c>
      <c r="L196" s="6" t="s">
        <v>298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>NETWORKDAYS(H196,R196)</f>
        <v>183</v>
      </c>
      <c r="T196" s="5" t="s">
        <v>508</v>
      </c>
      <c r="U196" s="5" t="s">
        <v>541</v>
      </c>
    </row>
    <row r="197" spans="1:21" x14ac:dyDescent="0.35">
      <c r="A197" s="6" t="s">
        <v>518</v>
      </c>
      <c r="B197" s="6" t="s">
        <v>43</v>
      </c>
      <c r="C197" s="6">
        <v>59278285</v>
      </c>
      <c r="D197" s="6" t="s">
        <v>519</v>
      </c>
      <c r="E197" s="6" t="s">
        <v>520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>+NETWORKDAYS(H197,I197)</f>
        <v>16</v>
      </c>
      <c r="K197" s="17" t="s">
        <v>297</v>
      </c>
      <c r="L197" s="5" t="s">
        <v>298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>P197+O197</f>
        <v>1550000</v>
      </c>
      <c r="R197" s="7">
        <v>46112</v>
      </c>
      <c r="S197" s="16">
        <f>NETWORKDAYS(H197,R197)</f>
        <v>21</v>
      </c>
      <c r="T197" s="5" t="s">
        <v>508</v>
      </c>
      <c r="U197" s="5" t="s">
        <v>436</v>
      </c>
    </row>
    <row r="198" spans="1:21" x14ac:dyDescent="0.35">
      <c r="A198" s="6" t="s">
        <v>518</v>
      </c>
      <c r="B198" s="6" t="s">
        <v>43</v>
      </c>
      <c r="C198" s="6">
        <v>59278925</v>
      </c>
      <c r="D198" s="6" t="s">
        <v>67</v>
      </c>
      <c r="E198" s="6" t="s">
        <v>521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>+NETWORKDAYS(H198,I198)</f>
        <v>16</v>
      </c>
      <c r="K198" s="17" t="s">
        <v>297</v>
      </c>
      <c r="L198" s="5" t="s">
        <v>298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>P198+O198</f>
        <v>1550000</v>
      </c>
      <c r="R198" s="7">
        <v>46112</v>
      </c>
      <c r="S198" s="16">
        <f>NETWORKDAYS(H198,R198)</f>
        <v>21</v>
      </c>
      <c r="T198" s="5" t="s">
        <v>508</v>
      </c>
      <c r="U198" s="5" t="s">
        <v>436</v>
      </c>
    </row>
    <row r="199" spans="1:21" x14ac:dyDescent="0.35">
      <c r="A199" s="6" t="s">
        <v>462</v>
      </c>
      <c r="B199" s="6" t="s">
        <v>43</v>
      </c>
      <c r="C199" s="1">
        <v>59300338</v>
      </c>
      <c r="D199" s="6" t="s">
        <v>49</v>
      </c>
      <c r="E199" s="6" t="s">
        <v>522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>+NETWORKDAYS(H199,I199)</f>
        <v>21</v>
      </c>
      <c r="K199" s="17" t="s">
        <v>297</v>
      </c>
      <c r="L199" s="5" t="s">
        <v>298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>P199+O199</f>
        <v>2462000</v>
      </c>
      <c r="R199" s="7">
        <v>46112</v>
      </c>
      <c r="S199" s="16">
        <f>NETWORKDAYS(H199,R199)</f>
        <v>21</v>
      </c>
      <c r="T199" s="5" t="s">
        <v>508</v>
      </c>
      <c r="U199" s="5" t="s">
        <v>436</v>
      </c>
    </row>
    <row r="200" spans="1:21" x14ac:dyDescent="0.35">
      <c r="A200" s="6" t="s">
        <v>506</v>
      </c>
      <c r="B200" s="5" t="s">
        <v>43</v>
      </c>
      <c r="C200" s="6">
        <v>60423011</v>
      </c>
      <c r="D200" s="5" t="s">
        <v>144</v>
      </c>
      <c r="E200" s="6" t="s">
        <v>507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>+NETWORKDAYS(H200,I200)</f>
        <v>5</v>
      </c>
      <c r="K200" s="17" t="s">
        <v>297</v>
      </c>
      <c r="L200" s="5" t="s">
        <v>298</v>
      </c>
      <c r="M200" s="5" t="s">
        <v>351</v>
      </c>
      <c r="N200" s="5" t="s">
        <v>28</v>
      </c>
      <c r="O200" s="33">
        <v>0</v>
      </c>
      <c r="P200" s="33">
        <v>0</v>
      </c>
      <c r="Q200" s="33">
        <f>P200+O200</f>
        <v>0</v>
      </c>
      <c r="R200" s="7">
        <v>46111</v>
      </c>
      <c r="S200" s="16">
        <f>NETWORKDAYS(H200,R200)</f>
        <v>5</v>
      </c>
      <c r="T200" s="5" t="s">
        <v>508</v>
      </c>
      <c r="U200" s="5" t="s">
        <v>436</v>
      </c>
    </row>
    <row r="201" spans="1:21" x14ac:dyDescent="0.35">
      <c r="A201" s="6" t="s">
        <v>506</v>
      </c>
      <c r="B201" s="5" t="s">
        <v>19</v>
      </c>
      <c r="C201" s="6">
        <v>60422373</v>
      </c>
      <c r="D201" s="5" t="s">
        <v>144</v>
      </c>
      <c r="E201" s="6" t="s">
        <v>509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>+NETWORKDAYS(H201,I201)</f>
        <v>5</v>
      </c>
      <c r="K201" s="17" t="s">
        <v>297</v>
      </c>
      <c r="L201" s="5" t="s">
        <v>298</v>
      </c>
      <c r="M201" s="5" t="s">
        <v>351</v>
      </c>
      <c r="N201" s="5" t="s">
        <v>146</v>
      </c>
      <c r="O201" s="33">
        <v>0</v>
      </c>
      <c r="P201" s="33">
        <v>0</v>
      </c>
      <c r="Q201" s="33">
        <f>P201+O201</f>
        <v>0</v>
      </c>
      <c r="R201" s="7">
        <v>46111</v>
      </c>
      <c r="S201" s="16">
        <f>NETWORKDAYS(H201,R201)</f>
        <v>5</v>
      </c>
      <c r="T201" s="5" t="s">
        <v>508</v>
      </c>
      <c r="U201" s="5" t="s">
        <v>436</v>
      </c>
    </row>
    <row r="202" spans="1:21" x14ac:dyDescent="0.35">
      <c r="A202" s="6" t="s">
        <v>510</v>
      </c>
      <c r="B202" s="6" t="s">
        <v>19</v>
      </c>
      <c r="C202" s="6">
        <v>58144220</v>
      </c>
      <c r="D202" s="6" t="s">
        <v>20</v>
      </c>
      <c r="E202" s="6" t="s">
        <v>511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>+NETWORKDAYS(H202,I202)</f>
        <v>34</v>
      </c>
      <c r="K202" s="17" t="s">
        <v>297</v>
      </c>
      <c r="L202" s="5" t="s">
        <v>298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>P202+O202</f>
        <v>0</v>
      </c>
      <c r="R202" s="7">
        <v>46111</v>
      </c>
      <c r="S202" s="16">
        <f>NETWORKDAYS(H202,R202)</f>
        <v>34</v>
      </c>
      <c r="T202" s="5" t="s">
        <v>508</v>
      </c>
      <c r="U202" s="5" t="s">
        <v>436</v>
      </c>
    </row>
    <row r="203" spans="1:21" x14ac:dyDescent="0.35">
      <c r="A203" s="6" t="s">
        <v>512</v>
      </c>
      <c r="B203" s="6" t="s">
        <v>43</v>
      </c>
      <c r="C203" s="6">
        <v>58808846</v>
      </c>
      <c r="D203" s="6" t="s">
        <v>99</v>
      </c>
      <c r="E203" s="6" t="s">
        <v>513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>+NETWORKDAYS(H203,I203)</f>
        <v>25</v>
      </c>
      <c r="K203" s="17" t="s">
        <v>297</v>
      </c>
      <c r="L203" s="5" t="s">
        <v>298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>P203+O203</f>
        <v>2462000</v>
      </c>
      <c r="R203" s="7">
        <v>46111</v>
      </c>
      <c r="S203" s="16">
        <f>NETWORKDAYS(H203,R203)</f>
        <v>26</v>
      </c>
      <c r="T203" s="5" t="s">
        <v>508</v>
      </c>
      <c r="U203" s="5" t="s">
        <v>436</v>
      </c>
    </row>
    <row r="204" spans="1:21" x14ac:dyDescent="0.35">
      <c r="A204" s="6" t="s">
        <v>514</v>
      </c>
      <c r="B204" s="5" t="s">
        <v>19</v>
      </c>
      <c r="C204" s="6">
        <v>59821965</v>
      </c>
      <c r="D204" s="5" t="s">
        <v>35</v>
      </c>
      <c r="E204" s="6" t="s">
        <v>515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>+NETWORKDAYS(H204,I204)</f>
        <v>13</v>
      </c>
      <c r="K204" s="17" t="s">
        <v>297</v>
      </c>
      <c r="L204" s="5" t="s">
        <v>298</v>
      </c>
      <c r="M204" s="5" t="s">
        <v>155</v>
      </c>
      <c r="N204" s="5" t="s">
        <v>146</v>
      </c>
      <c r="O204" s="33">
        <v>3000000</v>
      </c>
      <c r="P204" s="33">
        <v>0</v>
      </c>
      <c r="Q204" s="33">
        <f>P204+O204</f>
        <v>3000000</v>
      </c>
      <c r="R204" s="7">
        <v>46111</v>
      </c>
      <c r="S204" s="16">
        <f>NETWORKDAYS(H204,R204)</f>
        <v>13</v>
      </c>
      <c r="T204" s="5" t="s">
        <v>508</v>
      </c>
      <c r="U204" s="5" t="s">
        <v>436</v>
      </c>
    </row>
    <row r="205" spans="1:21" x14ac:dyDescent="0.35">
      <c r="A205" s="6" t="s">
        <v>516</v>
      </c>
      <c r="B205" s="6" t="s">
        <v>19</v>
      </c>
      <c r="C205" s="6">
        <v>59894758</v>
      </c>
      <c r="D205" s="6" t="s">
        <v>20</v>
      </c>
      <c r="E205" s="6" t="s">
        <v>517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>+NETWORKDAYS(H205,I205)</f>
        <v>12</v>
      </c>
      <c r="K205" s="17" t="s">
        <v>297</v>
      </c>
      <c r="L205" s="5" t="s">
        <v>298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>P205+O205</f>
        <v>1678945</v>
      </c>
      <c r="R205" s="7">
        <v>46111</v>
      </c>
      <c r="S205" s="16">
        <f>NETWORKDAYS(H205,R205)</f>
        <v>12</v>
      </c>
      <c r="T205" s="5" t="s">
        <v>508</v>
      </c>
      <c r="U205" s="5" t="s">
        <v>436</v>
      </c>
    </row>
    <row r="206" spans="1:21" x14ac:dyDescent="0.35">
      <c r="A206" s="1" t="s">
        <v>488</v>
      </c>
      <c r="B206" s="5" t="s">
        <v>43</v>
      </c>
      <c r="C206" s="1">
        <v>59889656</v>
      </c>
      <c r="D206" s="5" t="s">
        <v>489</v>
      </c>
      <c r="E206" s="1" t="s">
        <v>490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>+NETWORKDAYS(H206,I206)</f>
        <v>10</v>
      </c>
      <c r="K206" s="17" t="s">
        <v>297</v>
      </c>
      <c r="L206" s="5" t="s">
        <v>298</v>
      </c>
      <c r="M206" s="5" t="s">
        <v>24</v>
      </c>
      <c r="N206" s="5" t="s">
        <v>491</v>
      </c>
      <c r="O206" s="33">
        <v>600000</v>
      </c>
      <c r="P206" s="33">
        <v>60000</v>
      </c>
      <c r="Q206" s="33">
        <f>P206+O206</f>
        <v>660000</v>
      </c>
      <c r="R206" s="7">
        <v>46108</v>
      </c>
      <c r="S206" s="16">
        <f>NETWORKDAYS(H206,R206)</f>
        <v>11</v>
      </c>
      <c r="T206" s="5" t="s">
        <v>480</v>
      </c>
      <c r="U206" s="5" t="s">
        <v>436</v>
      </c>
    </row>
    <row r="207" spans="1:21" x14ac:dyDescent="0.35">
      <c r="A207" s="1" t="s">
        <v>492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>+NETWORKDAYS(H207,I207)</f>
        <v>10</v>
      </c>
      <c r="K207" s="17" t="s">
        <v>297</v>
      </c>
      <c r="L207" s="5" t="s">
        <v>298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>P207+O207</f>
        <v>711635</v>
      </c>
      <c r="R207" s="7">
        <v>46108</v>
      </c>
      <c r="S207" s="16">
        <f>NETWORKDAYS(H207,R207)</f>
        <v>12</v>
      </c>
      <c r="T207" s="5" t="s">
        <v>480</v>
      </c>
      <c r="U207" s="5" t="s">
        <v>436</v>
      </c>
    </row>
    <row r="208" spans="1:21" x14ac:dyDescent="0.35">
      <c r="A208" s="1" t="s">
        <v>493</v>
      </c>
      <c r="B208" s="1" t="s">
        <v>85</v>
      </c>
      <c r="C208" s="1">
        <v>58407509</v>
      </c>
      <c r="D208" s="5" t="s">
        <v>494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>+NETWORKDAYS(H208,I208)</f>
        <v>29</v>
      </c>
      <c r="K208" s="17" t="s">
        <v>297</v>
      </c>
      <c r="L208" s="5" t="s">
        <v>298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>P208+O208</f>
        <v>1231750</v>
      </c>
      <c r="R208" s="7">
        <v>46108</v>
      </c>
      <c r="S208" s="16">
        <f>NETWORKDAYS(H208,R208)</f>
        <v>30</v>
      </c>
      <c r="T208" s="5" t="s">
        <v>480</v>
      </c>
      <c r="U208" s="5" t="s">
        <v>436</v>
      </c>
    </row>
    <row r="209" spans="1:21" x14ac:dyDescent="0.35">
      <c r="A209" s="3" t="s">
        <v>495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>+NETWORKDAYS(H209,I209)</f>
        <v>24</v>
      </c>
      <c r="K209" s="17" t="s">
        <v>297</v>
      </c>
      <c r="L209" s="5" t="s">
        <v>320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>P209+O209</f>
        <v>1231750</v>
      </c>
      <c r="R209" s="7">
        <v>46108</v>
      </c>
      <c r="S209" s="16">
        <f>NETWORKDAYS(H209,R209)</f>
        <v>77</v>
      </c>
      <c r="T209" s="5" t="s">
        <v>480</v>
      </c>
      <c r="U209" s="5" t="s">
        <v>436</v>
      </c>
    </row>
    <row r="210" spans="1:21" x14ac:dyDescent="0.35">
      <c r="A210" s="3" t="s">
        <v>496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>+NETWORKDAYS(H210,I210)</f>
        <v>11</v>
      </c>
      <c r="K210" s="17" t="s">
        <v>297</v>
      </c>
      <c r="L210" s="5" t="s">
        <v>298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>P210+O210</f>
        <v>190000</v>
      </c>
      <c r="R210" s="7">
        <v>46108</v>
      </c>
      <c r="S210" s="16">
        <f>NETWORKDAYS(H210,R210)</f>
        <v>11</v>
      </c>
      <c r="T210" s="5" t="s">
        <v>480</v>
      </c>
      <c r="U210" s="5" t="s">
        <v>436</v>
      </c>
    </row>
    <row r="211" spans="1:21" x14ac:dyDescent="0.35">
      <c r="A211" s="3" t="s">
        <v>497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>+NETWORKDAYS(H211,I211)</f>
        <v>9</v>
      </c>
      <c r="K211" s="17" t="s">
        <v>297</v>
      </c>
      <c r="L211" s="5" t="s">
        <v>298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>P211+O211</f>
        <v>791635</v>
      </c>
      <c r="R211" s="7">
        <v>46108</v>
      </c>
      <c r="S211" s="16">
        <f>NETWORKDAYS(H211,R211)</f>
        <v>9</v>
      </c>
      <c r="T211" s="5" t="s">
        <v>480</v>
      </c>
      <c r="U211" s="5" t="s">
        <v>436</v>
      </c>
    </row>
    <row r="212" spans="1:21" x14ac:dyDescent="0.35">
      <c r="A212" s="3" t="s">
        <v>498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>+NETWORKDAYS(H212,I212)</f>
        <v>26</v>
      </c>
      <c r="K212" s="17" t="s">
        <v>297</v>
      </c>
      <c r="L212" s="5" t="s">
        <v>298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>P212+O212</f>
        <v>210000</v>
      </c>
      <c r="R212" s="7">
        <v>46108</v>
      </c>
      <c r="S212" s="16">
        <f>NETWORKDAYS(H212,R212)</f>
        <v>26</v>
      </c>
      <c r="T212" s="5" t="s">
        <v>480</v>
      </c>
      <c r="U212" s="5" t="s">
        <v>436</v>
      </c>
    </row>
    <row r="213" spans="1:21" x14ac:dyDescent="0.35">
      <c r="A213" s="1" t="s">
        <v>499</v>
      </c>
      <c r="B213" s="1" t="s">
        <v>43</v>
      </c>
      <c r="C213" s="1" t="s">
        <v>500</v>
      </c>
      <c r="D213" s="1" t="s">
        <v>67</v>
      </c>
      <c r="E213" s="1" t="s">
        <v>501</v>
      </c>
      <c r="F213" s="1" t="s">
        <v>502</v>
      </c>
      <c r="G213" s="1" t="s">
        <v>503</v>
      </c>
      <c r="H213" s="39">
        <v>46098</v>
      </c>
      <c r="I213" s="39">
        <v>46107</v>
      </c>
      <c r="J213" s="16">
        <f>+NETWORKDAYS(H213,I213)</f>
        <v>8</v>
      </c>
      <c r="K213" s="1" t="s">
        <v>297</v>
      </c>
      <c r="L213" s="1" t="s">
        <v>298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>NETWORKDAYS(H213,R213)</f>
        <v>9</v>
      </c>
      <c r="T213" s="5" t="s">
        <v>480</v>
      </c>
      <c r="U213" s="5" t="s">
        <v>436</v>
      </c>
    </row>
    <row r="214" spans="1:21" x14ac:dyDescent="0.35">
      <c r="A214" s="1" t="s">
        <v>504</v>
      </c>
      <c r="B214" s="1" t="s">
        <v>19</v>
      </c>
      <c r="C214" s="1">
        <v>57773018</v>
      </c>
      <c r="D214" s="1" t="s">
        <v>283</v>
      </c>
      <c r="E214" s="1" t="s">
        <v>505</v>
      </c>
      <c r="F214" s="1" t="s">
        <v>192</v>
      </c>
      <c r="G214" s="1" t="s">
        <v>23</v>
      </c>
      <c r="H214" s="39">
        <v>46057</v>
      </c>
      <c r="I214" s="39">
        <v>46107</v>
      </c>
      <c r="J214" s="16">
        <f>+NETWORKDAYS(H214,I214)</f>
        <v>37</v>
      </c>
      <c r="K214" s="1" t="s">
        <v>297</v>
      </c>
      <c r="L214" s="1" t="s">
        <v>298</v>
      </c>
      <c r="M214" s="1" t="s">
        <v>24</v>
      </c>
      <c r="N214" s="1" t="s">
        <v>170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>NETWORKDAYS(H214,R214)</f>
        <v>38</v>
      </c>
      <c r="T214" s="5" t="s">
        <v>480</v>
      </c>
      <c r="U214" s="5" t="s">
        <v>436</v>
      </c>
    </row>
    <row r="215" spans="1:21" x14ac:dyDescent="0.35">
      <c r="A215" s="6" t="s">
        <v>485</v>
      </c>
      <c r="B215" s="5" t="s">
        <v>43</v>
      </c>
      <c r="C215" s="6">
        <v>56800015</v>
      </c>
      <c r="D215" s="5" t="s">
        <v>486</v>
      </c>
      <c r="E215" s="6" t="s">
        <v>487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>+NETWORKDAYS(H215,I215)</f>
        <v>44</v>
      </c>
      <c r="K215" s="17" t="s">
        <v>297</v>
      </c>
      <c r="L215" s="5" t="s">
        <v>320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>P215+O215</f>
        <v>0</v>
      </c>
      <c r="R215" s="7">
        <v>46106</v>
      </c>
      <c r="S215" s="16">
        <f>NETWORKDAYS(H215,R215)</f>
        <v>49</v>
      </c>
      <c r="T215" s="5" t="s">
        <v>480</v>
      </c>
      <c r="U215" s="5" t="s">
        <v>437</v>
      </c>
    </row>
    <row r="216" spans="1:21" x14ac:dyDescent="0.35">
      <c r="A216" s="6" t="s">
        <v>478</v>
      </c>
      <c r="B216" s="6" t="s">
        <v>43</v>
      </c>
      <c r="C216" s="6">
        <v>58897521</v>
      </c>
      <c r="D216" s="6" t="s">
        <v>171</v>
      </c>
      <c r="E216" s="6" t="s">
        <v>479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>+NETWORKDAYS(H216,I216)</f>
        <v>15</v>
      </c>
      <c r="K216" s="17" t="s">
        <v>297</v>
      </c>
      <c r="L216" s="5" t="s">
        <v>298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>P216+O216</f>
        <v>2675790</v>
      </c>
      <c r="R216" s="7">
        <v>46105</v>
      </c>
      <c r="S216" s="16">
        <f>NETWORKDAYS(H216,R216)</f>
        <v>19</v>
      </c>
      <c r="T216" s="5" t="s">
        <v>480</v>
      </c>
      <c r="U216" s="5" t="s">
        <v>436</v>
      </c>
    </row>
    <row r="217" spans="1:21" s="36" customFormat="1" ht="12" x14ac:dyDescent="0.3">
      <c r="A217" s="6" t="s">
        <v>168</v>
      </c>
      <c r="B217" s="6" t="s">
        <v>43</v>
      </c>
      <c r="C217" s="6">
        <v>58824101</v>
      </c>
      <c r="D217" s="6" t="s">
        <v>318</v>
      </c>
      <c r="E217" s="6" t="s">
        <v>481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>+NETWORKDAYS(H217,I217)</f>
        <v>17</v>
      </c>
      <c r="K217" s="17" t="s">
        <v>297</v>
      </c>
      <c r="L217" s="5" t="s">
        <v>298</v>
      </c>
      <c r="M217" s="5" t="s">
        <v>24</v>
      </c>
      <c r="N217" s="6" t="s">
        <v>193</v>
      </c>
      <c r="O217" s="12">
        <v>543324</v>
      </c>
      <c r="P217" s="12">
        <v>115000</v>
      </c>
      <c r="Q217" s="33">
        <f>P217+O217</f>
        <v>658324</v>
      </c>
      <c r="R217" s="7">
        <v>46105</v>
      </c>
      <c r="S217" s="16">
        <f>NETWORKDAYS(H217,R217)</f>
        <v>22</v>
      </c>
      <c r="T217" s="5" t="s">
        <v>480</v>
      </c>
      <c r="U217" s="5" t="s">
        <v>437</v>
      </c>
    </row>
    <row r="218" spans="1:21" s="36" customFormat="1" ht="12" x14ac:dyDescent="0.3">
      <c r="A218" s="6" t="s">
        <v>482</v>
      </c>
      <c r="B218" s="6" t="s">
        <v>19</v>
      </c>
      <c r="C218" s="6">
        <v>59248227</v>
      </c>
      <c r="D218" s="6" t="s">
        <v>483</v>
      </c>
      <c r="E218" s="6" t="s">
        <v>484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>+NETWORKDAYS(H218,I218)</f>
        <v>16</v>
      </c>
      <c r="K218" s="17" t="s">
        <v>297</v>
      </c>
      <c r="L218" s="5" t="s">
        <v>298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>P218+O218</f>
        <v>1369818</v>
      </c>
      <c r="R218" s="7">
        <v>46105</v>
      </c>
      <c r="S218" s="16">
        <f>NETWORKDAYS(H218,R218)</f>
        <v>17</v>
      </c>
      <c r="T218" s="5" t="s">
        <v>480</v>
      </c>
      <c r="U218" s="5" t="s">
        <v>436</v>
      </c>
    </row>
    <row r="219" spans="1:21" s="36" customFormat="1" ht="12" x14ac:dyDescent="0.3">
      <c r="A219" s="6" t="s">
        <v>462</v>
      </c>
      <c r="B219" s="6" t="s">
        <v>43</v>
      </c>
      <c r="C219" s="6">
        <v>58809268</v>
      </c>
      <c r="D219" s="6" t="s">
        <v>49</v>
      </c>
      <c r="E219" s="6" t="s">
        <v>471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>+NETWORKDAYS(H219,I219)</f>
        <v>18</v>
      </c>
      <c r="K219" s="17" t="s">
        <v>297</v>
      </c>
      <c r="L219" s="5" t="s">
        <v>298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>P219+O219</f>
        <v>2462000</v>
      </c>
      <c r="R219" s="7">
        <v>46100</v>
      </c>
      <c r="S219" s="16">
        <f>NETWORKDAYS(H219,R219)</f>
        <v>19</v>
      </c>
      <c r="T219" s="5" t="s">
        <v>461</v>
      </c>
      <c r="U219" s="5" t="s">
        <v>436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472</v>
      </c>
      <c r="E220" s="6" t="s">
        <v>473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>+NETWORKDAYS(H220,I220)</f>
        <v>46</v>
      </c>
      <c r="K220" s="17" t="s">
        <v>297</v>
      </c>
      <c r="L220" s="5" t="s">
        <v>320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>P220+O220</f>
        <v>8433717</v>
      </c>
      <c r="R220" s="7">
        <v>46100</v>
      </c>
      <c r="S220" s="16">
        <f>NETWORKDAYS(H220,R220)</f>
        <v>48</v>
      </c>
      <c r="T220" s="5" t="s">
        <v>461</v>
      </c>
      <c r="U220" s="5" t="s">
        <v>436</v>
      </c>
    </row>
    <row r="221" spans="1:21" s="36" customFormat="1" ht="12" x14ac:dyDescent="0.3">
      <c r="A221" s="6" t="s">
        <v>474</v>
      </c>
      <c r="B221" s="6" t="s">
        <v>19</v>
      </c>
      <c r="C221" s="6">
        <v>59027644</v>
      </c>
      <c r="D221" s="6" t="s">
        <v>55</v>
      </c>
      <c r="E221" s="6" t="s">
        <v>475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>+NETWORKDAYS(H221,I221)</f>
        <v>9</v>
      </c>
      <c r="K221" s="17" t="s">
        <v>297</v>
      </c>
      <c r="L221" s="5" t="s">
        <v>298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>P221+O221</f>
        <v>2200000</v>
      </c>
      <c r="R221" s="7">
        <v>46100</v>
      </c>
      <c r="S221" s="16">
        <f>NETWORKDAYS(H221,R221)</f>
        <v>16</v>
      </c>
      <c r="T221" s="5" t="s">
        <v>461</v>
      </c>
      <c r="U221" s="5" t="s">
        <v>436</v>
      </c>
    </row>
    <row r="222" spans="1:21" s="36" customFormat="1" ht="12" x14ac:dyDescent="0.3">
      <c r="A222" s="1" t="s">
        <v>476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>+NETWORKDAYS(H222,I222)</f>
        <v>12</v>
      </c>
      <c r="K222" s="17" t="s">
        <v>297</v>
      </c>
      <c r="L222" s="5" t="s">
        <v>298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>P222+O222</f>
        <v>190000</v>
      </c>
      <c r="R222" s="7">
        <v>46100</v>
      </c>
      <c r="S222" s="16">
        <f>NETWORKDAYS(H222,R222)</f>
        <v>13</v>
      </c>
      <c r="T222" s="5" t="s">
        <v>461</v>
      </c>
      <c r="U222" s="5" t="s">
        <v>436</v>
      </c>
    </row>
    <row r="223" spans="1:21" s="36" customFormat="1" ht="12" x14ac:dyDescent="0.3">
      <c r="A223" s="1" t="s">
        <v>477</v>
      </c>
      <c r="B223" s="5" t="s">
        <v>30</v>
      </c>
      <c r="C223" s="1">
        <v>60063122</v>
      </c>
      <c r="D223" s="5" t="s">
        <v>453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>+NETWORKDAYS(H223,I223)</f>
        <v>3</v>
      </c>
      <c r="K223" s="17" t="s">
        <v>297</v>
      </c>
      <c r="L223" s="5" t="s">
        <v>298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>P223+O223</f>
        <v>190000</v>
      </c>
      <c r="R223" s="7">
        <v>46100</v>
      </c>
      <c r="S223" s="16">
        <f>NETWORKDAYS(H223,R223)</f>
        <v>3</v>
      </c>
      <c r="T223" s="5" t="s">
        <v>461</v>
      </c>
      <c r="U223" s="5" t="s">
        <v>436</v>
      </c>
    </row>
    <row r="224" spans="1:21" s="36" customFormat="1" ht="12" x14ac:dyDescent="0.3">
      <c r="A224" s="1" t="s">
        <v>265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>+NETWORKDAYS(H224,I224)</f>
        <v>56</v>
      </c>
      <c r="K224" s="17" t="s">
        <v>297</v>
      </c>
      <c r="L224" s="5" t="s">
        <v>304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>P224+O224</f>
        <v>190000</v>
      </c>
      <c r="R224" s="7">
        <v>46100</v>
      </c>
      <c r="S224" s="16">
        <f>NETWORKDAYS(H224,R224)</f>
        <v>101</v>
      </c>
      <c r="T224" s="5" t="s">
        <v>461</v>
      </c>
      <c r="U224" s="5" t="s">
        <v>436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468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>+NETWORKDAYS(H225,I225)</f>
        <v>29</v>
      </c>
      <c r="K225" s="17" t="s">
        <v>297</v>
      </c>
      <c r="L225" s="5" t="s">
        <v>304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>P225+O225</f>
        <v>1093997</v>
      </c>
      <c r="R225" s="7">
        <v>46099</v>
      </c>
      <c r="S225" s="16">
        <f>NETWORKDAYS(H225,R225)</f>
        <v>49</v>
      </c>
      <c r="T225" s="5" t="s">
        <v>461</v>
      </c>
      <c r="U225" s="5" t="s">
        <v>436</v>
      </c>
    </row>
    <row r="226" spans="1:21" s="36" customFormat="1" ht="12" x14ac:dyDescent="0.3">
      <c r="A226" s="6" t="s">
        <v>469</v>
      </c>
      <c r="B226" s="6" t="s">
        <v>19</v>
      </c>
      <c r="C226" s="1">
        <v>57771694</v>
      </c>
      <c r="D226" s="6" t="s">
        <v>197</v>
      </c>
      <c r="E226" s="6" t="s">
        <v>470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>+NETWORKDAYS(H226,I226)</f>
        <v>31</v>
      </c>
      <c r="K226" s="17" t="s">
        <v>297</v>
      </c>
      <c r="L226" s="5" t="s">
        <v>320</v>
      </c>
      <c r="M226" s="5" t="s">
        <v>24</v>
      </c>
      <c r="N226" s="6" t="s">
        <v>170</v>
      </c>
      <c r="O226" s="12">
        <v>400000</v>
      </c>
      <c r="P226" s="12">
        <v>1034117</v>
      </c>
      <c r="Q226" s="33">
        <f>P226+O226</f>
        <v>1434117</v>
      </c>
      <c r="R226" s="7">
        <v>46099</v>
      </c>
      <c r="S226" s="16">
        <f>NETWORKDAYS(H226,R226)</f>
        <v>31</v>
      </c>
      <c r="T226" s="5" t="s">
        <v>461</v>
      </c>
      <c r="U226" s="5" t="s">
        <v>436</v>
      </c>
    </row>
    <row r="227" spans="1:21" s="36" customFormat="1" ht="12" x14ac:dyDescent="0.3">
      <c r="A227" s="5" t="s">
        <v>459</v>
      </c>
      <c r="B227" s="5" t="s">
        <v>19</v>
      </c>
      <c r="C227" s="6">
        <v>57917222</v>
      </c>
      <c r="D227" s="5" t="s">
        <v>20</v>
      </c>
      <c r="E227" s="6" t="s">
        <v>460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>+NETWORKDAYS(H227,I227)</f>
        <v>28</v>
      </c>
      <c r="K227" s="17" t="s">
        <v>297</v>
      </c>
      <c r="L227" s="5" t="s">
        <v>298</v>
      </c>
      <c r="M227" s="5" t="s">
        <v>155</v>
      </c>
      <c r="N227" s="5" t="s">
        <v>28</v>
      </c>
      <c r="O227" s="33">
        <v>577056</v>
      </c>
      <c r="P227" s="33">
        <v>0</v>
      </c>
      <c r="Q227" s="33">
        <f>P227+O227</f>
        <v>577056</v>
      </c>
      <c r="R227" s="7">
        <v>46098</v>
      </c>
      <c r="S227" s="16">
        <f>NETWORKDAYS(H227,R227)</f>
        <v>28</v>
      </c>
      <c r="T227" s="5" t="s">
        <v>461</v>
      </c>
      <c r="U227" s="5" t="s">
        <v>436</v>
      </c>
    </row>
    <row r="228" spans="1:21" s="36" customFormat="1" ht="12" x14ac:dyDescent="0.3">
      <c r="A228" s="6" t="s">
        <v>462</v>
      </c>
      <c r="B228" s="6" t="s">
        <v>43</v>
      </c>
      <c r="C228" s="6">
        <v>58809676</v>
      </c>
      <c r="D228" s="6" t="s">
        <v>67</v>
      </c>
      <c r="E228" s="6" t="s">
        <v>463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>+NETWORKDAYS(H228,I228)</f>
        <v>17</v>
      </c>
      <c r="K228" s="17" t="s">
        <v>297</v>
      </c>
      <c r="L228" s="5" t="s">
        <v>298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>P228+O228</f>
        <v>2462000</v>
      </c>
      <c r="R228" s="7">
        <v>46098</v>
      </c>
      <c r="S228" s="16">
        <f>NETWORKDAYS(H228,R228)</f>
        <v>17</v>
      </c>
      <c r="T228" s="5" t="s">
        <v>461</v>
      </c>
      <c r="U228" s="5" t="s">
        <v>437</v>
      </c>
    </row>
    <row r="229" spans="1:21" s="36" customFormat="1" ht="12" x14ac:dyDescent="0.3">
      <c r="A229" s="6" t="s">
        <v>464</v>
      </c>
      <c r="B229" s="6" t="s">
        <v>43</v>
      </c>
      <c r="C229" s="6">
        <v>58167492</v>
      </c>
      <c r="D229" s="6" t="s">
        <v>144</v>
      </c>
      <c r="E229" s="6" t="s">
        <v>465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>+NETWORKDAYS(H229,I229)</f>
        <v>19</v>
      </c>
      <c r="K229" s="17" t="s">
        <v>297</v>
      </c>
      <c r="L229" s="5" t="s">
        <v>298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>P229+O229</f>
        <v>1000000</v>
      </c>
      <c r="R229" s="7">
        <v>46098</v>
      </c>
      <c r="S229" s="16">
        <f>NETWORKDAYS(H229,R229)</f>
        <v>23</v>
      </c>
      <c r="T229" s="5" t="s">
        <v>461</v>
      </c>
      <c r="U229" s="5" t="s">
        <v>436</v>
      </c>
    </row>
    <row r="230" spans="1:21" s="36" customFormat="1" ht="12" x14ac:dyDescent="0.3">
      <c r="A230" s="1" t="s">
        <v>466</v>
      </c>
      <c r="B230" s="5" t="s">
        <v>30</v>
      </c>
      <c r="C230" s="1">
        <v>58476260</v>
      </c>
      <c r="D230" s="5" t="s">
        <v>467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>+NETWORKDAYS(H230,I230)</f>
        <v>21</v>
      </c>
      <c r="K230" s="5" t="s">
        <v>297</v>
      </c>
      <c r="L230" s="5" t="s">
        <v>320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>P230+O230</f>
        <v>210000</v>
      </c>
      <c r="R230" s="7">
        <v>46098</v>
      </c>
      <c r="S230" s="16">
        <f>NETWORKDAYS(H230,R230)</f>
        <v>21</v>
      </c>
      <c r="T230" s="5" t="s">
        <v>461</v>
      </c>
      <c r="U230" s="5" t="s">
        <v>436</v>
      </c>
    </row>
    <row r="231" spans="1:21" s="36" customFormat="1" ht="12" x14ac:dyDescent="0.3">
      <c r="A231" s="6" t="s">
        <v>444</v>
      </c>
      <c r="B231" s="6" t="s">
        <v>19</v>
      </c>
      <c r="C231" s="6">
        <v>52797879</v>
      </c>
      <c r="D231" s="6" t="s">
        <v>171</v>
      </c>
      <c r="E231" s="6" t="s">
        <v>457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>+NETWORKDAYS(H231,I231)</f>
        <v>14</v>
      </c>
      <c r="K231" s="17" t="s">
        <v>297</v>
      </c>
      <c r="L231" s="5" t="s">
        <v>298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>P231+O231</f>
        <v>0</v>
      </c>
      <c r="R231" s="7">
        <v>46097</v>
      </c>
      <c r="S231" s="16">
        <f>NETWORKDAYS(H231,R231)</f>
        <v>98</v>
      </c>
      <c r="T231" s="5" t="s">
        <v>370</v>
      </c>
      <c r="U231" s="5" t="s">
        <v>437</v>
      </c>
    </row>
    <row r="232" spans="1:21" x14ac:dyDescent="0.35">
      <c r="A232" s="6" t="s">
        <v>444</v>
      </c>
      <c r="B232" s="6" t="s">
        <v>19</v>
      </c>
      <c r="C232" s="6">
        <v>52797893</v>
      </c>
      <c r="D232" s="6" t="s">
        <v>171</v>
      </c>
      <c r="E232" s="6" t="s">
        <v>458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>+NETWORKDAYS(H232,I232)</f>
        <v>14</v>
      </c>
      <c r="K232" s="17" t="s">
        <v>297</v>
      </c>
      <c r="L232" s="5" t="s">
        <v>298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>P232+O232</f>
        <v>0</v>
      </c>
      <c r="R232" s="7">
        <v>46097</v>
      </c>
      <c r="S232" s="16">
        <f>NETWORKDAYS(H232,R232)</f>
        <v>98</v>
      </c>
      <c r="T232" s="5" t="s">
        <v>370</v>
      </c>
      <c r="U232" s="5" t="s">
        <v>437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451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>+NETWORKDAYS(H233,I233)</f>
        <v>22</v>
      </c>
      <c r="K233" s="6" t="s">
        <v>297</v>
      </c>
      <c r="L233" s="6" t="s">
        <v>298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>NETWORKDAYS(H233,R233)</f>
        <v>23</v>
      </c>
      <c r="T233" s="6" t="s">
        <v>370</v>
      </c>
      <c r="U233" s="5" t="s">
        <v>436</v>
      </c>
    </row>
    <row r="234" spans="1:21" x14ac:dyDescent="0.35">
      <c r="A234" s="6" t="s">
        <v>452</v>
      </c>
      <c r="B234" s="6" t="s">
        <v>30</v>
      </c>
      <c r="C234" s="6">
        <v>58030822</v>
      </c>
      <c r="D234" s="6" t="s">
        <v>453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>+NETWORKDAYS(H234,I234)</f>
        <v>25</v>
      </c>
      <c r="K234" s="6" t="s">
        <v>297</v>
      </c>
      <c r="L234" s="6" t="s">
        <v>298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>NETWORKDAYS(H234,R234)</f>
        <v>25</v>
      </c>
      <c r="T234" s="6" t="s">
        <v>370</v>
      </c>
      <c r="U234" s="5" t="s">
        <v>436</v>
      </c>
    </row>
    <row r="235" spans="1:21" x14ac:dyDescent="0.35">
      <c r="A235" s="6" t="s">
        <v>454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>+NETWORKDAYS(H235,I235)</f>
        <v>18</v>
      </c>
      <c r="K235" s="6" t="s">
        <v>297</v>
      </c>
      <c r="L235" s="6" t="s">
        <v>298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>NETWORKDAYS(H235,R235)</f>
        <v>18</v>
      </c>
      <c r="T235" s="6" t="s">
        <v>370</v>
      </c>
      <c r="U235" s="5" t="s">
        <v>436</v>
      </c>
    </row>
    <row r="236" spans="1:21" x14ac:dyDescent="0.35">
      <c r="A236" s="6" t="s">
        <v>455</v>
      </c>
      <c r="B236" s="6" t="s">
        <v>19</v>
      </c>
      <c r="C236" s="6">
        <v>57157406</v>
      </c>
      <c r="D236" s="6" t="s">
        <v>171</v>
      </c>
      <c r="E236" s="6" t="s">
        <v>456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>+NETWORKDAYS(H236,I236)</f>
        <v>7</v>
      </c>
      <c r="K236" s="17" t="s">
        <v>297</v>
      </c>
      <c r="L236" s="5" t="s">
        <v>298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>NETWORKDAYS(H236,R236)</f>
        <v>36</v>
      </c>
      <c r="T236" s="5" t="s">
        <v>370</v>
      </c>
      <c r="U236" s="5" t="s">
        <v>437</v>
      </c>
    </row>
    <row r="237" spans="1:21" x14ac:dyDescent="0.35">
      <c r="A237" s="6" t="s">
        <v>438</v>
      </c>
      <c r="B237" s="6" t="s">
        <v>19</v>
      </c>
      <c r="C237" s="6">
        <v>54466861</v>
      </c>
      <c r="D237" s="6" t="s">
        <v>439</v>
      </c>
      <c r="E237" s="6" t="s">
        <v>440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>+NETWORKDAYS(H237,I237)</f>
        <v>63</v>
      </c>
      <c r="K237" s="6" t="s">
        <v>297</v>
      </c>
      <c r="L237" s="6" t="s">
        <v>320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>NETWORKDAYS(H237,R237)</f>
        <v>73</v>
      </c>
      <c r="T237" s="6" t="s">
        <v>370</v>
      </c>
      <c r="U237" s="5" t="s">
        <v>437</v>
      </c>
    </row>
    <row r="238" spans="1:21" x14ac:dyDescent="0.35">
      <c r="A238" s="6" t="s">
        <v>425</v>
      </c>
      <c r="B238" s="6" t="s">
        <v>19</v>
      </c>
      <c r="C238" s="6">
        <v>58163711</v>
      </c>
      <c r="D238" s="6" t="s">
        <v>122</v>
      </c>
      <c r="E238" s="6" t="s">
        <v>441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>+NETWORKDAYS(H238,I238)</f>
        <v>19</v>
      </c>
      <c r="K238" s="6" t="s">
        <v>297</v>
      </c>
      <c r="L238" s="6" t="s">
        <v>298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>NETWORKDAYS(H238,R238)</f>
        <v>20</v>
      </c>
      <c r="T238" s="6" t="s">
        <v>370</v>
      </c>
      <c r="U238" s="5" t="s">
        <v>437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442</v>
      </c>
      <c r="E239" s="6" t="s">
        <v>443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>+NETWORKDAYS(H239,I239)</f>
        <v>42</v>
      </c>
      <c r="K239" s="6" t="s">
        <v>297</v>
      </c>
      <c r="L239" s="6" t="s">
        <v>298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>NETWORKDAYS(H239,R239)</f>
        <v>43</v>
      </c>
      <c r="T239" s="6" t="s">
        <v>370</v>
      </c>
      <c r="U239" s="5" t="s">
        <v>436</v>
      </c>
    </row>
    <row r="240" spans="1:21" x14ac:dyDescent="0.35">
      <c r="A240" s="6" t="s">
        <v>444</v>
      </c>
      <c r="B240" s="6" t="s">
        <v>43</v>
      </c>
      <c r="C240" s="6">
        <v>52799560</v>
      </c>
      <c r="D240" s="6" t="s">
        <v>171</v>
      </c>
      <c r="E240" s="6" t="s">
        <v>445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>+NETWORKDAYS(H240,I240)</f>
        <v>14</v>
      </c>
      <c r="K240" s="6" t="s">
        <v>297</v>
      </c>
      <c r="L240" s="6" t="s">
        <v>298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>NETWORKDAYS(H240,R240)</f>
        <v>96</v>
      </c>
      <c r="T240" s="6" t="s">
        <v>370</v>
      </c>
      <c r="U240" s="5" t="s">
        <v>437</v>
      </c>
    </row>
    <row r="241" spans="1:21" x14ac:dyDescent="0.35">
      <c r="A241" s="6" t="s">
        <v>444</v>
      </c>
      <c r="B241" s="6" t="s">
        <v>43</v>
      </c>
      <c r="C241" s="6">
        <v>52799573</v>
      </c>
      <c r="D241" s="6" t="s">
        <v>171</v>
      </c>
      <c r="E241" s="6" t="s">
        <v>446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>+NETWORKDAYS(H241,I241)</f>
        <v>14</v>
      </c>
      <c r="K241" s="6" t="s">
        <v>297</v>
      </c>
      <c r="L241" s="6" t="s">
        <v>298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>NETWORKDAYS(H241,R241)</f>
        <v>96</v>
      </c>
      <c r="T241" s="6" t="s">
        <v>370</v>
      </c>
      <c r="U241" s="5" t="s">
        <v>437</v>
      </c>
    </row>
    <row r="242" spans="1:21" x14ac:dyDescent="0.35">
      <c r="A242" s="6" t="s">
        <v>449</v>
      </c>
      <c r="B242" s="6" t="s">
        <v>43</v>
      </c>
      <c r="C242" s="6">
        <v>52808194</v>
      </c>
      <c r="D242" s="6" t="s">
        <v>197</v>
      </c>
      <c r="E242" s="6" t="s">
        <v>450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>+NETWORKDAYS(H242,I242)</f>
        <v>55</v>
      </c>
      <c r="K242" s="6" t="s">
        <v>297</v>
      </c>
      <c r="L242" s="6" t="s">
        <v>320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>NETWORKDAYS(H242,R242)</f>
        <v>96</v>
      </c>
      <c r="T242" s="6" t="s">
        <v>370</v>
      </c>
      <c r="U242" s="5" t="s">
        <v>437</v>
      </c>
    </row>
    <row r="243" spans="1:21" x14ac:dyDescent="0.35">
      <c r="A243" s="6" t="s">
        <v>423</v>
      </c>
      <c r="B243" s="6" t="s">
        <v>43</v>
      </c>
      <c r="C243" s="6">
        <v>50732535</v>
      </c>
      <c r="D243" s="6" t="s">
        <v>20</v>
      </c>
      <c r="E243" s="6" t="s">
        <v>424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>+NETWORKDAYS(H243,I243)</f>
        <v>98</v>
      </c>
      <c r="K243" s="6" t="s">
        <v>297</v>
      </c>
      <c r="L243" s="6" t="s">
        <v>320</v>
      </c>
      <c r="M243" s="6" t="s">
        <v>351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>NETWORKDAYS(H243,R243)</f>
        <v>124</v>
      </c>
      <c r="T243" s="5" t="s">
        <v>370</v>
      </c>
      <c r="U243" s="6" t="s">
        <v>437</v>
      </c>
    </row>
    <row r="244" spans="1:21" x14ac:dyDescent="0.35">
      <c r="A244" s="6" t="s">
        <v>425</v>
      </c>
      <c r="B244" s="6" t="s">
        <v>19</v>
      </c>
      <c r="C244" s="6">
        <v>58205267</v>
      </c>
      <c r="D244" s="6" t="s">
        <v>426</v>
      </c>
      <c r="E244" s="6" t="s">
        <v>427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>+NETWORKDAYS(H244,I244)</f>
        <v>15</v>
      </c>
      <c r="K244" s="6" t="s">
        <v>297</v>
      </c>
      <c r="L244" s="6" t="s">
        <v>298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>NETWORKDAYS(H244,R244)</f>
        <v>18</v>
      </c>
      <c r="T244" s="5" t="s">
        <v>370</v>
      </c>
      <c r="U244" s="6" t="s">
        <v>437</v>
      </c>
    </row>
    <row r="245" spans="1:21" x14ac:dyDescent="0.35">
      <c r="A245" s="6" t="s">
        <v>425</v>
      </c>
      <c r="B245" s="6" t="s">
        <v>19</v>
      </c>
      <c r="C245" s="6">
        <v>58173859</v>
      </c>
      <c r="D245" s="6" t="s">
        <v>428</v>
      </c>
      <c r="E245" s="6" t="s">
        <v>429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>+NETWORKDAYS(H245,I245)</f>
        <v>16</v>
      </c>
      <c r="K245" s="6" t="s">
        <v>297</v>
      </c>
      <c r="L245" s="6" t="s">
        <v>298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>NETWORKDAYS(H245,R245)</f>
        <v>19</v>
      </c>
      <c r="T245" s="5" t="s">
        <v>370</v>
      </c>
      <c r="U245" s="6" t="s">
        <v>437</v>
      </c>
    </row>
    <row r="246" spans="1:21" x14ac:dyDescent="0.35">
      <c r="A246" s="6" t="s">
        <v>430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>+NETWORKDAYS(H246,I246)</f>
        <v>14</v>
      </c>
      <c r="K246" s="6" t="s">
        <v>297</v>
      </c>
      <c r="L246" s="6" t="s">
        <v>298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>NETWORKDAYS(H246,R246)</f>
        <v>14</v>
      </c>
      <c r="T246" s="5" t="s">
        <v>370</v>
      </c>
      <c r="U246" s="6" t="s">
        <v>437</v>
      </c>
    </row>
    <row r="247" spans="1:21" x14ac:dyDescent="0.35">
      <c r="A247" s="6" t="s">
        <v>431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>+NETWORKDAYS(H247,I247)</f>
        <v>19</v>
      </c>
      <c r="K247" s="6" t="s">
        <v>297</v>
      </c>
      <c r="L247" s="6" t="s">
        <v>298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>NETWORKDAYS(H247,R247)</f>
        <v>19</v>
      </c>
      <c r="T247" s="5" t="s">
        <v>370</v>
      </c>
      <c r="U247" s="6" t="s">
        <v>437</v>
      </c>
    </row>
    <row r="248" spans="1:21" x14ac:dyDescent="0.35">
      <c r="A248" s="6" t="s">
        <v>432</v>
      </c>
      <c r="B248" s="6" t="s">
        <v>43</v>
      </c>
      <c r="C248" s="6">
        <v>58853633</v>
      </c>
      <c r="D248" s="6" t="s">
        <v>433</v>
      </c>
      <c r="E248" s="6" t="s">
        <v>434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>+NETWORKDAYS(H248,I248)</f>
        <v>10</v>
      </c>
      <c r="K248" s="6" t="s">
        <v>297</v>
      </c>
      <c r="L248" s="6" t="s">
        <v>298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>NETWORKDAYS(H248,R248)</f>
        <v>10</v>
      </c>
      <c r="T248" s="5" t="s">
        <v>370</v>
      </c>
      <c r="U248" s="6" t="s">
        <v>437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447</v>
      </c>
      <c r="E249" s="6" t="s">
        <v>448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>+NETWORKDAYS(H249,I249)</f>
        <v>40</v>
      </c>
      <c r="K249" s="6" t="s">
        <v>297</v>
      </c>
      <c r="L249" s="6" t="s">
        <v>298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>NETWORKDAYS(H249,R249)</f>
        <v>42</v>
      </c>
      <c r="T249" s="6" t="s">
        <v>370</v>
      </c>
      <c r="U249" s="5" t="s">
        <v>436</v>
      </c>
    </row>
    <row r="250" spans="1:21" x14ac:dyDescent="0.35">
      <c r="A250" s="6" t="s">
        <v>401</v>
      </c>
      <c r="B250" s="6" t="s">
        <v>43</v>
      </c>
      <c r="C250" s="6">
        <v>57900967</v>
      </c>
      <c r="D250" s="6" t="s">
        <v>402</v>
      </c>
      <c r="E250" s="6" t="s">
        <v>403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>+NETWORKDAYS(H250,I250)</f>
        <v>15</v>
      </c>
      <c r="K250" s="5" t="s">
        <v>297</v>
      </c>
      <c r="L250" s="5" t="s">
        <v>298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>P250+O250</f>
        <v>3596622</v>
      </c>
      <c r="R250" s="7">
        <v>46091</v>
      </c>
      <c r="S250" s="16">
        <f>NETWORKDAYS(H250,R250)</f>
        <v>23</v>
      </c>
      <c r="T250" s="5" t="s">
        <v>370</v>
      </c>
      <c r="U250" s="6" t="s">
        <v>437</v>
      </c>
    </row>
    <row r="251" spans="1:21" x14ac:dyDescent="0.35">
      <c r="A251" s="14" t="s">
        <v>404</v>
      </c>
      <c r="B251" s="6" t="s">
        <v>43</v>
      </c>
      <c r="C251" s="6">
        <v>58136263</v>
      </c>
      <c r="D251" s="6" t="s">
        <v>405</v>
      </c>
      <c r="E251" s="6" t="s">
        <v>406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>+NETWORKDAYS(H251,I251)</f>
        <v>11</v>
      </c>
      <c r="K251" s="17" t="s">
        <v>297</v>
      </c>
      <c r="L251" s="5" t="s">
        <v>298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>P251+O251</f>
        <v>0</v>
      </c>
      <c r="R251" s="7">
        <v>46091</v>
      </c>
      <c r="S251" s="16">
        <f>NETWORKDAYS(H251,R251)</f>
        <v>15</v>
      </c>
      <c r="T251" s="5" t="s">
        <v>370</v>
      </c>
      <c r="U251" s="6" t="s">
        <v>437</v>
      </c>
    </row>
    <row r="252" spans="1:21" x14ac:dyDescent="0.35">
      <c r="A252" s="6" t="s">
        <v>407</v>
      </c>
      <c r="B252" s="6" t="s">
        <v>19</v>
      </c>
      <c r="C252" s="6">
        <v>59207750</v>
      </c>
      <c r="D252" s="6" t="s">
        <v>277</v>
      </c>
      <c r="E252" s="6" t="s">
        <v>408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>+NETWORKDAYS(H252,I252)</f>
        <v>7</v>
      </c>
      <c r="K252" s="5" t="s">
        <v>297</v>
      </c>
      <c r="L252" s="5" t="s">
        <v>298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>P252+O252</f>
        <v>1590836</v>
      </c>
      <c r="R252" s="7">
        <v>46091</v>
      </c>
      <c r="S252" s="16">
        <f>NETWORKDAYS(H252,R252)</f>
        <v>7</v>
      </c>
      <c r="T252" s="5" t="s">
        <v>370</v>
      </c>
      <c r="U252" s="6" t="s">
        <v>437</v>
      </c>
    </row>
    <row r="253" spans="1:21" x14ac:dyDescent="0.35">
      <c r="A253" s="6" t="s">
        <v>409</v>
      </c>
      <c r="B253" s="5" t="s">
        <v>19</v>
      </c>
      <c r="C253" s="5">
        <v>57111758</v>
      </c>
      <c r="D253" s="5" t="s">
        <v>171</v>
      </c>
      <c r="E253" s="6" t="s">
        <v>410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>+NETWORKDAYS(H253,I253)</f>
        <v>12</v>
      </c>
      <c r="K253" s="17" t="s">
        <v>297</v>
      </c>
      <c r="L253" s="5" t="s">
        <v>298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>P253+O253</f>
        <v>0</v>
      </c>
      <c r="R253" s="7">
        <v>46091</v>
      </c>
      <c r="S253" s="16">
        <f>NETWORKDAYS(H253,R253)</f>
        <v>34</v>
      </c>
      <c r="T253" s="5" t="s">
        <v>370</v>
      </c>
      <c r="U253" s="6" t="s">
        <v>437</v>
      </c>
    </row>
    <row r="254" spans="1:21" x14ac:dyDescent="0.35">
      <c r="A254" s="6" t="s">
        <v>409</v>
      </c>
      <c r="B254" s="5" t="s">
        <v>19</v>
      </c>
      <c r="C254" s="6">
        <v>57111764</v>
      </c>
      <c r="D254" s="5" t="s">
        <v>171</v>
      </c>
      <c r="E254" s="6" t="s">
        <v>411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>+NETWORKDAYS(H254,I254)</f>
        <v>12</v>
      </c>
      <c r="K254" s="17" t="s">
        <v>297</v>
      </c>
      <c r="L254" s="5" t="s">
        <v>298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>P254+O254</f>
        <v>0</v>
      </c>
      <c r="R254" s="7">
        <v>46091</v>
      </c>
      <c r="S254" s="16">
        <f>NETWORKDAYS(H254,R254)</f>
        <v>34</v>
      </c>
      <c r="T254" s="5" t="s">
        <v>370</v>
      </c>
      <c r="U254" s="6" t="s">
        <v>437</v>
      </c>
    </row>
    <row r="255" spans="1:21" x14ac:dyDescent="0.35">
      <c r="A255" s="1" t="s">
        <v>412</v>
      </c>
      <c r="B255" s="5" t="s">
        <v>30</v>
      </c>
      <c r="C255" s="1">
        <v>59019541</v>
      </c>
      <c r="D255" s="5" t="s">
        <v>413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>+NETWORKDAYS(H255,I255)</f>
        <v>9</v>
      </c>
      <c r="K255" s="5" t="s">
        <v>297</v>
      </c>
      <c r="L255" s="5" t="s">
        <v>298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>P255+O255</f>
        <v>210000</v>
      </c>
      <c r="R255" s="7">
        <v>46091</v>
      </c>
      <c r="S255" s="16">
        <f>NETWORKDAYS(H255,R255)</f>
        <v>9</v>
      </c>
      <c r="T255" s="5" t="s">
        <v>370</v>
      </c>
      <c r="U255" s="6" t="s">
        <v>437</v>
      </c>
    </row>
    <row r="256" spans="1:21" x14ac:dyDescent="0.35">
      <c r="A256" s="3" t="s">
        <v>414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>+NETWORKDAYS(H256,I256)</f>
        <v>14</v>
      </c>
      <c r="K256" s="5" t="s">
        <v>297</v>
      </c>
      <c r="L256" s="5" t="s">
        <v>298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>P256+O256</f>
        <v>210000</v>
      </c>
      <c r="R256" s="7">
        <v>46091</v>
      </c>
      <c r="S256" s="16">
        <f>NETWORKDAYS(H256,R256)</f>
        <v>64</v>
      </c>
      <c r="T256" s="5" t="s">
        <v>370</v>
      </c>
      <c r="U256" s="6" t="s">
        <v>437</v>
      </c>
    </row>
    <row r="257" spans="1:21" x14ac:dyDescent="0.35">
      <c r="A257" s="6" t="s">
        <v>415</v>
      </c>
      <c r="B257" s="6" t="s">
        <v>43</v>
      </c>
      <c r="C257" s="6">
        <v>47899159</v>
      </c>
      <c r="D257" s="6" t="s">
        <v>416</v>
      </c>
      <c r="E257" s="6" t="s">
        <v>417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>+NETWORKDAYS(H257,I257)</f>
        <v>138</v>
      </c>
      <c r="K257" s="17" t="s">
        <v>297</v>
      </c>
      <c r="L257" s="5" t="s">
        <v>298</v>
      </c>
      <c r="M257" s="6" t="s">
        <v>418</v>
      </c>
      <c r="N257" s="6" t="s">
        <v>193</v>
      </c>
      <c r="O257" s="12">
        <v>0</v>
      </c>
      <c r="P257" s="12">
        <v>0</v>
      </c>
      <c r="Q257" s="30">
        <f>P257+O257</f>
        <v>0</v>
      </c>
      <c r="R257" s="7">
        <v>46091</v>
      </c>
      <c r="S257" s="16">
        <f>NETWORKDAYS(H257,R257)</f>
        <v>164</v>
      </c>
      <c r="T257" s="5" t="s">
        <v>370</v>
      </c>
      <c r="U257" s="6" t="s">
        <v>437</v>
      </c>
    </row>
    <row r="258" spans="1:21" x14ac:dyDescent="0.35">
      <c r="A258" s="6" t="s">
        <v>415</v>
      </c>
      <c r="B258" s="6" t="s">
        <v>43</v>
      </c>
      <c r="C258" s="14">
        <v>48425163</v>
      </c>
      <c r="D258" s="5" t="s">
        <v>419</v>
      </c>
      <c r="E258" s="6" t="s">
        <v>420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>+NETWORKDAYS(H258,I258)</f>
        <v>130</v>
      </c>
      <c r="K258" s="17" t="s">
        <v>297</v>
      </c>
      <c r="L258" s="5" t="s">
        <v>298</v>
      </c>
      <c r="M258" s="6" t="s">
        <v>418</v>
      </c>
      <c r="N258" s="6" t="s">
        <v>193</v>
      </c>
      <c r="O258" s="12">
        <v>0</v>
      </c>
      <c r="P258" s="12">
        <v>0</v>
      </c>
      <c r="Q258" s="30">
        <f>P258+O258</f>
        <v>0</v>
      </c>
      <c r="R258" s="7">
        <v>46091</v>
      </c>
      <c r="S258" s="16">
        <f>NETWORKDAYS(H258,R258)</f>
        <v>152</v>
      </c>
      <c r="T258" s="5" t="s">
        <v>370</v>
      </c>
      <c r="U258" s="6" t="s">
        <v>437</v>
      </c>
    </row>
    <row r="259" spans="1:21" x14ac:dyDescent="0.35">
      <c r="A259" s="6" t="s">
        <v>421</v>
      </c>
      <c r="B259" s="6" t="s">
        <v>43</v>
      </c>
      <c r="C259" s="6">
        <v>53934458</v>
      </c>
      <c r="D259" s="6" t="s">
        <v>277</v>
      </c>
      <c r="E259" s="6" t="s">
        <v>422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>+NETWORKDAYS(H259,I259)</f>
        <v>49</v>
      </c>
      <c r="K259" s="17" t="s">
        <v>346</v>
      </c>
      <c r="L259" s="5" t="s">
        <v>298</v>
      </c>
      <c r="M259" s="6" t="s">
        <v>418</v>
      </c>
      <c r="N259" s="6" t="s">
        <v>117</v>
      </c>
      <c r="O259" s="33">
        <v>0</v>
      </c>
      <c r="P259" s="33">
        <v>0</v>
      </c>
      <c r="Q259" s="30">
        <f>P259+O259</f>
        <v>0</v>
      </c>
      <c r="R259" s="7">
        <v>46091</v>
      </c>
      <c r="S259" s="16">
        <f>NETWORKDAYS(H259,R259)</f>
        <v>69</v>
      </c>
      <c r="T259" s="5" t="s">
        <v>370</v>
      </c>
      <c r="U259" s="6" t="s">
        <v>437</v>
      </c>
    </row>
    <row r="260" spans="1:21" x14ac:dyDescent="0.35">
      <c r="A260" s="6" t="s">
        <v>367</v>
      </c>
      <c r="B260" s="6" t="s">
        <v>43</v>
      </c>
      <c r="C260" s="6">
        <v>54968651</v>
      </c>
      <c r="D260" s="6" t="s">
        <v>368</v>
      </c>
      <c r="E260" s="6" t="s">
        <v>369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>+NETWORKDAYS(H260,I260)</f>
        <v>53</v>
      </c>
      <c r="K260" s="17" t="s">
        <v>346</v>
      </c>
      <c r="L260" s="5" t="s">
        <v>320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>P260+O260</f>
        <v>2700000</v>
      </c>
      <c r="R260" s="7">
        <v>46090</v>
      </c>
      <c r="S260" s="16">
        <f>NETWORKDAYS(H260,R260)</f>
        <v>63</v>
      </c>
      <c r="T260" s="5" t="s">
        <v>370</v>
      </c>
      <c r="U260" s="6" t="s">
        <v>437</v>
      </c>
    </row>
    <row r="261" spans="1:21" x14ac:dyDescent="0.35">
      <c r="A261" s="6" t="s">
        <v>367</v>
      </c>
      <c r="B261" s="6" t="s">
        <v>43</v>
      </c>
      <c r="C261" s="6">
        <v>54971775</v>
      </c>
      <c r="D261" s="6" t="s">
        <v>371</v>
      </c>
      <c r="E261" s="6" t="s">
        <v>372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>+NETWORKDAYS(H261,I261)</f>
        <v>40</v>
      </c>
      <c r="K261" s="17" t="s">
        <v>297</v>
      </c>
      <c r="L261" s="5" t="s">
        <v>320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>P261+O261</f>
        <v>2700000</v>
      </c>
      <c r="R261" s="7">
        <v>46090</v>
      </c>
      <c r="S261" s="16">
        <f>NETWORKDAYS(H261,R261)</f>
        <v>63</v>
      </c>
      <c r="T261" s="5" t="s">
        <v>370</v>
      </c>
      <c r="U261" s="6" t="s">
        <v>437</v>
      </c>
    </row>
    <row r="262" spans="1:21" x14ac:dyDescent="0.35">
      <c r="A262" s="6" t="s">
        <v>367</v>
      </c>
      <c r="B262" s="6" t="s">
        <v>43</v>
      </c>
      <c r="C262" s="6">
        <v>54973833</v>
      </c>
      <c r="D262" s="6" t="s">
        <v>373</v>
      </c>
      <c r="E262" s="6" t="s">
        <v>374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>+NETWORKDAYS(H262,I262)</f>
        <v>14</v>
      </c>
      <c r="K262" s="17" t="s">
        <v>297</v>
      </c>
      <c r="L262" s="5" t="s">
        <v>298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>P262+O262</f>
        <v>1950000</v>
      </c>
      <c r="R262" s="7">
        <v>46090</v>
      </c>
      <c r="S262" s="16">
        <f>NETWORKDAYS(H262,R262)</f>
        <v>63</v>
      </c>
      <c r="T262" s="5" t="s">
        <v>370</v>
      </c>
      <c r="U262" s="6" t="s">
        <v>437</v>
      </c>
    </row>
    <row r="263" spans="1:21" x14ac:dyDescent="0.35">
      <c r="A263" s="6" t="s">
        <v>367</v>
      </c>
      <c r="B263" s="6" t="s">
        <v>43</v>
      </c>
      <c r="C263" s="6">
        <v>54980338</v>
      </c>
      <c r="D263" s="6" t="s">
        <v>375</v>
      </c>
      <c r="E263" s="6" t="s">
        <v>376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>+NETWORKDAYS(H263,I263)</f>
        <v>17</v>
      </c>
      <c r="K263" s="17" t="s">
        <v>297</v>
      </c>
      <c r="L263" s="5" t="s">
        <v>298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>P263+O263</f>
        <v>1800000</v>
      </c>
      <c r="R263" s="7">
        <v>46090</v>
      </c>
      <c r="S263" s="16">
        <f>NETWORKDAYS(H263,R263)</f>
        <v>63</v>
      </c>
      <c r="T263" s="5" t="s">
        <v>370</v>
      </c>
      <c r="U263" s="6" t="s">
        <v>437</v>
      </c>
    </row>
    <row r="264" spans="1:21" x14ac:dyDescent="0.35">
      <c r="A264" s="6" t="s">
        <v>367</v>
      </c>
      <c r="B264" s="6" t="s">
        <v>43</v>
      </c>
      <c r="C264" s="6">
        <v>55103426</v>
      </c>
      <c r="D264" s="6" t="s">
        <v>377</v>
      </c>
      <c r="E264" s="6" t="s">
        <v>378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>+NETWORKDAYS(H264,I264)</f>
        <v>27</v>
      </c>
      <c r="K264" s="17" t="s">
        <v>346</v>
      </c>
      <c r="L264" s="5" t="s">
        <v>298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>P264+O264</f>
        <v>1800000</v>
      </c>
      <c r="R264" s="7">
        <v>46090</v>
      </c>
      <c r="S264" s="16">
        <f>NETWORKDAYS(H264,R264)</f>
        <v>61</v>
      </c>
      <c r="T264" s="5" t="s">
        <v>370</v>
      </c>
      <c r="U264" s="6" t="s">
        <v>437</v>
      </c>
    </row>
    <row r="265" spans="1:21" x14ac:dyDescent="0.35">
      <c r="A265" s="6" t="s">
        <v>367</v>
      </c>
      <c r="B265" s="6" t="s">
        <v>43</v>
      </c>
      <c r="C265" s="6">
        <v>54979384</v>
      </c>
      <c r="D265" s="6" t="s">
        <v>379</v>
      </c>
      <c r="E265" s="6" t="s">
        <v>380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>+NETWORKDAYS(H265,I265)</f>
        <v>46</v>
      </c>
      <c r="K265" s="17" t="s">
        <v>297</v>
      </c>
      <c r="L265" s="5" t="s">
        <v>320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>P265+O265</f>
        <v>1550000</v>
      </c>
      <c r="R265" s="7">
        <v>46090</v>
      </c>
      <c r="S265" s="16">
        <f>NETWORKDAYS(H265,R265)</f>
        <v>63</v>
      </c>
      <c r="T265" s="5" t="s">
        <v>370</v>
      </c>
      <c r="U265" s="6" t="s">
        <v>437</v>
      </c>
    </row>
    <row r="266" spans="1:21" x14ac:dyDescent="0.35">
      <c r="A266" s="6" t="s">
        <v>367</v>
      </c>
      <c r="B266" s="6" t="s">
        <v>43</v>
      </c>
      <c r="C266" s="6">
        <v>54979901</v>
      </c>
      <c r="D266" s="6" t="s">
        <v>381</v>
      </c>
      <c r="E266" s="6" t="s">
        <v>382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>+NETWORKDAYS(H266,I266)</f>
        <v>25</v>
      </c>
      <c r="K266" s="17" t="s">
        <v>346</v>
      </c>
      <c r="L266" s="5" t="s">
        <v>298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>P266+O266</f>
        <v>1800000</v>
      </c>
      <c r="R266" s="7">
        <v>46090</v>
      </c>
      <c r="S266" s="16">
        <f>NETWORKDAYS(H266,R266)</f>
        <v>63</v>
      </c>
      <c r="T266" s="5" t="s">
        <v>370</v>
      </c>
      <c r="U266" s="6" t="s">
        <v>437</v>
      </c>
    </row>
    <row r="267" spans="1:21" x14ac:dyDescent="0.35">
      <c r="A267" s="6" t="s">
        <v>367</v>
      </c>
      <c r="B267" s="6" t="s">
        <v>43</v>
      </c>
      <c r="C267" s="6">
        <v>54981048</v>
      </c>
      <c r="D267" s="6" t="s">
        <v>383</v>
      </c>
      <c r="E267" s="5" t="s">
        <v>384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>+NETWORKDAYS(H267,I267)</f>
        <v>33</v>
      </c>
      <c r="K267" s="17" t="s">
        <v>346</v>
      </c>
      <c r="L267" s="5" t="s">
        <v>320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>P267+O267</f>
        <v>1800000</v>
      </c>
      <c r="R267" s="7">
        <v>46090</v>
      </c>
      <c r="S267" s="16">
        <f>NETWORKDAYS(H267,R267)</f>
        <v>63</v>
      </c>
      <c r="T267" s="5" t="s">
        <v>370</v>
      </c>
      <c r="U267" s="6" t="s">
        <v>437</v>
      </c>
    </row>
    <row r="268" spans="1:21" x14ac:dyDescent="0.35">
      <c r="A268" s="6" t="s">
        <v>367</v>
      </c>
      <c r="B268" s="6" t="s">
        <v>43</v>
      </c>
      <c r="C268" s="32">
        <v>55105863</v>
      </c>
      <c r="D268" s="6" t="s">
        <v>385</v>
      </c>
      <c r="E268" s="6" t="s">
        <v>386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>+NETWORKDAYS(H268,I268)</f>
        <v>44</v>
      </c>
      <c r="K268" s="17" t="s">
        <v>297</v>
      </c>
      <c r="L268" s="5" t="s">
        <v>320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>P268+O268</f>
        <v>2550000</v>
      </c>
      <c r="R268" s="7">
        <v>46090</v>
      </c>
      <c r="S268" s="16">
        <f>NETWORKDAYS(H268,R268)</f>
        <v>61</v>
      </c>
      <c r="T268" s="5" t="s">
        <v>370</v>
      </c>
      <c r="U268" s="6" t="s">
        <v>437</v>
      </c>
    </row>
    <row r="269" spans="1:21" x14ac:dyDescent="0.35">
      <c r="A269" s="6" t="s">
        <v>367</v>
      </c>
      <c r="B269" s="6" t="s">
        <v>43</v>
      </c>
      <c r="C269" s="6">
        <v>55104619</v>
      </c>
      <c r="D269" s="6" t="s">
        <v>387</v>
      </c>
      <c r="E269" s="6" t="s">
        <v>388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>+NETWORKDAYS(H269,I269)</f>
        <v>55</v>
      </c>
      <c r="K269" s="17" t="s">
        <v>297</v>
      </c>
      <c r="L269" s="5" t="s">
        <v>320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>P269+O269</f>
        <v>2700000</v>
      </c>
      <c r="R269" s="7">
        <v>46090</v>
      </c>
      <c r="S269" s="16">
        <f>NETWORKDAYS(H269,R269)</f>
        <v>61</v>
      </c>
      <c r="T269" s="5" t="s">
        <v>370</v>
      </c>
      <c r="U269" s="6" t="s">
        <v>437</v>
      </c>
    </row>
    <row r="270" spans="1:21" x14ac:dyDescent="0.35">
      <c r="A270" s="6" t="s">
        <v>367</v>
      </c>
      <c r="B270" s="6" t="s">
        <v>43</v>
      </c>
      <c r="C270" s="6">
        <v>54978747</v>
      </c>
      <c r="D270" s="6" t="s">
        <v>389</v>
      </c>
      <c r="E270" s="6" t="s">
        <v>390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>+NETWORKDAYS(H270,I270)</f>
        <v>23</v>
      </c>
      <c r="K270" s="17" t="s">
        <v>346</v>
      </c>
      <c r="L270" s="5" t="s">
        <v>298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>P270+O270</f>
        <v>1550000</v>
      </c>
      <c r="R270" s="7">
        <v>46090</v>
      </c>
      <c r="S270" s="16">
        <f>NETWORKDAYS(H270,R270)</f>
        <v>63</v>
      </c>
      <c r="T270" s="5" t="s">
        <v>370</v>
      </c>
      <c r="U270" s="6" t="s">
        <v>437</v>
      </c>
    </row>
    <row r="271" spans="1:21" x14ac:dyDescent="0.35">
      <c r="A271" s="6" t="s">
        <v>367</v>
      </c>
      <c r="B271" s="6" t="s">
        <v>43</v>
      </c>
      <c r="C271" s="6">
        <v>54978242</v>
      </c>
      <c r="D271" s="6" t="s">
        <v>391</v>
      </c>
      <c r="E271" s="6" t="s">
        <v>392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>+NETWORKDAYS(H271,I271)</f>
        <v>28</v>
      </c>
      <c r="K271" s="5" t="s">
        <v>346</v>
      </c>
      <c r="L271" s="5" t="s">
        <v>320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>P271+O271</f>
        <v>2200000</v>
      </c>
      <c r="R271" s="7">
        <v>46090</v>
      </c>
      <c r="S271" s="16">
        <f>NETWORKDAYS(H271,R271)</f>
        <v>63</v>
      </c>
      <c r="T271" s="5" t="s">
        <v>370</v>
      </c>
      <c r="U271" s="6" t="s">
        <v>437</v>
      </c>
    </row>
    <row r="272" spans="1:21" x14ac:dyDescent="0.35">
      <c r="A272" s="6" t="s">
        <v>367</v>
      </c>
      <c r="B272" s="6" t="s">
        <v>43</v>
      </c>
      <c r="C272" s="6">
        <v>55105778</v>
      </c>
      <c r="D272" s="6" t="s">
        <v>393</v>
      </c>
      <c r="E272" s="6" t="s">
        <v>394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>+NETWORKDAYS(H272,I272)</f>
        <v>54</v>
      </c>
      <c r="K272" s="17" t="s">
        <v>297</v>
      </c>
      <c r="L272" s="5" t="s">
        <v>320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>P272+O272</f>
        <v>2300000</v>
      </c>
      <c r="R272" s="7">
        <v>46090</v>
      </c>
      <c r="S272" s="16">
        <f>NETWORKDAYS(H272,R272)</f>
        <v>61</v>
      </c>
      <c r="T272" s="5" t="s">
        <v>370</v>
      </c>
      <c r="U272" s="6" t="s">
        <v>437</v>
      </c>
    </row>
    <row r="273" spans="1:21" x14ac:dyDescent="0.35">
      <c r="A273" s="6" t="s">
        <v>367</v>
      </c>
      <c r="B273" s="6" t="s">
        <v>43</v>
      </c>
      <c r="C273" s="6">
        <v>54973195</v>
      </c>
      <c r="D273" s="6" t="s">
        <v>395</v>
      </c>
      <c r="E273" s="6" t="s">
        <v>396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>+NETWORKDAYS(H273,I273)</f>
        <v>18</v>
      </c>
      <c r="K273" s="5" t="s">
        <v>297</v>
      </c>
      <c r="L273" s="5" t="s">
        <v>298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>P273+O273</f>
        <v>2200000</v>
      </c>
      <c r="R273" s="7">
        <v>46090</v>
      </c>
      <c r="S273" s="16">
        <f>NETWORKDAYS(H273,R273)</f>
        <v>63</v>
      </c>
      <c r="T273" s="5" t="s">
        <v>370</v>
      </c>
      <c r="U273" s="6" t="s">
        <v>437</v>
      </c>
    </row>
    <row r="274" spans="1:21" x14ac:dyDescent="0.35">
      <c r="A274" s="6" t="s">
        <v>367</v>
      </c>
      <c r="B274" s="6" t="s">
        <v>43</v>
      </c>
      <c r="C274" s="6">
        <v>55105296</v>
      </c>
      <c r="D274" s="6" t="s">
        <v>397</v>
      </c>
      <c r="E274" s="6" t="s">
        <v>398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>+NETWORKDAYS(H274,I274)</f>
        <v>22</v>
      </c>
      <c r="K274" s="5" t="s">
        <v>297</v>
      </c>
      <c r="L274" s="5" t="s">
        <v>298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>P274+O274</f>
        <v>2800000</v>
      </c>
      <c r="R274" s="7">
        <v>46090</v>
      </c>
      <c r="S274" s="16">
        <f>NETWORKDAYS(H274,R274)</f>
        <v>61</v>
      </c>
      <c r="T274" s="5" t="s">
        <v>370</v>
      </c>
      <c r="U274" s="6" t="s">
        <v>437</v>
      </c>
    </row>
    <row r="275" spans="1:21" x14ac:dyDescent="0.35">
      <c r="A275" s="6" t="s">
        <v>367</v>
      </c>
      <c r="B275" s="6" t="s">
        <v>43</v>
      </c>
      <c r="C275" s="1">
        <v>54976425</v>
      </c>
      <c r="D275" s="6" t="s">
        <v>399</v>
      </c>
      <c r="E275" s="6" t="s">
        <v>400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>+NETWORKDAYS(H275,I275)</f>
        <v>17</v>
      </c>
      <c r="K275" s="5" t="s">
        <v>297</v>
      </c>
      <c r="L275" s="5" t="s">
        <v>298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>P275+O275</f>
        <v>2550000</v>
      </c>
      <c r="R275" s="7">
        <v>46090</v>
      </c>
      <c r="S275" s="16">
        <f>NETWORKDAYS(H275,R275)</f>
        <v>63</v>
      </c>
      <c r="T275" s="5" t="s">
        <v>370</v>
      </c>
      <c r="U275" s="6" t="s">
        <v>437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366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>+NETWORKDAYS(H276,I276)</f>
        <v>17</v>
      </c>
      <c r="K276" s="17" t="s">
        <v>297</v>
      </c>
      <c r="L276" s="5" t="s">
        <v>298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>P276+O276</f>
        <v>2380000</v>
      </c>
      <c r="R276" s="7">
        <v>46087</v>
      </c>
      <c r="S276" s="16">
        <f>NETWORKDAYS(H276,R276)</f>
        <v>18</v>
      </c>
      <c r="T276" s="5" t="s">
        <v>340</v>
      </c>
      <c r="U276" s="5" t="s">
        <v>436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354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>+NETWORKDAYS(H277,I277)</f>
        <v>53</v>
      </c>
      <c r="K277" s="17" t="s">
        <v>297</v>
      </c>
      <c r="L277" s="5" t="s">
        <v>320</v>
      </c>
      <c r="M277" s="5" t="s">
        <v>24</v>
      </c>
      <c r="N277" s="6" t="s">
        <v>195</v>
      </c>
      <c r="O277" s="12">
        <v>0</v>
      </c>
      <c r="P277" s="12">
        <v>0</v>
      </c>
      <c r="Q277" s="30">
        <f>P277+O277</f>
        <v>0</v>
      </c>
      <c r="R277" s="7">
        <v>46086</v>
      </c>
      <c r="S277" s="16">
        <f>NETWORKDAYS(H277,R277)</f>
        <v>55</v>
      </c>
      <c r="T277" s="6" t="s">
        <v>340</v>
      </c>
      <c r="U277" s="5" t="s">
        <v>436</v>
      </c>
    </row>
    <row r="278" spans="1:21" x14ac:dyDescent="0.35">
      <c r="A278" s="6" t="s">
        <v>355</v>
      </c>
      <c r="B278" s="6" t="s">
        <v>43</v>
      </c>
      <c r="C278" s="6">
        <v>58853643</v>
      </c>
      <c r="D278" s="6" t="s">
        <v>356</v>
      </c>
      <c r="E278" s="6" t="s">
        <v>357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>+NETWORKDAYS(H278,I278)</f>
        <v>5</v>
      </c>
      <c r="K278" s="17" t="s">
        <v>297</v>
      </c>
      <c r="L278" s="5" t="s">
        <v>298</v>
      </c>
      <c r="M278" s="5" t="s">
        <v>351</v>
      </c>
      <c r="N278" s="6" t="s">
        <v>146</v>
      </c>
      <c r="O278" s="12">
        <v>0</v>
      </c>
      <c r="P278" s="12">
        <v>0</v>
      </c>
      <c r="Q278" s="30">
        <f>P278+O278</f>
        <v>0</v>
      </c>
      <c r="R278" s="7">
        <v>46086</v>
      </c>
      <c r="S278" s="16">
        <f>NETWORKDAYS(H278,R278)</f>
        <v>6</v>
      </c>
      <c r="T278" s="6" t="s">
        <v>340</v>
      </c>
      <c r="U278" s="5" t="s">
        <v>437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358</v>
      </c>
      <c r="E279" s="6" t="s">
        <v>359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>+NETWORKDAYS(H279,I279)</f>
        <v>66</v>
      </c>
      <c r="K279" s="17" t="s">
        <v>297</v>
      </c>
      <c r="L279" s="5" t="s">
        <v>298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>P279+O279</f>
        <v>6064001</v>
      </c>
      <c r="R279" s="7">
        <v>46086</v>
      </c>
      <c r="S279" s="16">
        <f>NETWORKDAYS(H279,R279)</f>
        <v>68</v>
      </c>
      <c r="T279" s="6" t="s">
        <v>340</v>
      </c>
      <c r="U279" s="5" t="s">
        <v>436</v>
      </c>
    </row>
    <row r="280" spans="1:21" x14ac:dyDescent="0.35">
      <c r="A280" s="1" t="s">
        <v>360</v>
      </c>
      <c r="B280" s="6" t="s">
        <v>85</v>
      </c>
      <c r="C280" s="1">
        <v>58932414</v>
      </c>
      <c r="D280" s="6" t="s">
        <v>361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>+NETWORKDAYS(H280,I280)</f>
        <v>7</v>
      </c>
      <c r="K280" s="17" t="s">
        <v>297</v>
      </c>
      <c r="L280" s="5" t="s">
        <v>298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>P280+O280</f>
        <v>1495000</v>
      </c>
      <c r="R280" s="7">
        <v>46086</v>
      </c>
      <c r="S280" s="16">
        <f>NETWORKDAYS(H280,R280)</f>
        <v>7</v>
      </c>
      <c r="T280" s="6" t="s">
        <v>340</v>
      </c>
      <c r="U280" s="5" t="s">
        <v>436</v>
      </c>
    </row>
    <row r="281" spans="1:21" x14ac:dyDescent="0.35">
      <c r="A281" s="6" t="s">
        <v>362</v>
      </c>
      <c r="B281" s="6" t="s">
        <v>19</v>
      </c>
      <c r="C281" s="6">
        <v>57932962</v>
      </c>
      <c r="D281" s="6" t="s">
        <v>20</v>
      </c>
      <c r="E281" s="6" t="s">
        <v>363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>+NETWORKDAYS(H281,I281)</f>
        <v>19</v>
      </c>
      <c r="K281" s="17" t="s">
        <v>297</v>
      </c>
      <c r="L281" s="5" t="s">
        <v>298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>P281+O281</f>
        <v>687644</v>
      </c>
      <c r="R281" s="7">
        <v>46086</v>
      </c>
      <c r="S281" s="16">
        <f>NETWORKDAYS(H281,R281)</f>
        <v>20</v>
      </c>
      <c r="T281" s="5" t="s">
        <v>340</v>
      </c>
      <c r="U281" s="5" t="s">
        <v>436</v>
      </c>
    </row>
    <row r="282" spans="1:21" x14ac:dyDescent="0.35">
      <c r="A282" s="6" t="s">
        <v>364</v>
      </c>
      <c r="B282" s="6" t="s">
        <v>19</v>
      </c>
      <c r="C282" s="6">
        <v>58272102</v>
      </c>
      <c r="D282" s="6" t="s">
        <v>35</v>
      </c>
      <c r="E282" s="6" t="s">
        <v>365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>+NETWORKDAYS(H282,I282)</f>
        <v>12</v>
      </c>
      <c r="K282" s="17" t="s">
        <v>297</v>
      </c>
      <c r="L282" s="5" t="s">
        <v>298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>P282+O282</f>
        <v>3288468</v>
      </c>
      <c r="R282" s="7">
        <v>46086</v>
      </c>
      <c r="S282" s="16">
        <f>NETWORKDAYS(H282,R282)</f>
        <v>15</v>
      </c>
      <c r="T282" s="5" t="s">
        <v>340</v>
      </c>
      <c r="U282" s="5" t="s">
        <v>436</v>
      </c>
    </row>
    <row r="283" spans="1:21" x14ac:dyDescent="0.35">
      <c r="A283" s="6" t="s">
        <v>317</v>
      </c>
      <c r="B283" s="6" t="s">
        <v>19</v>
      </c>
      <c r="C283" s="6">
        <v>57847231</v>
      </c>
      <c r="D283" s="6" t="s">
        <v>318</v>
      </c>
      <c r="E283" s="6" t="s">
        <v>342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>+NETWORKDAYS(H283,I283)</f>
        <v>15</v>
      </c>
      <c r="K283" s="6" t="s">
        <v>346</v>
      </c>
      <c r="L283" s="6" t="s">
        <v>298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>P283+O283</f>
        <v>736605</v>
      </c>
      <c r="R283" s="8">
        <v>46085</v>
      </c>
      <c r="S283" s="16">
        <f>NETWORKDAYS(H283,R283)</f>
        <v>20</v>
      </c>
      <c r="T283" s="6" t="s">
        <v>340</v>
      </c>
      <c r="U283" s="5" t="s">
        <v>436</v>
      </c>
    </row>
    <row r="284" spans="1:21" x14ac:dyDescent="0.35">
      <c r="A284" s="6" t="s">
        <v>343</v>
      </c>
      <c r="B284" s="6" t="s">
        <v>19</v>
      </c>
      <c r="C284" s="6">
        <v>24190516</v>
      </c>
      <c r="D284" s="6" t="s">
        <v>344</v>
      </c>
      <c r="E284" s="6" t="s">
        <v>345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>+NETWORKDAYS(H284,I284)</f>
        <v>585</v>
      </c>
      <c r="K284" s="6" t="s">
        <v>297</v>
      </c>
      <c r="L284" s="6" t="s">
        <v>320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>P284+O284</f>
        <v>8818371</v>
      </c>
      <c r="R284" s="8">
        <v>46085</v>
      </c>
      <c r="S284" s="16">
        <f>NETWORKDAYS(H284,R284)</f>
        <v>589</v>
      </c>
      <c r="T284" s="6" t="s">
        <v>340</v>
      </c>
      <c r="U284" s="5" t="s">
        <v>436</v>
      </c>
    </row>
    <row r="285" spans="1:21" x14ac:dyDescent="0.35">
      <c r="A285" s="6" t="s">
        <v>347</v>
      </c>
      <c r="B285" s="6" t="s">
        <v>19</v>
      </c>
      <c r="C285" s="6">
        <v>58227435</v>
      </c>
      <c r="D285" s="6" t="s">
        <v>20</v>
      </c>
      <c r="E285" s="6" t="s">
        <v>348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>+NETWORKDAYS(H285,I285)</f>
        <v>11</v>
      </c>
      <c r="K285" s="6" t="s">
        <v>297</v>
      </c>
      <c r="L285" s="6" t="s">
        <v>298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>P285+O285</f>
        <v>430500</v>
      </c>
      <c r="R285" s="8">
        <v>46085</v>
      </c>
      <c r="S285" s="16">
        <f>NETWORKDAYS(H285,R285)</f>
        <v>13</v>
      </c>
      <c r="T285" s="6" t="s">
        <v>340</v>
      </c>
      <c r="U285" s="5" t="s">
        <v>436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349</v>
      </c>
      <c r="E286" s="6" t="s">
        <v>350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>+NETWORKDAYS(H286,I286)</f>
        <v>59</v>
      </c>
      <c r="K286" s="6" t="s">
        <v>297</v>
      </c>
      <c r="L286" s="6" t="s">
        <v>320</v>
      </c>
      <c r="M286" s="6" t="s">
        <v>351</v>
      </c>
      <c r="N286" s="6" t="s">
        <v>53</v>
      </c>
      <c r="O286" s="30">
        <v>0</v>
      </c>
      <c r="P286" s="30">
        <v>0</v>
      </c>
      <c r="Q286" s="30">
        <f>P286+O286</f>
        <v>0</v>
      </c>
      <c r="R286" s="8">
        <v>46085</v>
      </c>
      <c r="S286" s="16">
        <f>NETWORKDAYS(H286,R286)</f>
        <v>60</v>
      </c>
      <c r="T286" s="6" t="s">
        <v>340</v>
      </c>
      <c r="U286" s="5" t="s">
        <v>437</v>
      </c>
    </row>
    <row r="287" spans="1:21" x14ac:dyDescent="0.35">
      <c r="A287" s="6" t="s">
        <v>352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>+NETWORKDAYS(H287,I287)</f>
        <v>13</v>
      </c>
      <c r="K287" s="6" t="s">
        <v>297</v>
      </c>
      <c r="L287" s="6" t="s">
        <v>298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>P287+O287</f>
        <v>210000</v>
      </c>
      <c r="R287" s="8">
        <v>46085</v>
      </c>
      <c r="S287" s="16">
        <f>NETWORKDAYS(H287,R287)</f>
        <v>21</v>
      </c>
      <c r="T287" s="6" t="s">
        <v>340</v>
      </c>
      <c r="U287" s="5" t="s">
        <v>436</v>
      </c>
    </row>
    <row r="288" spans="1:21" x14ac:dyDescent="0.35">
      <c r="A288" s="6" t="s">
        <v>353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>+NETWORKDAYS(H288,I288)</f>
        <v>9</v>
      </c>
      <c r="K288" s="6" t="s">
        <v>297</v>
      </c>
      <c r="L288" s="6" t="s">
        <v>298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>P288+O288</f>
        <v>210000</v>
      </c>
      <c r="R288" s="8">
        <v>46085</v>
      </c>
      <c r="S288" s="16">
        <f>NETWORKDAYS(H288,R288)</f>
        <v>10</v>
      </c>
      <c r="T288" s="6" t="s">
        <v>340</v>
      </c>
      <c r="U288" s="5" t="s">
        <v>436</v>
      </c>
    </row>
    <row r="289" spans="1:21" x14ac:dyDescent="0.35">
      <c r="A289" s="6" t="s">
        <v>337</v>
      </c>
      <c r="B289" s="6" t="s">
        <v>43</v>
      </c>
      <c r="C289" s="6">
        <v>57664431</v>
      </c>
      <c r="D289" s="6" t="s">
        <v>338</v>
      </c>
      <c r="E289" s="6" t="s">
        <v>339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>+NETWORKDAYS(H289,I289)</f>
        <v>21</v>
      </c>
      <c r="K289" s="6" t="s">
        <v>297</v>
      </c>
      <c r="L289" s="6" t="s">
        <v>298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>P289+O289</f>
        <v>4825347</v>
      </c>
      <c r="R289" s="8">
        <v>46084</v>
      </c>
      <c r="S289" s="16">
        <f>NETWORKDAYS(H289,R289)</f>
        <v>22</v>
      </c>
      <c r="T289" s="6" t="s">
        <v>340</v>
      </c>
      <c r="U289" s="5" t="s">
        <v>436</v>
      </c>
    </row>
    <row r="290" spans="1:21" x14ac:dyDescent="0.35">
      <c r="A290" s="6" t="s">
        <v>341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>+NETWORKDAYS(H290,I290)</f>
        <v>24</v>
      </c>
      <c r="K290" s="6" t="s">
        <v>297</v>
      </c>
      <c r="L290" s="6" t="s">
        <v>298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>P290+O290</f>
        <v>190000</v>
      </c>
      <c r="R290" s="8">
        <v>46084</v>
      </c>
      <c r="S290" s="16">
        <f>NETWORKDAYS(H290,R290)</f>
        <v>25</v>
      </c>
      <c r="T290" s="6" t="s">
        <v>340</v>
      </c>
      <c r="U290" s="5" t="s">
        <v>436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335</v>
      </c>
      <c r="E291" s="6" t="s">
        <v>336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>+NETWORKDAYS(H291,I291)</f>
        <v>65</v>
      </c>
      <c r="K291" s="17" t="s">
        <v>297</v>
      </c>
      <c r="L291" s="5" t="s">
        <v>320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>P291+O291</f>
        <v>0</v>
      </c>
      <c r="R291" s="7">
        <v>46081</v>
      </c>
      <c r="S291" s="16">
        <f>NETWORKDAYS(H291,R291)</f>
        <v>69</v>
      </c>
      <c r="T291" s="5" t="s">
        <v>796</v>
      </c>
      <c r="U291" s="34" t="s">
        <v>436</v>
      </c>
    </row>
    <row r="292" spans="1:21" x14ac:dyDescent="0.35">
      <c r="A292" s="6" t="s">
        <v>324</v>
      </c>
      <c r="B292" s="5" t="s">
        <v>19</v>
      </c>
      <c r="C292" s="6">
        <v>58040642</v>
      </c>
      <c r="D292" s="5" t="s">
        <v>20</v>
      </c>
      <c r="E292" s="6" t="s">
        <v>325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>+NETWORKDAYS(H292,I292)</f>
        <v>14</v>
      </c>
      <c r="K292" s="17" t="s">
        <v>297</v>
      </c>
      <c r="L292" s="5" t="s">
        <v>298</v>
      </c>
      <c r="M292" s="5" t="s">
        <v>155</v>
      </c>
      <c r="N292" s="5" t="s">
        <v>38</v>
      </c>
      <c r="O292" s="31">
        <v>842820</v>
      </c>
      <c r="P292" s="31">
        <v>0</v>
      </c>
      <c r="Q292" s="31">
        <f>P292+O292</f>
        <v>842820</v>
      </c>
      <c r="R292" s="7">
        <v>46080</v>
      </c>
      <c r="S292" s="16">
        <f>NETWORKDAYS(H292,R292)</f>
        <v>15</v>
      </c>
      <c r="T292" s="5" t="s">
        <v>796</v>
      </c>
      <c r="U292" s="34" t="s">
        <v>436</v>
      </c>
    </row>
    <row r="293" spans="1:21" x14ac:dyDescent="0.35">
      <c r="A293" s="6" t="s">
        <v>326</v>
      </c>
      <c r="B293" s="6" t="s">
        <v>19</v>
      </c>
      <c r="C293" s="6">
        <v>58223807</v>
      </c>
      <c r="D293" s="6" t="s">
        <v>55</v>
      </c>
      <c r="E293" s="6" t="s">
        <v>327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>+NETWORKDAYS(H293,I293)</f>
        <v>9</v>
      </c>
      <c r="K293" s="17" t="s">
        <v>297</v>
      </c>
      <c r="L293" s="5" t="s">
        <v>298</v>
      </c>
      <c r="M293" s="5" t="s">
        <v>24</v>
      </c>
      <c r="N293" s="6" t="s">
        <v>193</v>
      </c>
      <c r="O293" s="30">
        <v>3986938</v>
      </c>
      <c r="P293" s="30">
        <v>400908</v>
      </c>
      <c r="Q293" s="31">
        <f>P293+O293</f>
        <v>4387846</v>
      </c>
      <c r="R293" s="7">
        <v>46080</v>
      </c>
      <c r="S293" s="16">
        <f>NETWORKDAYS(H293,R293)</f>
        <v>12</v>
      </c>
      <c r="T293" s="5" t="s">
        <v>796</v>
      </c>
      <c r="U293" s="34" t="s">
        <v>436</v>
      </c>
    </row>
    <row r="294" spans="1:21" x14ac:dyDescent="0.35">
      <c r="A294" s="6" t="s">
        <v>328</v>
      </c>
      <c r="B294" s="6" t="s">
        <v>19</v>
      </c>
      <c r="C294" s="6">
        <v>53413810</v>
      </c>
      <c r="D294" s="6" t="s">
        <v>329</v>
      </c>
      <c r="E294" s="6" t="s">
        <v>330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>+NETWORKDAYS(H294,I294)</f>
        <v>20</v>
      </c>
      <c r="K294" s="17" t="s">
        <v>297</v>
      </c>
      <c r="L294" s="5" t="s">
        <v>298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>P294+O294</f>
        <v>620000</v>
      </c>
      <c r="R294" s="7">
        <v>46080</v>
      </c>
      <c r="S294" s="16">
        <f>NETWORKDAYS(H294,R294)</f>
        <v>79</v>
      </c>
      <c r="T294" s="5" t="s">
        <v>796</v>
      </c>
      <c r="U294" s="34" t="s">
        <v>436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331</v>
      </c>
      <c r="E295" s="6" t="s">
        <v>332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>+NETWORKDAYS(H295,I295)</f>
        <v>13</v>
      </c>
      <c r="K295" s="5" t="s">
        <v>297</v>
      </c>
      <c r="L295" s="5" t="s">
        <v>298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>P295+O295</f>
        <v>1965500</v>
      </c>
      <c r="R295" s="7">
        <v>46080</v>
      </c>
      <c r="S295" s="16">
        <f>NETWORKDAYS(H295,R295)</f>
        <v>34</v>
      </c>
      <c r="T295" s="5" t="s">
        <v>796</v>
      </c>
      <c r="U295" s="34" t="s">
        <v>436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333</v>
      </c>
      <c r="E296" s="6" t="s">
        <v>334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>+NETWORKDAYS(H296,I296)</f>
        <v>14</v>
      </c>
      <c r="K296" s="5" t="s">
        <v>297</v>
      </c>
      <c r="L296" s="5" t="s">
        <v>298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>P296+O296</f>
        <v>2300000</v>
      </c>
      <c r="R296" s="7">
        <v>46080</v>
      </c>
      <c r="S296" s="16">
        <f>NETWORKDAYS(H296,R296)</f>
        <v>34</v>
      </c>
      <c r="T296" s="5" t="s">
        <v>796</v>
      </c>
      <c r="U296" s="34" t="s">
        <v>436</v>
      </c>
    </row>
    <row r="297" spans="1:21" x14ac:dyDescent="0.35">
      <c r="A297" s="3" t="s">
        <v>313</v>
      </c>
      <c r="B297" s="5" t="s">
        <v>85</v>
      </c>
      <c r="C297" s="1">
        <v>56916429</v>
      </c>
      <c r="D297" s="5" t="s">
        <v>197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>+NETWORKDAYS(H297,I297)</f>
        <v>28</v>
      </c>
      <c r="K297" s="17" t="s">
        <v>297</v>
      </c>
      <c r="L297" s="5" t="s">
        <v>298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>P297+O297</f>
        <v>400000</v>
      </c>
      <c r="R297" s="7">
        <v>46079</v>
      </c>
      <c r="S297" s="16">
        <f>NETWORKDAYS(H297,R297)</f>
        <v>29</v>
      </c>
      <c r="T297" s="5" t="s">
        <v>796</v>
      </c>
      <c r="U297" s="34" t="s">
        <v>436</v>
      </c>
    </row>
    <row r="298" spans="1:21" x14ac:dyDescent="0.35">
      <c r="A298" s="3" t="s">
        <v>314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>+NETWORKDAYS(H298,I298)</f>
        <v>10</v>
      </c>
      <c r="K298" s="17" t="s">
        <v>297</v>
      </c>
      <c r="L298" s="5" t="s">
        <v>298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>P298+O298</f>
        <v>150000</v>
      </c>
      <c r="R298" s="7">
        <v>46079</v>
      </c>
      <c r="S298" s="16">
        <f>NETWORKDAYS(H298,R298)</f>
        <v>11</v>
      </c>
      <c r="T298" s="5" t="s">
        <v>796</v>
      </c>
      <c r="U298" s="34" t="s">
        <v>436</v>
      </c>
    </row>
    <row r="299" spans="1:21" x14ac:dyDescent="0.35">
      <c r="A299" s="3" t="s">
        <v>314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>+NETWORKDAYS(H299,I299)</f>
        <v>10</v>
      </c>
      <c r="K299" s="17" t="s">
        <v>297</v>
      </c>
      <c r="L299" s="5" t="s">
        <v>298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>P299+O299</f>
        <v>1000000</v>
      </c>
      <c r="R299" s="7">
        <v>46079</v>
      </c>
      <c r="S299" s="16">
        <f>NETWORKDAYS(H299,R299)</f>
        <v>11</v>
      </c>
      <c r="T299" s="5" t="s">
        <v>796</v>
      </c>
      <c r="U299" s="34" t="s">
        <v>436</v>
      </c>
    </row>
    <row r="300" spans="1:21" x14ac:dyDescent="0.35">
      <c r="A300" s="3" t="s">
        <v>315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>+NETWORKDAYS(H300,I300)</f>
        <v>11</v>
      </c>
      <c r="K300" s="17" t="s">
        <v>297</v>
      </c>
      <c r="L300" s="5" t="s">
        <v>298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>P300+O300</f>
        <v>1000000</v>
      </c>
      <c r="R300" s="7">
        <v>46079</v>
      </c>
      <c r="S300" s="16">
        <f>NETWORKDAYS(H300,R300)</f>
        <v>12</v>
      </c>
      <c r="T300" s="5" t="s">
        <v>796</v>
      </c>
      <c r="U300" s="34" t="s">
        <v>436</v>
      </c>
    </row>
    <row r="301" spans="1:21" x14ac:dyDescent="0.35">
      <c r="A301" s="3" t="s">
        <v>316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>+NETWORKDAYS(H301,I301)</f>
        <v>75</v>
      </c>
      <c r="K301" s="17" t="s">
        <v>297</v>
      </c>
      <c r="L301" s="5" t="s">
        <v>298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>P301+O301</f>
        <v>108000</v>
      </c>
      <c r="R301" s="7">
        <v>46079</v>
      </c>
      <c r="S301" s="16">
        <f>NETWORKDAYS(H301,R301)</f>
        <v>76</v>
      </c>
      <c r="T301" s="5" t="s">
        <v>796</v>
      </c>
      <c r="U301" s="34" t="s">
        <v>436</v>
      </c>
    </row>
    <row r="302" spans="1:21" x14ac:dyDescent="0.35">
      <c r="A302" s="1" t="s">
        <v>317</v>
      </c>
      <c r="B302" s="5" t="s">
        <v>30</v>
      </c>
      <c r="C302" s="1">
        <v>57849289</v>
      </c>
      <c r="D302" s="5" t="s">
        <v>318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>+NETWORKDAYS(H302,I302)</f>
        <v>16</v>
      </c>
      <c r="K302" s="17" t="s">
        <v>297</v>
      </c>
      <c r="L302" s="5" t="s">
        <v>304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>P302+O302</f>
        <v>341435</v>
      </c>
      <c r="R302" s="7">
        <v>46079</v>
      </c>
      <c r="S302" s="16">
        <f>NETWORKDAYS(H302,R302)</f>
        <v>16</v>
      </c>
      <c r="T302" s="5" t="s">
        <v>796</v>
      </c>
      <c r="U302" s="34" t="s">
        <v>436</v>
      </c>
    </row>
    <row r="303" spans="1:21" x14ac:dyDescent="0.35">
      <c r="A303" s="1" t="s">
        <v>319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>+NETWORKDAYS(H303,I303)</f>
        <v>261</v>
      </c>
      <c r="K303" s="17" t="s">
        <v>297</v>
      </c>
      <c r="L303" s="5" t="s">
        <v>320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>P303+O303</f>
        <v>3139050</v>
      </c>
      <c r="R303" s="7">
        <v>46079</v>
      </c>
      <c r="S303" s="16">
        <f>NETWORKDAYS(H303,R303)</f>
        <v>261</v>
      </c>
      <c r="T303" s="5" t="s">
        <v>796</v>
      </c>
      <c r="U303" s="34" t="s">
        <v>436</v>
      </c>
    </row>
    <row r="304" spans="1:21" x14ac:dyDescent="0.35">
      <c r="A304" s="6" t="s">
        <v>321</v>
      </c>
      <c r="B304" s="6" t="s">
        <v>19</v>
      </c>
      <c r="C304" s="6">
        <v>57048937</v>
      </c>
      <c r="D304" s="6" t="s">
        <v>322</v>
      </c>
      <c r="E304" s="6" t="s">
        <v>323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>+NETWORKDAYS(H304,I304)</f>
        <v>23</v>
      </c>
      <c r="K304" s="17" t="s">
        <v>297</v>
      </c>
      <c r="L304" s="5" t="s">
        <v>298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>P304+O304</f>
        <v>547989</v>
      </c>
      <c r="R304" s="7">
        <v>46079</v>
      </c>
      <c r="S304" s="16">
        <f>NETWORKDAYS(H304,R304)</f>
        <v>27</v>
      </c>
      <c r="T304" s="5" t="s">
        <v>796</v>
      </c>
      <c r="U304" s="34" t="s">
        <v>436</v>
      </c>
    </row>
    <row r="305" spans="1:21" x14ac:dyDescent="0.35">
      <c r="A305" s="14" t="s">
        <v>305</v>
      </c>
      <c r="B305" s="6" t="s">
        <v>43</v>
      </c>
      <c r="C305" s="1">
        <v>56312533</v>
      </c>
      <c r="D305" s="6" t="s">
        <v>49</v>
      </c>
      <c r="E305" s="6" t="s">
        <v>306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>+NETWORKDAYS(H305,I305)</f>
        <v>33</v>
      </c>
      <c r="K305" s="17" t="s">
        <v>297</v>
      </c>
      <c r="L305" s="5" t="s">
        <v>298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>P305+O305</f>
        <v>2463000</v>
      </c>
      <c r="R305" s="7">
        <v>46078</v>
      </c>
      <c r="S305" s="16">
        <f>NETWORKDAYS(H305,R305)</f>
        <v>36</v>
      </c>
      <c r="T305" s="5" t="s">
        <v>796</v>
      </c>
      <c r="U305" s="34" t="s">
        <v>436</v>
      </c>
    </row>
    <row r="306" spans="1:21" x14ac:dyDescent="0.35">
      <c r="A306" s="6" t="s">
        <v>305</v>
      </c>
      <c r="B306" s="6" t="s">
        <v>43</v>
      </c>
      <c r="C306" s="19">
        <v>54079438</v>
      </c>
      <c r="D306" s="6" t="s">
        <v>35</v>
      </c>
      <c r="E306" s="6" t="s">
        <v>307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>+NETWORKDAYS(H306,I306)</f>
        <v>64</v>
      </c>
      <c r="K306" s="17" t="s">
        <v>297</v>
      </c>
      <c r="L306" s="5" t="s">
        <v>304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>P306+O306</f>
        <v>850000</v>
      </c>
      <c r="R306" s="7">
        <v>46078</v>
      </c>
      <c r="S306" s="16">
        <f>NETWORKDAYS(H306,R306)</f>
        <v>67</v>
      </c>
      <c r="T306" s="5" t="s">
        <v>796</v>
      </c>
      <c r="U306" s="34" t="s">
        <v>436</v>
      </c>
    </row>
    <row r="307" spans="1:21" x14ac:dyDescent="0.35">
      <c r="A307" s="6" t="s">
        <v>310</v>
      </c>
      <c r="B307" s="6" t="s">
        <v>43</v>
      </c>
      <c r="C307" s="6">
        <v>57173200</v>
      </c>
      <c r="D307" s="6" t="s">
        <v>311</v>
      </c>
      <c r="E307" s="6" t="s">
        <v>312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>+NETWORKDAYS(H307,I307)</f>
        <v>19</v>
      </c>
      <c r="K307" s="17" t="s">
        <v>297</v>
      </c>
      <c r="L307" s="5" t="s">
        <v>298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>P307+O307</f>
        <v>5000000</v>
      </c>
      <c r="R307" s="7">
        <v>46078</v>
      </c>
      <c r="S307" s="16">
        <f>NETWORKDAYS(H307,R307)</f>
        <v>24</v>
      </c>
      <c r="T307" s="5" t="s">
        <v>796</v>
      </c>
      <c r="U307" s="34" t="s">
        <v>436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301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>+NETWORKDAYS(H308,I308)</f>
        <v>10</v>
      </c>
      <c r="K308" s="17" t="s">
        <v>297</v>
      </c>
      <c r="L308" s="5" t="s">
        <v>298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>P308+O308</f>
        <v>0</v>
      </c>
      <c r="R308" s="7">
        <v>46077</v>
      </c>
      <c r="S308" s="16">
        <f>NETWORKDAYS(H308,R308)</f>
        <v>11</v>
      </c>
      <c r="T308" s="5" t="s">
        <v>796</v>
      </c>
      <c r="U308" s="34" t="s">
        <v>436</v>
      </c>
    </row>
    <row r="309" spans="1:21" x14ac:dyDescent="0.35">
      <c r="A309" s="1" t="s">
        <v>302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>+NETWORKDAYS(H309,I309)</f>
        <v>15</v>
      </c>
      <c r="K309" s="17" t="s">
        <v>297</v>
      </c>
      <c r="L309" s="5" t="s">
        <v>298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>P309+O309</f>
        <v>341435</v>
      </c>
      <c r="R309" s="7">
        <v>46077</v>
      </c>
      <c r="S309" s="16">
        <f>NETWORKDAYS(H309,R309)</f>
        <v>15</v>
      </c>
      <c r="T309" s="5" t="s">
        <v>796</v>
      </c>
      <c r="U309" s="34" t="s">
        <v>436</v>
      </c>
    </row>
    <row r="310" spans="1:21" x14ac:dyDescent="0.35">
      <c r="A310" s="3" t="s">
        <v>303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>+NETWORKDAYS(H310,I310)</f>
        <v>69</v>
      </c>
      <c r="K310" s="17" t="s">
        <v>297</v>
      </c>
      <c r="L310" s="5" t="s">
        <v>304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>P310+O310</f>
        <v>452495</v>
      </c>
      <c r="R310" s="7">
        <v>46077</v>
      </c>
      <c r="S310" s="16">
        <f>NETWORKDAYS(H310,R310)</f>
        <v>76</v>
      </c>
      <c r="T310" s="5" t="s">
        <v>796</v>
      </c>
      <c r="U310" s="34" t="s">
        <v>436</v>
      </c>
    </row>
    <row r="311" spans="1:21" x14ac:dyDescent="0.35">
      <c r="A311" s="6" t="s">
        <v>295</v>
      </c>
      <c r="B311" s="6" t="s">
        <v>43</v>
      </c>
      <c r="C311" s="6">
        <v>57643823</v>
      </c>
      <c r="D311" s="6" t="s">
        <v>49</v>
      </c>
      <c r="E311" s="6" t="s">
        <v>296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>+NETWORKDAYS(H311,I311)</f>
        <v>7</v>
      </c>
      <c r="K311" s="17" t="s">
        <v>297</v>
      </c>
      <c r="L311" s="5" t="s">
        <v>298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>P311+O311</f>
        <v>1574962</v>
      </c>
      <c r="R311" s="7">
        <v>46076</v>
      </c>
      <c r="S311" s="16">
        <f>NETWORKDAYS(H311,R311)</f>
        <v>16</v>
      </c>
      <c r="T311" s="5" t="s">
        <v>796</v>
      </c>
      <c r="U311" s="34" t="s">
        <v>436</v>
      </c>
    </row>
    <row r="312" spans="1:21" x14ac:dyDescent="0.35">
      <c r="A312" s="6" t="s">
        <v>299</v>
      </c>
      <c r="B312" s="6" t="s">
        <v>43</v>
      </c>
      <c r="C312" s="6">
        <v>56336786</v>
      </c>
      <c r="D312" s="6" t="s">
        <v>99</v>
      </c>
      <c r="E312" s="6" t="s">
        <v>300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>+NETWORKDAYS(H312,I312)</f>
        <v>21</v>
      </c>
      <c r="K312" s="17" t="s">
        <v>297</v>
      </c>
      <c r="L312" s="5" t="s">
        <v>298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>P312+O312</f>
        <v>1574962</v>
      </c>
      <c r="R312" s="7">
        <v>46076</v>
      </c>
      <c r="S312" s="16">
        <f>NETWORKDAYS(H312,R312)</f>
        <v>34</v>
      </c>
      <c r="T312" s="5" t="s">
        <v>796</v>
      </c>
      <c r="U312" s="34" t="s">
        <v>436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>+NETWORKDAYS(H313,I313)</f>
        <v>45</v>
      </c>
      <c r="K313" s="17" t="s">
        <v>297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>P313+O313</f>
        <v>1833527</v>
      </c>
      <c r="R313" s="7">
        <v>46066</v>
      </c>
      <c r="S313" s="16">
        <f>NETWORKDAYS(H313,R313)</f>
        <v>47</v>
      </c>
      <c r="T313" s="5" t="s">
        <v>795</v>
      </c>
      <c r="U313" s="34" t="s">
        <v>436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>+NETWORKDAYS(H314,I314)</f>
        <v>13</v>
      </c>
      <c r="K314" s="17" t="s">
        <v>297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>P314+O314</f>
        <v>888248</v>
      </c>
      <c r="R314" s="7">
        <v>46066</v>
      </c>
      <c r="S314" s="16">
        <f>NETWORKDAYS(H314,R314)</f>
        <v>14</v>
      </c>
      <c r="T314" s="5" t="s">
        <v>795</v>
      </c>
      <c r="U314" s="34" t="s">
        <v>436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>+NETWORKDAYS(H315,I315)</f>
        <v>46</v>
      </c>
      <c r="K315" s="17" t="s">
        <v>297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>P315+O315</f>
        <v>60000</v>
      </c>
      <c r="R315" s="7">
        <v>46065</v>
      </c>
      <c r="S315" s="16">
        <f>NETWORKDAYS(H315,R315)</f>
        <v>51</v>
      </c>
      <c r="T315" s="5" t="s">
        <v>795</v>
      </c>
      <c r="U315" s="34" t="s">
        <v>436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>+NETWORKDAYS(H316,I316)</f>
        <v>17</v>
      </c>
      <c r="K316" s="17" t="s">
        <v>297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>P316+O316</f>
        <v>60000</v>
      </c>
      <c r="R316" s="7">
        <v>46065</v>
      </c>
      <c r="S316" s="16">
        <f>NETWORKDAYS(H316,R316)</f>
        <v>19</v>
      </c>
      <c r="T316" s="5" t="s">
        <v>795</v>
      </c>
      <c r="U316" s="34" t="s">
        <v>436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>+NETWORKDAYS(H317,I317)</f>
        <v>12</v>
      </c>
      <c r="K317" s="17" t="s">
        <v>297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>P317+O317</f>
        <v>190000</v>
      </c>
      <c r="R317" s="7">
        <v>46065</v>
      </c>
      <c r="S317" s="16">
        <f>NETWORKDAYS(H317,R317)</f>
        <v>13</v>
      </c>
      <c r="T317" s="5" t="s">
        <v>795</v>
      </c>
      <c r="U317" s="34" t="s">
        <v>436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>+NETWORKDAYS(H318,I318)</f>
        <v>9</v>
      </c>
      <c r="K318" s="17" t="s">
        <v>297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>P318+O318</f>
        <v>1231750</v>
      </c>
      <c r="R318" s="7">
        <v>46065</v>
      </c>
      <c r="S318" s="16">
        <f>NETWORKDAYS(H318,R318)</f>
        <v>10</v>
      </c>
      <c r="T318" s="5" t="s">
        <v>795</v>
      </c>
      <c r="U318" s="34" t="s">
        <v>436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>+NETWORKDAYS(H319,I319)</f>
        <v>8</v>
      </c>
      <c r="K319" s="17" t="s">
        <v>297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>P319+O319</f>
        <v>210000</v>
      </c>
      <c r="R319" s="7">
        <v>46065</v>
      </c>
      <c r="S319" s="16">
        <f>NETWORKDAYS(H319,R319)</f>
        <v>9</v>
      </c>
      <c r="T319" s="5" t="s">
        <v>795</v>
      </c>
      <c r="U319" s="34" t="s">
        <v>436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>+NETWORKDAYS(H320,I320)</f>
        <v>27</v>
      </c>
      <c r="K320" s="17" t="s">
        <v>297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>P320+O320</f>
        <v>1035588</v>
      </c>
      <c r="R320" s="7">
        <v>46065</v>
      </c>
      <c r="S320" s="16">
        <f>NETWORKDAYS(H320,R320)</f>
        <v>35</v>
      </c>
      <c r="T320" s="5" t="s">
        <v>795</v>
      </c>
      <c r="U320" s="34" t="s">
        <v>436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>+NETWORKDAYS(H321,I321)</f>
        <v>43</v>
      </c>
      <c r="K321" s="17" t="s">
        <v>297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>P321+O321</f>
        <v>200000</v>
      </c>
      <c r="R321" s="7">
        <v>46064</v>
      </c>
      <c r="S321" s="16">
        <f>NETWORKDAYS(H321,R321)</f>
        <v>43</v>
      </c>
      <c r="T321" s="5" t="s">
        <v>795</v>
      </c>
      <c r="U321" s="34" t="s">
        <v>436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>+NETWORKDAYS(H322,I322)</f>
        <v>123</v>
      </c>
      <c r="K322" s="17" t="s">
        <v>297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>P322+O322</f>
        <v>2148649</v>
      </c>
      <c r="R322" s="7">
        <v>46064</v>
      </c>
      <c r="S322" s="16">
        <f>NETWORKDAYS(H322,R322)</f>
        <v>122</v>
      </c>
      <c r="T322" s="5" t="s">
        <v>795</v>
      </c>
      <c r="U322" s="34" t="s">
        <v>436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>+NETWORKDAYS(H323,I323)</f>
        <v>11</v>
      </c>
      <c r="K323" s="17" t="s">
        <v>297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>P323+O323</f>
        <v>2030656</v>
      </c>
      <c r="R323" s="7">
        <v>46063</v>
      </c>
      <c r="S323" s="16">
        <f>NETWORKDAYS(H323,R323)</f>
        <v>22</v>
      </c>
      <c r="T323" s="5" t="s">
        <v>795</v>
      </c>
      <c r="U323" s="34" t="s">
        <v>436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>+NETWORKDAYS(H324,I324)</f>
        <v>11</v>
      </c>
      <c r="K324" s="17" t="s">
        <v>297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>P324+O324</f>
        <v>1090836</v>
      </c>
      <c r="R324" s="7">
        <v>46063</v>
      </c>
      <c r="S324" s="16">
        <f>NETWORKDAYS(H324,R324)</f>
        <v>22</v>
      </c>
      <c r="T324" s="5" t="s">
        <v>795</v>
      </c>
      <c r="U324" s="34" t="s">
        <v>436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>+NETWORKDAYS(H325,I325)</f>
        <v>14</v>
      </c>
      <c r="K325" s="17" t="s">
        <v>297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>P325+O325</f>
        <v>200000</v>
      </c>
      <c r="R325" s="7">
        <v>46063</v>
      </c>
      <c r="S325" s="16">
        <f>NETWORKDAYS(H325,R325)</f>
        <v>17</v>
      </c>
      <c r="T325" s="5" t="s">
        <v>795</v>
      </c>
      <c r="U325" s="34" t="s">
        <v>436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>+NETWORKDAYS(H326,I326)</f>
        <v>15</v>
      </c>
      <c r="K326" s="17" t="s">
        <v>297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>P326+O326</f>
        <v>0</v>
      </c>
      <c r="R326" s="7">
        <v>46063</v>
      </c>
      <c r="S326" s="16">
        <f>NETWORKDAYS(H326,R326)</f>
        <v>17</v>
      </c>
      <c r="T326" s="5" t="s">
        <v>795</v>
      </c>
      <c r="U326" s="34" t="s">
        <v>436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>+NETWORKDAYS(H327,I327)</f>
        <v>12</v>
      </c>
      <c r="K327" s="17" t="s">
        <v>297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>P327+O327</f>
        <v>452495</v>
      </c>
      <c r="R327" s="7">
        <v>46063</v>
      </c>
      <c r="S327" s="16">
        <f>NETWORKDAYS(H327,R327)</f>
        <v>24</v>
      </c>
      <c r="T327" s="5" t="s">
        <v>795</v>
      </c>
      <c r="U327" s="34" t="s">
        <v>436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>+NETWORKDAYS(H328,I328)</f>
        <v>1</v>
      </c>
      <c r="K328" s="17" t="s">
        <v>297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>P328+O328</f>
        <v>1495000</v>
      </c>
      <c r="R328" s="7">
        <v>46063</v>
      </c>
      <c r="S328" s="16">
        <f>NETWORKDAYS(H328,R328)</f>
        <v>7</v>
      </c>
      <c r="T328" s="5" t="s">
        <v>795</v>
      </c>
      <c r="U328" s="34" t="s">
        <v>436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>+NETWORKDAYS(H329,I329)</f>
        <v>144</v>
      </c>
      <c r="K329" s="17" t="s">
        <v>346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>P329+O329</f>
        <v>2720807</v>
      </c>
      <c r="R329" s="7">
        <v>46063</v>
      </c>
      <c r="S329" s="16">
        <f>NETWORKDAYS(H329,R329)</f>
        <v>161</v>
      </c>
      <c r="T329" s="5" t="s">
        <v>795</v>
      </c>
      <c r="U329" s="34" t="s">
        <v>436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>+NETWORKDAYS(H330,I330)</f>
        <v>76</v>
      </c>
      <c r="K330" s="17" t="s">
        <v>297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>P330+O330</f>
        <v>725636</v>
      </c>
      <c r="R330" s="7">
        <v>46063</v>
      </c>
      <c r="S330" s="16">
        <f>NETWORKDAYS(H330,R330)</f>
        <v>78</v>
      </c>
      <c r="T330" s="5" t="s">
        <v>795</v>
      </c>
      <c r="U330" s="34" t="s">
        <v>437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>+NETWORKDAYS(H331,I331)</f>
        <v>18</v>
      </c>
      <c r="K331" s="17" t="s">
        <v>297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>P331+O331</f>
        <v>1715054</v>
      </c>
      <c r="R331" s="7">
        <v>46063</v>
      </c>
      <c r="S331" s="16">
        <f>NETWORKDAYS(H331,R331)</f>
        <v>20</v>
      </c>
      <c r="T331" s="5" t="s">
        <v>795</v>
      </c>
      <c r="U331" s="34" t="s">
        <v>436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>+NETWORKDAYS(H332,I332)</f>
        <v>35</v>
      </c>
      <c r="K332" s="17" t="s">
        <v>297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>P332+O332</f>
        <v>0</v>
      </c>
      <c r="R332" s="7">
        <v>46063</v>
      </c>
      <c r="S332" s="16">
        <f>NETWORKDAYS(H332,R332)</f>
        <v>56</v>
      </c>
      <c r="T332" s="5" t="s">
        <v>795</v>
      </c>
      <c r="U332" s="34" t="s">
        <v>436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>+NETWORKDAYS(H333,I333)</f>
        <v>17</v>
      </c>
      <c r="K333" s="17" t="s">
        <v>297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>P333+O333</f>
        <v>0</v>
      </c>
      <c r="R333" s="7">
        <v>46063</v>
      </c>
      <c r="S333" s="16">
        <f>NETWORKDAYS(H333,R333)</f>
        <v>56</v>
      </c>
      <c r="T333" s="5" t="s">
        <v>795</v>
      </c>
      <c r="U333" s="34" t="s">
        <v>436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>+NETWORKDAYS(H334,I334)</f>
        <v>9</v>
      </c>
      <c r="K334" s="17" t="s">
        <v>297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>P334+O334</f>
        <v>6705731</v>
      </c>
      <c r="R334" s="7">
        <v>46062</v>
      </c>
      <c r="S334" s="16">
        <f>NETWORKDAYS(H334,R334)</f>
        <v>11</v>
      </c>
      <c r="T334" s="5" t="s">
        <v>795</v>
      </c>
      <c r="U334" s="34" t="s">
        <v>436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>+NETWORKDAYS(H335,I335)</f>
        <v>79</v>
      </c>
      <c r="K335" s="17" t="s">
        <v>297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>P335+O335</f>
        <v>1000000</v>
      </c>
      <c r="R335" s="7">
        <v>46059</v>
      </c>
      <c r="S335" s="16">
        <f>NETWORKDAYS(H335,R335)</f>
        <v>81</v>
      </c>
      <c r="T335" s="5" t="s">
        <v>794</v>
      </c>
      <c r="U335" s="34" t="s">
        <v>436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>+NETWORKDAYS(H336,I336)</f>
        <v>6</v>
      </c>
      <c r="K336" s="17" t="s">
        <v>297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>P336+O336</f>
        <v>1361679</v>
      </c>
      <c r="R336" s="7">
        <v>46059</v>
      </c>
      <c r="S336" s="16">
        <f>NETWORKDAYS(H336,R336)</f>
        <v>10</v>
      </c>
      <c r="T336" s="5" t="s">
        <v>794</v>
      </c>
      <c r="U336" s="34" t="s">
        <v>436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>+NETWORKDAYS(H337,I337)</f>
        <v>12</v>
      </c>
      <c r="K337" s="17" t="s">
        <v>297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>P337+O337</f>
        <v>1538647</v>
      </c>
      <c r="R337" s="7">
        <v>46059</v>
      </c>
      <c r="S337" s="16">
        <f>NETWORKDAYS(H337,R337)</f>
        <v>16</v>
      </c>
      <c r="T337" s="5" t="s">
        <v>794</v>
      </c>
      <c r="U337" s="34" t="s">
        <v>436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>+NETWORKDAYS(H338,I338)</f>
        <v>9</v>
      </c>
      <c r="K338" s="17" t="s">
        <v>297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>P338+O338</f>
        <v>200000</v>
      </c>
      <c r="R338" s="7">
        <v>46058</v>
      </c>
      <c r="S338" s="16">
        <f>NETWORKDAYS(H338,R338)</f>
        <v>14</v>
      </c>
      <c r="T338" s="5" t="s">
        <v>794</v>
      </c>
      <c r="U338" s="34" t="s">
        <v>436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>+NETWORKDAYS(H339,I339)</f>
        <v>9</v>
      </c>
      <c r="K339" s="17" t="s">
        <v>297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>P339+O339</f>
        <v>200000</v>
      </c>
      <c r="R339" s="7">
        <v>46058</v>
      </c>
      <c r="S339" s="16">
        <f>NETWORKDAYS(H339,R339)</f>
        <v>14</v>
      </c>
      <c r="T339" s="5" t="s">
        <v>794</v>
      </c>
      <c r="U339" s="34" t="s">
        <v>436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>+NETWORKDAYS(H340,I340)</f>
        <v>47</v>
      </c>
      <c r="K340" s="17" t="s">
        <v>297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>P340+O340</f>
        <v>0</v>
      </c>
      <c r="R340" s="7">
        <v>46058</v>
      </c>
      <c r="S340" s="16">
        <f>NETWORKDAYS(H340,R340)</f>
        <v>70</v>
      </c>
      <c r="T340" s="5" t="s">
        <v>794</v>
      </c>
      <c r="U340" s="34" t="s">
        <v>436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>+NETWORKDAYS(H341,I341)</f>
        <v>39</v>
      </c>
      <c r="K341" s="17" t="s">
        <v>297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>P341+O341</f>
        <v>512495</v>
      </c>
      <c r="R341" s="8">
        <v>46058</v>
      </c>
      <c r="S341" s="16">
        <f>NETWORKDAYS(H341,R341)</f>
        <v>42</v>
      </c>
      <c r="T341" s="5" t="s">
        <v>794</v>
      </c>
      <c r="U341" s="34" t="s">
        <v>436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>+NETWORKDAYS(H342,I342)</f>
        <v>11</v>
      </c>
      <c r="K342" s="17" t="s">
        <v>297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>P342+O342</f>
        <v>0</v>
      </c>
      <c r="R342" s="8">
        <v>46058</v>
      </c>
      <c r="S342" s="16">
        <f>NETWORKDAYS(H342,R342)</f>
        <v>13</v>
      </c>
      <c r="T342" s="5" t="s">
        <v>794</v>
      </c>
      <c r="U342" s="34" t="s">
        <v>436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>+NETWORKDAYS(H343,I343)</f>
        <v>23</v>
      </c>
      <c r="K343" s="17" t="s">
        <v>297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>P343+O343</f>
        <v>791635</v>
      </c>
      <c r="R343" s="7">
        <v>46057</v>
      </c>
      <c r="S343" s="16">
        <f>NETWORKDAYS(H343,R343)</f>
        <v>36</v>
      </c>
      <c r="T343" s="5" t="s">
        <v>794</v>
      </c>
      <c r="U343" s="34" t="s">
        <v>436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>+NETWORKDAYS(H344,I344)</f>
        <v>21</v>
      </c>
      <c r="K344" s="17" t="s">
        <v>297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>P344+O344</f>
        <v>1300000</v>
      </c>
      <c r="R344" s="7">
        <v>46055</v>
      </c>
      <c r="S344" s="16">
        <f>NETWORKDAYS(H344,R344)</f>
        <v>30</v>
      </c>
      <c r="T344" s="5" t="s">
        <v>794</v>
      </c>
      <c r="U344" s="34" t="s">
        <v>436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>+NETWORKDAYS(H345,I345)</f>
        <v>13</v>
      </c>
      <c r="K345" s="17" t="s">
        <v>297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>P345+O345</f>
        <v>1392535</v>
      </c>
      <c r="R345" s="7">
        <v>46055</v>
      </c>
      <c r="S345" s="16">
        <f>NETWORKDAYS(H345,R345)</f>
        <v>22</v>
      </c>
      <c r="T345" s="5" t="s">
        <v>794</v>
      </c>
      <c r="U345" s="34" t="s">
        <v>436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>+NETWORKDAYS(H346,I346)</f>
        <v>6</v>
      </c>
      <c r="K346" s="17" t="s">
        <v>297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>P346+O346</f>
        <v>190000</v>
      </c>
      <c r="R346" s="7">
        <v>46055</v>
      </c>
      <c r="S346" s="16">
        <f>NETWORKDAYS(H346,R346)</f>
        <v>7</v>
      </c>
      <c r="T346" s="5" t="s">
        <v>794</v>
      </c>
      <c r="U346" s="34" t="s">
        <v>436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>+NETWORKDAYS(H347,I347)</f>
        <v>25</v>
      </c>
      <c r="K347" s="17" t="s">
        <v>297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>P347+O347</f>
        <v>891740</v>
      </c>
      <c r="R347" s="7">
        <v>46055</v>
      </c>
      <c r="S347" s="16">
        <f>NETWORKDAYS(H347,R347)</f>
        <v>32</v>
      </c>
      <c r="T347" s="5" t="s">
        <v>794</v>
      </c>
      <c r="U347" s="34" t="s">
        <v>436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>+NETWORKDAYS(H348,I348)</f>
        <v>25</v>
      </c>
      <c r="K348" s="17" t="s">
        <v>297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>P348+O348</f>
        <v>1288712</v>
      </c>
      <c r="R348" s="7">
        <v>46055</v>
      </c>
      <c r="S348" s="16">
        <f>NETWORKDAYS(H348,R348)</f>
        <v>32</v>
      </c>
      <c r="T348" s="5" t="s">
        <v>794</v>
      </c>
      <c r="U348" s="34" t="s">
        <v>436</v>
      </c>
    </row>
    <row r="349" spans="1:23" x14ac:dyDescent="0.35">
      <c r="A349" s="6" t="s">
        <v>253</v>
      </c>
      <c r="B349" s="6" t="s">
        <v>19</v>
      </c>
      <c r="C349" s="6">
        <v>56545909</v>
      </c>
      <c r="D349" s="6" t="s">
        <v>254</v>
      </c>
      <c r="E349" s="6" t="s">
        <v>255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>+NETWORKDAYS(H349,I349)</f>
        <v>7</v>
      </c>
      <c r="K349" s="17" t="s">
        <v>297</v>
      </c>
      <c r="L349" s="22"/>
      <c r="M349" s="5" t="s">
        <v>24</v>
      </c>
      <c r="N349" s="6" t="s">
        <v>256</v>
      </c>
      <c r="O349" s="30">
        <v>133779304</v>
      </c>
      <c r="P349" s="30">
        <v>5620246</v>
      </c>
      <c r="Q349" s="31">
        <f>P349+O349</f>
        <v>139399550</v>
      </c>
      <c r="R349" s="7">
        <v>46045</v>
      </c>
      <c r="S349" s="16">
        <f>NETWORKDAYS(H349,R349)</f>
        <v>10</v>
      </c>
      <c r="T349" s="5" t="s">
        <v>793</v>
      </c>
      <c r="U349" s="34" t="s">
        <v>436</v>
      </c>
    </row>
    <row r="350" spans="1:23" x14ac:dyDescent="0.35">
      <c r="A350" s="6" t="s">
        <v>253</v>
      </c>
      <c r="B350" s="6" t="s">
        <v>19</v>
      </c>
      <c r="C350" s="6">
        <v>56545898</v>
      </c>
      <c r="D350" s="6" t="s">
        <v>254</v>
      </c>
      <c r="E350" s="6" t="s">
        <v>257</v>
      </c>
      <c r="F350" s="6" t="s">
        <v>192</v>
      </c>
      <c r="G350" s="6" t="s">
        <v>37</v>
      </c>
      <c r="H350" s="8">
        <v>46034</v>
      </c>
      <c r="I350" s="8">
        <v>46042</v>
      </c>
      <c r="J350" s="16">
        <f>+NETWORKDAYS(H350,I350)</f>
        <v>7</v>
      </c>
      <c r="K350" s="17" t="s">
        <v>297</v>
      </c>
      <c r="L350" s="22"/>
      <c r="M350" s="5" t="s">
        <v>24</v>
      </c>
      <c r="N350" s="6" t="s">
        <v>256</v>
      </c>
      <c r="O350" s="30">
        <v>0</v>
      </c>
      <c r="P350" s="30">
        <v>500000</v>
      </c>
      <c r="Q350" s="31">
        <f>P350+O350</f>
        <v>500000</v>
      </c>
      <c r="R350" s="7">
        <v>46045</v>
      </c>
      <c r="S350" s="16">
        <f>NETWORKDAYS(H350,R350)</f>
        <v>10</v>
      </c>
      <c r="T350" s="5" t="s">
        <v>793</v>
      </c>
      <c r="U350" s="34" t="s">
        <v>436</v>
      </c>
    </row>
    <row r="351" spans="1:23" x14ac:dyDescent="0.35">
      <c r="A351" s="6" t="s">
        <v>247</v>
      </c>
      <c r="B351" s="6" t="s">
        <v>19</v>
      </c>
      <c r="C351" s="6">
        <v>47250615</v>
      </c>
      <c r="D351" s="6" t="s">
        <v>248</v>
      </c>
      <c r="E351" s="5" t="s">
        <v>258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>+NETWORKDAYS(H351,I351)</f>
        <v>139</v>
      </c>
      <c r="K351" s="17" t="s">
        <v>297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>P351+O351</f>
        <v>433989</v>
      </c>
      <c r="R351" s="7">
        <v>46045</v>
      </c>
      <c r="S351" s="16">
        <f>NETWORKDAYS(H351,R351)</f>
        <v>142</v>
      </c>
      <c r="T351" s="5" t="s">
        <v>793</v>
      </c>
      <c r="U351" s="34" t="s">
        <v>436</v>
      </c>
    </row>
    <row r="352" spans="1:23" x14ac:dyDescent="0.35">
      <c r="A352" s="6" t="s">
        <v>259</v>
      </c>
      <c r="B352" s="6" t="s">
        <v>19</v>
      </c>
      <c r="C352" s="6">
        <v>47435897</v>
      </c>
      <c r="D352" s="6" t="s">
        <v>197</v>
      </c>
      <c r="E352" s="6" t="s">
        <v>260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>+NETWORKDAYS(H352,I352)</f>
        <v>140</v>
      </c>
      <c r="K352" s="17" t="s">
        <v>297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>P352+O352</f>
        <v>900000</v>
      </c>
      <c r="R352" s="7">
        <v>46045</v>
      </c>
      <c r="S352" s="16">
        <f>NETWORKDAYS(H352,R352)</f>
        <v>140</v>
      </c>
      <c r="T352" s="5" t="s">
        <v>793</v>
      </c>
      <c r="U352" s="34" t="s">
        <v>436</v>
      </c>
    </row>
    <row r="353" spans="1:21" x14ac:dyDescent="0.35">
      <c r="A353" s="6" t="s">
        <v>261</v>
      </c>
      <c r="B353" s="6" t="s">
        <v>19</v>
      </c>
      <c r="C353" s="6">
        <v>56403851</v>
      </c>
      <c r="D353" s="6" t="s">
        <v>262</v>
      </c>
      <c r="E353" s="6" t="s">
        <v>263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>+NETWORKDAYS(H353,I353)</f>
        <v>10</v>
      </c>
      <c r="K353" s="17" t="s">
        <v>297</v>
      </c>
      <c r="L353" s="22"/>
      <c r="M353" s="5" t="s">
        <v>24</v>
      </c>
      <c r="N353" s="6" t="s">
        <v>264</v>
      </c>
      <c r="O353" s="30">
        <v>1109000</v>
      </c>
      <c r="P353" s="30">
        <v>935000</v>
      </c>
      <c r="Q353" s="31">
        <f>P353+O353</f>
        <v>2044000</v>
      </c>
      <c r="R353" s="7">
        <v>46045</v>
      </c>
      <c r="S353" s="16">
        <f>NETWORKDAYS(H353,R353)</f>
        <v>12</v>
      </c>
      <c r="T353" s="5" t="s">
        <v>793</v>
      </c>
      <c r="U353" s="34" t="s">
        <v>436</v>
      </c>
    </row>
    <row r="354" spans="1:21" x14ac:dyDescent="0.35">
      <c r="A354" s="6" t="s">
        <v>242</v>
      </c>
      <c r="B354" s="6" t="s">
        <v>19</v>
      </c>
      <c r="C354" s="6">
        <v>56376202</v>
      </c>
      <c r="D354" s="6" t="s">
        <v>35</v>
      </c>
      <c r="E354" s="6" t="s">
        <v>243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>+NETWORKDAYS(H354,I354)</f>
        <v>10</v>
      </c>
      <c r="K354" s="17" t="s">
        <v>297</v>
      </c>
      <c r="L354" s="22"/>
      <c r="M354" s="5" t="s">
        <v>24</v>
      </c>
      <c r="N354" s="6" t="s">
        <v>170</v>
      </c>
      <c r="O354" s="30">
        <v>2000000</v>
      </c>
      <c r="P354" s="30">
        <v>646323</v>
      </c>
      <c r="Q354" s="31">
        <f>P354+O354</f>
        <v>2646323</v>
      </c>
      <c r="R354" s="7">
        <v>46044</v>
      </c>
      <c r="S354" s="16">
        <f>NETWORKDAYS(H354,R354)</f>
        <v>11</v>
      </c>
      <c r="T354" s="5" t="s">
        <v>793</v>
      </c>
      <c r="U354" s="34" t="s">
        <v>436</v>
      </c>
    </row>
    <row r="355" spans="1:21" x14ac:dyDescent="0.35">
      <c r="A355" s="6" t="s">
        <v>244</v>
      </c>
      <c r="B355" s="6" t="s">
        <v>43</v>
      </c>
      <c r="C355" s="6">
        <v>56227462</v>
      </c>
      <c r="D355" s="6" t="s">
        <v>97</v>
      </c>
      <c r="E355" s="6" t="s">
        <v>245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>+NETWORKDAYS(H355,I355)</f>
        <v>10</v>
      </c>
      <c r="K355" s="17" t="s">
        <v>297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>P355+O355</f>
        <v>0</v>
      </c>
      <c r="R355" s="7">
        <v>46044</v>
      </c>
      <c r="S355" s="16">
        <f>NETWORKDAYS(H355,R355)</f>
        <v>13</v>
      </c>
      <c r="T355" s="5" t="s">
        <v>793</v>
      </c>
      <c r="U355" s="34" t="s">
        <v>437</v>
      </c>
    </row>
    <row r="356" spans="1:21" x14ac:dyDescent="0.35">
      <c r="A356" s="6" t="s">
        <v>244</v>
      </c>
      <c r="B356" s="6" t="s">
        <v>43</v>
      </c>
      <c r="C356" s="6">
        <v>56229871</v>
      </c>
      <c r="D356" s="6" t="s">
        <v>203</v>
      </c>
      <c r="E356" s="6" t="s">
        <v>246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>+NETWORKDAYS(H356,I356)</f>
        <v>10</v>
      </c>
      <c r="K356" s="17" t="s">
        <v>297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>P356+O356</f>
        <v>825000</v>
      </c>
      <c r="R356" s="7">
        <v>46044</v>
      </c>
      <c r="S356" s="16">
        <f>NETWORKDAYS(H356,R356)</f>
        <v>13</v>
      </c>
      <c r="T356" s="5" t="s">
        <v>793</v>
      </c>
      <c r="U356" s="34" t="s">
        <v>437</v>
      </c>
    </row>
    <row r="357" spans="1:21" x14ac:dyDescent="0.35">
      <c r="A357" s="6" t="s">
        <v>247</v>
      </c>
      <c r="B357" s="6" t="s">
        <v>19</v>
      </c>
      <c r="C357" s="6">
        <v>47247106</v>
      </c>
      <c r="D357" s="6" t="s">
        <v>248</v>
      </c>
      <c r="E357" s="5" t="s">
        <v>249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>+NETWORKDAYS(H357,I357)</f>
        <v>138</v>
      </c>
      <c r="K357" s="17" t="s">
        <v>297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>P357+O357</f>
        <v>433989</v>
      </c>
      <c r="R357" s="7">
        <v>46044</v>
      </c>
      <c r="S357" s="16">
        <f>NETWORKDAYS(H357,R357)</f>
        <v>141</v>
      </c>
      <c r="T357" s="5" t="s">
        <v>793</v>
      </c>
      <c r="U357" s="34" t="s">
        <v>436</v>
      </c>
    </row>
    <row r="358" spans="1:21" x14ac:dyDescent="0.35">
      <c r="A358" s="3" t="s">
        <v>250</v>
      </c>
      <c r="B358" s="5" t="s">
        <v>30</v>
      </c>
      <c r="C358" s="3">
        <v>46636869</v>
      </c>
      <c r="D358" s="5" t="s">
        <v>251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>+NETWORKDAYS(H358,I358)</f>
        <v>149</v>
      </c>
      <c r="K358" s="17" t="s">
        <v>297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>P358+O358</f>
        <v>190000</v>
      </c>
      <c r="R358" s="7">
        <v>46044</v>
      </c>
      <c r="S358" s="16">
        <f>NETWORKDAYS(H358,R358)</f>
        <v>150</v>
      </c>
      <c r="T358" s="5" t="s">
        <v>793</v>
      </c>
      <c r="U358" s="34" t="s">
        <v>436</v>
      </c>
    </row>
    <row r="359" spans="1:21" x14ac:dyDescent="0.35">
      <c r="A359" s="1" t="s">
        <v>252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>+NETWORKDAYS(H359,I359)</f>
        <v>23</v>
      </c>
      <c r="K359" s="17" t="s">
        <v>297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>P359+O359</f>
        <v>1231750</v>
      </c>
      <c r="R359" s="7">
        <v>46044</v>
      </c>
      <c r="S359" s="16">
        <f>NETWORKDAYS(H359,R359)</f>
        <v>23</v>
      </c>
      <c r="T359" s="5" t="s">
        <v>793</v>
      </c>
      <c r="U359" s="34" t="s">
        <v>436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236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>+NETWORKDAYS(H360,I360)</f>
        <v>51</v>
      </c>
      <c r="K360" s="17" t="s">
        <v>297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>P360+O360</f>
        <v>217691</v>
      </c>
      <c r="R360" s="7">
        <v>46043</v>
      </c>
      <c r="S360" s="16">
        <f>NETWORKDAYS(H360,R360)</f>
        <v>63</v>
      </c>
      <c r="T360" s="5" t="s">
        <v>793</v>
      </c>
      <c r="U360" s="34" t="s">
        <v>437</v>
      </c>
    </row>
    <row r="361" spans="1:21" x14ac:dyDescent="0.35">
      <c r="A361" s="6" t="s">
        <v>237</v>
      </c>
      <c r="B361" s="6" t="s">
        <v>19</v>
      </c>
      <c r="C361" s="6">
        <v>55096581</v>
      </c>
      <c r="D361" s="6" t="s">
        <v>238</v>
      </c>
      <c r="E361" s="6" t="s">
        <v>239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>+NETWORKDAYS(H361,I361)</f>
        <v>18</v>
      </c>
      <c r="K361" s="17" t="s">
        <v>297</v>
      </c>
      <c r="L361" s="22"/>
      <c r="M361" s="5" t="s">
        <v>24</v>
      </c>
      <c r="N361" s="6" t="s">
        <v>193</v>
      </c>
      <c r="O361" s="30">
        <v>2362401</v>
      </c>
      <c r="P361" s="30">
        <v>300000</v>
      </c>
      <c r="Q361" s="31">
        <f>P361+O361</f>
        <v>2662401</v>
      </c>
      <c r="R361" s="7">
        <v>46043</v>
      </c>
      <c r="S361" s="16">
        <f>NETWORKDAYS(H361,R361)</f>
        <v>28</v>
      </c>
      <c r="T361" s="5" t="s">
        <v>793</v>
      </c>
      <c r="U361" s="34" t="s">
        <v>436</v>
      </c>
    </row>
    <row r="362" spans="1:21" x14ac:dyDescent="0.35">
      <c r="A362" s="6" t="s">
        <v>240</v>
      </c>
      <c r="B362" s="5" t="s">
        <v>43</v>
      </c>
      <c r="C362" s="6">
        <v>54649168</v>
      </c>
      <c r="D362" s="5" t="s">
        <v>49</v>
      </c>
      <c r="E362" s="6" t="s">
        <v>241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>+NETWORKDAYS(H362,I362)</f>
        <v>27</v>
      </c>
      <c r="K362" s="17" t="s">
        <v>297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>P362+O362</f>
        <v>0</v>
      </c>
      <c r="R362" s="7">
        <v>46043</v>
      </c>
      <c r="S362" s="16">
        <f>NETWORKDAYS(H362,R362)</f>
        <v>34</v>
      </c>
      <c r="T362" s="5" t="s">
        <v>793</v>
      </c>
      <c r="U362" s="34" t="s">
        <v>436</v>
      </c>
    </row>
    <row r="363" spans="1:21" x14ac:dyDescent="0.35">
      <c r="A363" s="1" t="s">
        <v>230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>+NETWORKDAYS(H363,I363)</f>
        <v>62</v>
      </c>
      <c r="K363" s="17" t="s">
        <v>297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>P363+O363</f>
        <v>210000</v>
      </c>
      <c r="R363" s="7">
        <v>46042</v>
      </c>
      <c r="S363" s="16">
        <f>NETWORKDAYS(H363,R363)</f>
        <v>64</v>
      </c>
      <c r="T363" s="5" t="s">
        <v>793</v>
      </c>
      <c r="U363" s="34" t="s">
        <v>436</v>
      </c>
    </row>
    <row r="364" spans="1:21" x14ac:dyDescent="0.35">
      <c r="A364" s="3" t="s">
        <v>231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>+NETWORKDAYS(H364,I364)</f>
        <v>24</v>
      </c>
      <c r="K364" s="17" t="s">
        <v>297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>P364+O364</f>
        <v>210000</v>
      </c>
      <c r="R364" s="7">
        <v>46042</v>
      </c>
      <c r="S364" s="16">
        <f>NETWORKDAYS(H364,R364)</f>
        <v>32</v>
      </c>
      <c r="T364" s="5" t="s">
        <v>793</v>
      </c>
      <c r="U364" s="34" t="s">
        <v>436</v>
      </c>
    </row>
    <row r="365" spans="1:21" x14ac:dyDescent="0.35">
      <c r="A365" s="3" t="s">
        <v>232</v>
      </c>
      <c r="B365" s="5" t="s">
        <v>19</v>
      </c>
      <c r="C365" s="3">
        <v>56604835</v>
      </c>
      <c r="D365" s="5" t="s">
        <v>20</v>
      </c>
      <c r="E365" s="3" t="s">
        <v>233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>+NETWORKDAYS(H365,I365)</f>
        <v>5</v>
      </c>
      <c r="K365" s="17" t="s">
        <v>297</v>
      </c>
      <c r="L365" s="22"/>
      <c r="M365" s="5" t="s">
        <v>155</v>
      </c>
      <c r="N365" s="5" t="s">
        <v>170</v>
      </c>
      <c r="O365" s="31">
        <v>955437</v>
      </c>
      <c r="P365" s="31">
        <v>0</v>
      </c>
      <c r="Q365" s="31">
        <f>P365+O365</f>
        <v>955437</v>
      </c>
      <c r="R365" s="7">
        <v>46042</v>
      </c>
      <c r="S365" s="16">
        <f>NETWORKDAYS(H365,R365)</f>
        <v>6</v>
      </c>
      <c r="T365" s="5" t="s">
        <v>793</v>
      </c>
      <c r="U365" s="34" t="s">
        <v>436</v>
      </c>
    </row>
    <row r="366" spans="1:21" x14ac:dyDescent="0.35">
      <c r="A366" s="6" t="s">
        <v>234</v>
      </c>
      <c r="B366" s="5" t="s">
        <v>19</v>
      </c>
      <c r="C366" s="6">
        <v>55303164</v>
      </c>
      <c r="D366" s="5" t="s">
        <v>44</v>
      </c>
      <c r="E366" s="6" t="s">
        <v>235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>+NETWORKDAYS(H366,I366)</f>
        <v>19</v>
      </c>
      <c r="K366" s="17" t="s">
        <v>297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>P366+O366</f>
        <v>500000</v>
      </c>
      <c r="R366" s="7">
        <v>46042</v>
      </c>
      <c r="S366" s="16">
        <f>NETWORKDAYS(H366,R366)</f>
        <v>25</v>
      </c>
      <c r="T366" s="5" t="s">
        <v>793</v>
      </c>
      <c r="U366" s="34" t="s">
        <v>436</v>
      </c>
    </row>
    <row r="367" spans="1:21" x14ac:dyDescent="0.35">
      <c r="A367" s="6" t="s">
        <v>226</v>
      </c>
      <c r="B367" s="5" t="s">
        <v>19</v>
      </c>
      <c r="C367" s="19">
        <v>55658281</v>
      </c>
      <c r="D367" s="5" t="s">
        <v>67</v>
      </c>
      <c r="E367" s="6" t="s">
        <v>227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>+NETWORKDAYS(H367,I367)</f>
        <v>17</v>
      </c>
      <c r="K367" s="17" t="s">
        <v>297</v>
      </c>
      <c r="L367" s="22"/>
      <c r="M367" s="5" t="s">
        <v>155</v>
      </c>
      <c r="N367" s="5" t="s">
        <v>146</v>
      </c>
      <c r="O367" s="31">
        <v>0</v>
      </c>
      <c r="P367" s="31">
        <v>0</v>
      </c>
      <c r="Q367" s="31">
        <f>P367+O367</f>
        <v>0</v>
      </c>
      <c r="R367" s="7">
        <v>46041</v>
      </c>
      <c r="S367" s="16">
        <f>NETWORKDAYS(H367,R367)</f>
        <v>20</v>
      </c>
      <c r="T367" s="5" t="s">
        <v>793</v>
      </c>
      <c r="U367" s="34" t="s">
        <v>436</v>
      </c>
    </row>
    <row r="368" spans="1:21" x14ac:dyDescent="0.35">
      <c r="A368" s="6" t="s">
        <v>228</v>
      </c>
      <c r="B368" s="6" t="s">
        <v>19</v>
      </c>
      <c r="C368" s="6">
        <v>55316532</v>
      </c>
      <c r="D368" s="6" t="s">
        <v>20</v>
      </c>
      <c r="E368" s="6" t="s">
        <v>229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>+NETWORKDAYS(H368,I368)</f>
        <v>21</v>
      </c>
      <c r="K368" s="17" t="s">
        <v>297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>P368+O368</f>
        <v>1000000</v>
      </c>
      <c r="R368" s="7">
        <v>46041</v>
      </c>
      <c r="S368" s="16">
        <f>NETWORKDAYS(H368,R368)</f>
        <v>24</v>
      </c>
      <c r="T368" s="5" t="s">
        <v>793</v>
      </c>
      <c r="U368" s="34" t="s">
        <v>436</v>
      </c>
    </row>
    <row r="369" spans="1:21" x14ac:dyDescent="0.35">
      <c r="A369" s="6" t="s">
        <v>223</v>
      </c>
      <c r="B369" s="6" t="s">
        <v>19</v>
      </c>
      <c r="C369" s="6">
        <v>54984896</v>
      </c>
      <c r="D369" s="6" t="s">
        <v>112</v>
      </c>
      <c r="E369" s="6" t="s">
        <v>224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>+NETWORKDAYS(H369,I369)</f>
        <v>15</v>
      </c>
      <c r="K369" s="17" t="s">
        <v>297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>P369+O369</f>
        <v>189985</v>
      </c>
      <c r="R369" s="7">
        <v>46038</v>
      </c>
      <c r="S369" s="16">
        <f>NETWORKDAYS(H369,R369)</f>
        <v>24</v>
      </c>
      <c r="T369" s="5" t="s">
        <v>791</v>
      </c>
      <c r="U369" s="34" t="s">
        <v>436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225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>+NETWORKDAYS(H370,I370)</f>
        <v>44</v>
      </c>
      <c r="K370" s="17" t="s">
        <v>297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>P370+O370</f>
        <v>92730</v>
      </c>
      <c r="R370" s="7">
        <v>46038</v>
      </c>
      <c r="S370" s="16">
        <f>NETWORKDAYS(H370,R370)</f>
        <v>61</v>
      </c>
      <c r="T370" s="5" t="s">
        <v>791</v>
      </c>
      <c r="U370" s="34" t="s">
        <v>437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215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>+NETWORKDAYS(H371,I371)</f>
        <v>45</v>
      </c>
      <c r="K371" s="17" t="s">
        <v>297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>P371+O371</f>
        <v>170681</v>
      </c>
      <c r="R371" s="7">
        <v>46037</v>
      </c>
      <c r="S371" s="16">
        <f>NETWORKDAYS(H371,R371)</f>
        <v>63</v>
      </c>
      <c r="T371" s="5" t="s">
        <v>791</v>
      </c>
      <c r="U371" s="34" t="s">
        <v>437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197</v>
      </c>
      <c r="E372" s="6" t="s">
        <v>216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>+NETWORKDAYS(H372,I372)</f>
        <v>46</v>
      </c>
      <c r="K372" s="17" t="s">
        <v>297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>P372+O372</f>
        <v>92730</v>
      </c>
      <c r="R372" s="7">
        <v>46037</v>
      </c>
      <c r="S372" s="16">
        <f>NETWORKDAYS(H372,R372)</f>
        <v>62</v>
      </c>
      <c r="T372" s="5" t="s">
        <v>791</v>
      </c>
      <c r="U372" s="34" t="s">
        <v>437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197</v>
      </c>
      <c r="E373" s="6" t="s">
        <v>217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>+NETWORKDAYS(H373,I373)</f>
        <v>46</v>
      </c>
      <c r="K373" s="17" t="s">
        <v>297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>P373+O373</f>
        <v>92730</v>
      </c>
      <c r="R373" s="7">
        <v>46037</v>
      </c>
      <c r="S373" s="16">
        <f>NETWORKDAYS(H373,R373)</f>
        <v>62</v>
      </c>
      <c r="T373" s="5" t="s">
        <v>791</v>
      </c>
      <c r="U373" s="34" t="s">
        <v>437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218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>+NETWORKDAYS(H374,I374)</f>
        <v>47</v>
      </c>
      <c r="K374" s="17" t="s">
        <v>297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>P374+O374</f>
        <v>92730</v>
      </c>
      <c r="R374" s="7">
        <v>46037</v>
      </c>
      <c r="S374" s="16">
        <f>NETWORKDAYS(H374,R374)</f>
        <v>63</v>
      </c>
      <c r="T374" s="5" t="s">
        <v>791</v>
      </c>
      <c r="U374" s="34" t="s">
        <v>437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219</v>
      </c>
      <c r="E375" s="6" t="s">
        <v>220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>+NETWORKDAYS(H375,I375)</f>
        <v>46</v>
      </c>
      <c r="K375" s="17" t="s">
        <v>297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>P375+O375</f>
        <v>92730</v>
      </c>
      <c r="R375" s="7">
        <v>46037</v>
      </c>
      <c r="S375" s="16">
        <f>NETWORKDAYS(H375,R375)</f>
        <v>62</v>
      </c>
      <c r="T375" s="5" t="s">
        <v>791</v>
      </c>
      <c r="U375" s="34" t="s">
        <v>437</v>
      </c>
    </row>
    <row r="376" spans="1:21" x14ac:dyDescent="0.35">
      <c r="A376" s="6" t="s">
        <v>221</v>
      </c>
      <c r="B376" s="6" t="s">
        <v>19</v>
      </c>
      <c r="C376" s="26">
        <v>54887240</v>
      </c>
      <c r="D376" s="6" t="s">
        <v>67</v>
      </c>
      <c r="E376" s="6" t="s">
        <v>222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>+NETWORKDAYS(H376,I376)</f>
        <v>14</v>
      </c>
      <c r="K376" s="17" t="s">
        <v>297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>P376+O376</f>
        <v>2667554</v>
      </c>
      <c r="R376" s="7">
        <v>46037</v>
      </c>
      <c r="S376" s="16">
        <f>NETWORKDAYS(H376,R376)</f>
        <v>27</v>
      </c>
      <c r="T376" s="5" t="s">
        <v>791</v>
      </c>
      <c r="U376" s="34" t="s">
        <v>436</v>
      </c>
    </row>
    <row r="377" spans="1:21" x14ac:dyDescent="0.35">
      <c r="A377" s="6" t="s">
        <v>208</v>
      </c>
      <c r="B377" s="6" t="s">
        <v>43</v>
      </c>
      <c r="C377" s="14">
        <v>32892220</v>
      </c>
      <c r="D377" s="6" t="s">
        <v>209</v>
      </c>
      <c r="E377" s="6" t="s">
        <v>210</v>
      </c>
      <c r="F377" s="6" t="s">
        <v>211</v>
      </c>
      <c r="G377" s="6" t="s">
        <v>23</v>
      </c>
      <c r="H377" s="8">
        <v>45525</v>
      </c>
      <c r="I377" s="8">
        <v>45807</v>
      </c>
      <c r="J377" s="16">
        <f>+NETWORKDAYS(H377,I377)</f>
        <v>203</v>
      </c>
      <c r="K377" s="17" t="s">
        <v>297</v>
      </c>
      <c r="L377" s="22"/>
      <c r="M377" s="5" t="s">
        <v>24</v>
      </c>
      <c r="N377" s="6" t="s">
        <v>193</v>
      </c>
      <c r="O377" s="30">
        <v>32214683</v>
      </c>
      <c r="P377" s="30">
        <v>6403996</v>
      </c>
      <c r="Q377" s="31">
        <f>P377+O377</f>
        <v>38618679</v>
      </c>
      <c r="R377" s="7">
        <v>46036</v>
      </c>
      <c r="S377" s="16">
        <f>NETWORKDAYS(H377,R377)</f>
        <v>366</v>
      </c>
      <c r="T377" s="5" t="s">
        <v>791</v>
      </c>
      <c r="U377" s="34" t="s">
        <v>436</v>
      </c>
    </row>
    <row r="378" spans="1:21" x14ac:dyDescent="0.35">
      <c r="A378" s="1" t="s">
        <v>212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>+NETWORKDAYS(H378,I378)</f>
        <v>15</v>
      </c>
      <c r="K378" s="17" t="s">
        <v>297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>P378+O378</f>
        <v>190000</v>
      </c>
      <c r="R378" s="7">
        <v>46036</v>
      </c>
      <c r="S378" s="16">
        <f>NETWORKDAYS(H378,R378)</f>
        <v>16</v>
      </c>
      <c r="T378" s="5" t="s">
        <v>791</v>
      </c>
      <c r="U378" s="34" t="s">
        <v>436</v>
      </c>
    </row>
    <row r="379" spans="1:21" x14ac:dyDescent="0.35">
      <c r="A379" s="1" t="s">
        <v>213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>+NETWORKDAYS(H379,I379)</f>
        <v>11</v>
      </c>
      <c r="K379" s="17" t="s">
        <v>297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>P379+O379</f>
        <v>40000</v>
      </c>
      <c r="R379" s="7">
        <v>46036</v>
      </c>
      <c r="S379" s="16">
        <f>NETWORKDAYS(H379,R379)</f>
        <v>12</v>
      </c>
      <c r="T379" s="5" t="s">
        <v>791</v>
      </c>
      <c r="U379" s="34" t="s">
        <v>436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214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>+NETWORKDAYS(H380,I380)</f>
        <v>13</v>
      </c>
      <c r="K380" s="17" t="s">
        <v>297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>P380+O380</f>
        <v>1705164</v>
      </c>
      <c r="R380" s="7">
        <v>46036</v>
      </c>
      <c r="S380" s="16">
        <f>NETWORKDAYS(H380,R380)</f>
        <v>42</v>
      </c>
      <c r="T380" s="5" t="s">
        <v>791</v>
      </c>
      <c r="U380" s="34" t="s">
        <v>436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194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>+NETWORKDAYS(H381,I381)</f>
        <v>245</v>
      </c>
      <c r="K381" s="17" t="s">
        <v>297</v>
      </c>
      <c r="L381" s="22"/>
      <c r="M381" s="5" t="s">
        <v>24</v>
      </c>
      <c r="N381" s="6" t="s">
        <v>195</v>
      </c>
      <c r="O381" s="30">
        <v>2000000</v>
      </c>
      <c r="P381" s="30">
        <v>380000</v>
      </c>
      <c r="Q381" s="31">
        <f>P381+O381</f>
        <v>2380000</v>
      </c>
      <c r="R381" s="7">
        <v>46035</v>
      </c>
      <c r="S381" s="16">
        <f>NETWORKDAYS(H381,R381)</f>
        <v>249</v>
      </c>
      <c r="T381" s="5" t="s">
        <v>791</v>
      </c>
      <c r="U381" s="34" t="s">
        <v>436</v>
      </c>
    </row>
    <row r="382" spans="1:21" x14ac:dyDescent="0.35">
      <c r="A382" s="6" t="s">
        <v>196</v>
      </c>
      <c r="B382" s="6" t="s">
        <v>43</v>
      </c>
      <c r="C382" s="6">
        <v>54215173</v>
      </c>
      <c r="D382" s="6" t="s">
        <v>197</v>
      </c>
      <c r="E382" s="6" t="s">
        <v>198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>+NETWORKDAYS(H382,I382)</f>
        <v>31</v>
      </c>
      <c r="K382" s="17" t="s">
        <v>297</v>
      </c>
      <c r="L382" s="22"/>
      <c r="M382" s="25" t="s">
        <v>155</v>
      </c>
      <c r="N382" s="6" t="s">
        <v>28</v>
      </c>
      <c r="O382" s="25">
        <v>0</v>
      </c>
      <c r="P382" s="30">
        <v>0</v>
      </c>
      <c r="Q382" s="31">
        <f>P382+O382</f>
        <v>0</v>
      </c>
      <c r="R382" s="7">
        <v>46035</v>
      </c>
      <c r="S382" s="16">
        <f>NETWORKDAYS(H382,R382)</f>
        <v>34</v>
      </c>
      <c r="T382" s="5" t="s">
        <v>791</v>
      </c>
      <c r="U382" s="34" t="s">
        <v>436</v>
      </c>
    </row>
    <row r="383" spans="1:21" x14ac:dyDescent="0.35">
      <c r="A383" s="6" t="s">
        <v>199</v>
      </c>
      <c r="B383" s="6" t="s">
        <v>43</v>
      </c>
      <c r="C383" s="6">
        <v>55655854</v>
      </c>
      <c r="D383" s="6" t="s">
        <v>67</v>
      </c>
      <c r="E383" s="6" t="s">
        <v>200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>+NETWORKDAYS(H383,I383)</f>
        <v>13</v>
      </c>
      <c r="K383" s="17" t="s">
        <v>297</v>
      </c>
      <c r="L383" s="22"/>
      <c r="M383" s="5" t="s">
        <v>155</v>
      </c>
      <c r="N383" s="5" t="s">
        <v>28</v>
      </c>
      <c r="O383" s="30">
        <v>0</v>
      </c>
      <c r="P383" s="30">
        <v>0</v>
      </c>
      <c r="Q383" s="31">
        <f>P383+O383</f>
        <v>0</v>
      </c>
      <c r="R383" s="7">
        <v>46035</v>
      </c>
      <c r="S383" s="16">
        <f>NETWORKDAYS(H383,R383)</f>
        <v>16</v>
      </c>
      <c r="T383" s="5" t="s">
        <v>791</v>
      </c>
      <c r="U383" s="34" t="s">
        <v>436</v>
      </c>
    </row>
    <row r="384" spans="1:21" x14ac:dyDescent="0.35">
      <c r="A384" s="1" t="s">
        <v>201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>+NETWORKDAYS(H384,I384)</f>
        <v>29</v>
      </c>
      <c r="K384" s="17" t="s">
        <v>297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>P384+O384</f>
        <v>144000</v>
      </c>
      <c r="R384" s="7">
        <v>46035</v>
      </c>
      <c r="S384" s="16">
        <f>NETWORKDAYS(H384,R384)</f>
        <v>33</v>
      </c>
      <c r="T384" s="5" t="s">
        <v>791</v>
      </c>
      <c r="U384" s="34" t="s">
        <v>436</v>
      </c>
    </row>
    <row r="385" spans="1:21" x14ac:dyDescent="0.35">
      <c r="A385" s="1" t="s">
        <v>202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>+NETWORKDAYS(H385,I385)</f>
        <v>16</v>
      </c>
      <c r="K385" s="17" t="s">
        <v>297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>P385+O385</f>
        <v>1000000</v>
      </c>
      <c r="R385" s="7">
        <v>46035</v>
      </c>
      <c r="S385" s="16">
        <f>NETWORKDAYS(H385,R385)</f>
        <v>20</v>
      </c>
      <c r="T385" s="5" t="s">
        <v>791</v>
      </c>
      <c r="U385" s="34" t="s">
        <v>436</v>
      </c>
    </row>
    <row r="386" spans="1:21" x14ac:dyDescent="0.35">
      <c r="A386" s="6" t="s">
        <v>168</v>
      </c>
      <c r="B386" s="6" t="s">
        <v>43</v>
      </c>
      <c r="C386" s="6">
        <v>55418390</v>
      </c>
      <c r="D386" s="6" t="s">
        <v>203</v>
      </c>
      <c r="E386" s="6" t="s">
        <v>204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>+NETWORKDAYS(H386,I386)</f>
        <v>15</v>
      </c>
      <c r="K386" s="17" t="s">
        <v>297</v>
      </c>
      <c r="L386" s="22"/>
      <c r="M386" s="5" t="s">
        <v>24</v>
      </c>
      <c r="N386" s="5" t="s">
        <v>170</v>
      </c>
      <c r="O386" s="30">
        <v>847200</v>
      </c>
      <c r="P386" s="30">
        <v>0</v>
      </c>
      <c r="Q386" s="31">
        <f>P386+O386</f>
        <v>847200</v>
      </c>
      <c r="R386" s="7">
        <v>46035</v>
      </c>
      <c r="S386" s="16">
        <f>NETWORKDAYS(H386,R386)</f>
        <v>19</v>
      </c>
      <c r="T386" s="5" t="s">
        <v>791</v>
      </c>
      <c r="U386" s="34" t="s">
        <v>436</v>
      </c>
    </row>
    <row r="387" spans="1:21" s="18" customFormat="1" x14ac:dyDescent="0.35">
      <c r="A387" s="6" t="s">
        <v>205</v>
      </c>
      <c r="B387" s="6" t="s">
        <v>43</v>
      </c>
      <c r="C387" s="6">
        <v>55671110</v>
      </c>
      <c r="D387" s="6" t="s">
        <v>206</v>
      </c>
      <c r="E387" s="6" t="s">
        <v>207</v>
      </c>
      <c r="F387" s="6" t="s">
        <v>192</v>
      </c>
      <c r="G387" s="6" t="s">
        <v>23</v>
      </c>
      <c r="H387" s="8">
        <v>46014</v>
      </c>
      <c r="I387" s="8">
        <v>46029</v>
      </c>
      <c r="J387" s="16">
        <f>+NETWORKDAYS(H387,I387)</f>
        <v>12</v>
      </c>
      <c r="K387" s="17" t="s">
        <v>297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>P387+O387</f>
        <v>2780000</v>
      </c>
      <c r="R387" s="7">
        <v>46035</v>
      </c>
      <c r="S387" s="16">
        <f>NETWORKDAYS(H387,R387)</f>
        <v>16</v>
      </c>
      <c r="T387" s="5" t="s">
        <v>791</v>
      </c>
      <c r="U387" s="34" t="s">
        <v>436</v>
      </c>
    </row>
    <row r="388" spans="1:21" x14ac:dyDescent="0.35">
      <c r="A388" s="6" t="s">
        <v>189</v>
      </c>
      <c r="B388" s="6" t="s">
        <v>19</v>
      </c>
      <c r="C388" s="6">
        <v>51830827</v>
      </c>
      <c r="D388" s="6" t="s">
        <v>190</v>
      </c>
      <c r="E388" s="6" t="s">
        <v>191</v>
      </c>
      <c r="F388" s="6" t="s">
        <v>192</v>
      </c>
      <c r="G388" s="6" t="s">
        <v>23</v>
      </c>
      <c r="H388" s="8">
        <v>45944</v>
      </c>
      <c r="I388" s="8">
        <v>46030</v>
      </c>
      <c r="J388" s="16">
        <f>+NETWORKDAYS(H388,I388)</f>
        <v>63</v>
      </c>
      <c r="K388" s="17" t="s">
        <v>297</v>
      </c>
      <c r="L388" s="22"/>
      <c r="M388" s="5" t="s">
        <v>24</v>
      </c>
      <c r="N388" s="6" t="s">
        <v>193</v>
      </c>
      <c r="O388" s="30">
        <v>3000000</v>
      </c>
      <c r="P388" s="30">
        <v>270000</v>
      </c>
      <c r="Q388" s="31">
        <f>P388+O388</f>
        <v>3270000</v>
      </c>
      <c r="R388" s="7">
        <v>46031</v>
      </c>
      <c r="S388" s="16">
        <f>NETWORKDAYS(H388,R388)</f>
        <v>64</v>
      </c>
      <c r="T388" s="5" t="s">
        <v>792</v>
      </c>
      <c r="U388" s="34" t="s">
        <v>436</v>
      </c>
    </row>
    <row r="389" spans="1:21" x14ac:dyDescent="0.35">
      <c r="A389" s="14" t="s">
        <v>173</v>
      </c>
      <c r="B389" s="6" t="s">
        <v>19</v>
      </c>
      <c r="C389" s="6">
        <v>54826025</v>
      </c>
      <c r="D389" s="6" t="s">
        <v>171</v>
      </c>
      <c r="E389" s="6" t="s">
        <v>174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>+NETWORKDAYS(H389,I389)</f>
        <v>7</v>
      </c>
      <c r="K389" s="17" t="s">
        <v>297</v>
      </c>
      <c r="L389" s="22"/>
      <c r="M389" s="5" t="s">
        <v>24</v>
      </c>
      <c r="N389" s="6" t="s">
        <v>175</v>
      </c>
      <c r="O389" s="30">
        <v>1500000</v>
      </c>
      <c r="P389" s="30">
        <v>571781</v>
      </c>
      <c r="Q389" s="31">
        <f>P389+O389</f>
        <v>2071781</v>
      </c>
      <c r="R389" s="7">
        <v>46030</v>
      </c>
      <c r="S389" s="16">
        <f>NETWORKDAYS(H389,R389)</f>
        <v>21</v>
      </c>
      <c r="T389" s="5" t="s">
        <v>792</v>
      </c>
      <c r="U389" s="34" t="s">
        <v>436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176</v>
      </c>
      <c r="E390" s="5" t="s">
        <v>177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>+NETWORKDAYS(H390,I390)</f>
        <v>15</v>
      </c>
      <c r="K390" s="17" t="s">
        <v>297</v>
      </c>
      <c r="L390" s="22"/>
      <c r="M390" s="25" t="s">
        <v>155</v>
      </c>
      <c r="N390" s="12" t="s">
        <v>28</v>
      </c>
      <c r="O390" s="9">
        <v>0</v>
      </c>
      <c r="P390" s="9">
        <v>0</v>
      </c>
      <c r="Q390" s="31">
        <f>P390+O390</f>
        <v>0</v>
      </c>
      <c r="R390" s="7">
        <v>46030</v>
      </c>
      <c r="S390" s="16">
        <f>NETWORKDAYS(H390,R390)</f>
        <v>15</v>
      </c>
      <c r="T390" s="5" t="s">
        <v>792</v>
      </c>
      <c r="U390" s="34" t="s">
        <v>437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176</v>
      </c>
      <c r="E391" s="5" t="s">
        <v>178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>+NETWORKDAYS(H391,I391)</f>
        <v>15</v>
      </c>
      <c r="K391" s="17" t="s">
        <v>297</v>
      </c>
      <c r="L391" s="22"/>
      <c r="M391" s="25" t="s">
        <v>155</v>
      </c>
      <c r="N391" s="12" t="s">
        <v>28</v>
      </c>
      <c r="O391" s="9">
        <v>0</v>
      </c>
      <c r="P391" s="9">
        <v>0</v>
      </c>
      <c r="Q391" s="31">
        <f>P391+O391</f>
        <v>0</v>
      </c>
      <c r="R391" s="7">
        <v>46030</v>
      </c>
      <c r="S391" s="16">
        <f>NETWORKDAYS(H391,R391)</f>
        <v>15</v>
      </c>
      <c r="T391" s="5" t="s">
        <v>792</v>
      </c>
      <c r="U391" s="34" t="s">
        <v>437</v>
      </c>
    </row>
    <row r="392" spans="1:21" s="18" customFormat="1" x14ac:dyDescent="0.35">
      <c r="A392" s="6" t="s">
        <v>168</v>
      </c>
      <c r="B392" s="6" t="s">
        <v>43</v>
      </c>
      <c r="C392" s="6">
        <v>55419176</v>
      </c>
      <c r="D392" s="6" t="s">
        <v>35</v>
      </c>
      <c r="E392" s="6" t="s">
        <v>179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>+NETWORKDAYS(H392,I392)</f>
        <v>12</v>
      </c>
      <c r="K392" s="17" t="s">
        <v>297</v>
      </c>
      <c r="L392" s="22"/>
      <c r="M392" s="25" t="s">
        <v>24</v>
      </c>
      <c r="N392" s="6" t="s">
        <v>170</v>
      </c>
      <c r="O392" s="30">
        <v>847200</v>
      </c>
      <c r="P392" s="30">
        <v>0</v>
      </c>
      <c r="Q392" s="31">
        <f>P392+O392</f>
        <v>847200</v>
      </c>
      <c r="R392" s="7">
        <v>46030</v>
      </c>
      <c r="S392" s="16">
        <f>NETWORKDAYS(H392,R392)</f>
        <v>16</v>
      </c>
      <c r="T392" s="5" t="s">
        <v>792</v>
      </c>
      <c r="U392" s="34" t="s">
        <v>436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180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>+NETWORKDAYS(H393,I393)</f>
        <v>15</v>
      </c>
      <c r="K393" s="17" t="s">
        <v>297</v>
      </c>
      <c r="L393" s="22"/>
      <c r="M393" s="5" t="s">
        <v>155</v>
      </c>
      <c r="N393" s="6" t="s">
        <v>146</v>
      </c>
      <c r="O393" s="30">
        <v>0</v>
      </c>
      <c r="P393" s="30">
        <v>0</v>
      </c>
      <c r="Q393" s="31">
        <f>P393+O393</f>
        <v>0</v>
      </c>
      <c r="R393" s="7">
        <v>46030</v>
      </c>
      <c r="S393" s="16">
        <f>NETWORKDAYS(H393,R393)</f>
        <v>15</v>
      </c>
      <c r="T393" s="5" t="s">
        <v>792</v>
      </c>
      <c r="U393" s="34" t="s">
        <v>437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181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>+NETWORKDAYS(H394,I394)</f>
        <v>15</v>
      </c>
      <c r="K394" s="17" t="s">
        <v>297</v>
      </c>
      <c r="L394" s="22"/>
      <c r="M394" s="5" t="s">
        <v>155</v>
      </c>
      <c r="N394" s="6" t="s">
        <v>28</v>
      </c>
      <c r="O394" s="31">
        <v>0</v>
      </c>
      <c r="P394" s="31">
        <v>0</v>
      </c>
      <c r="Q394" s="31">
        <f>P394+O394</f>
        <v>0</v>
      </c>
      <c r="R394" s="7">
        <v>46030</v>
      </c>
      <c r="S394" s="16">
        <f>NETWORKDAYS(H394,R394)</f>
        <v>15</v>
      </c>
      <c r="T394" s="5" t="s">
        <v>792</v>
      </c>
      <c r="U394" s="34" t="s">
        <v>437</v>
      </c>
    </row>
    <row r="395" spans="1:21" x14ac:dyDescent="0.35">
      <c r="A395" s="6" t="s">
        <v>182</v>
      </c>
      <c r="B395" s="6" t="s">
        <v>19</v>
      </c>
      <c r="C395" s="6">
        <v>53756974</v>
      </c>
      <c r="D395" s="6" t="s">
        <v>171</v>
      </c>
      <c r="E395" s="6" t="s">
        <v>183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>+NETWORKDAYS(H395,I395)</f>
        <v>38</v>
      </c>
      <c r="K395" s="17" t="s">
        <v>297</v>
      </c>
      <c r="L395" s="22"/>
      <c r="M395" s="5" t="s">
        <v>184</v>
      </c>
      <c r="N395" s="6" t="s">
        <v>28</v>
      </c>
      <c r="O395" s="25">
        <v>0</v>
      </c>
      <c r="P395" s="30">
        <v>1588888</v>
      </c>
      <c r="Q395" s="31">
        <f>P395+O395</f>
        <v>1588888</v>
      </c>
      <c r="R395" s="7">
        <v>46030</v>
      </c>
      <c r="S395" s="16">
        <f>NETWORKDAYS(H395,R395)</f>
        <v>38</v>
      </c>
      <c r="T395" s="5" t="s">
        <v>792</v>
      </c>
      <c r="U395" s="34" t="s">
        <v>436</v>
      </c>
    </row>
    <row r="396" spans="1:21" x14ac:dyDescent="0.35">
      <c r="A396" s="6" t="s">
        <v>185</v>
      </c>
      <c r="B396" s="6" t="s">
        <v>19</v>
      </c>
      <c r="C396" s="6">
        <v>55949415</v>
      </c>
      <c r="D396" s="6" t="s">
        <v>186</v>
      </c>
      <c r="E396" s="6" t="s">
        <v>187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>+NETWORKDAYS(H396,I396)</f>
        <v>9</v>
      </c>
      <c r="K396" s="17" t="s">
        <v>297</v>
      </c>
      <c r="L396" s="22"/>
      <c r="M396" s="5" t="s">
        <v>155</v>
      </c>
      <c r="N396" s="6" t="s">
        <v>28</v>
      </c>
      <c r="O396" s="25">
        <v>1480000</v>
      </c>
      <c r="P396" s="30">
        <v>0</v>
      </c>
      <c r="Q396" s="31">
        <f>P396+O396</f>
        <v>1480000</v>
      </c>
      <c r="R396" s="7">
        <v>46030</v>
      </c>
      <c r="S396" s="16">
        <f>NETWORKDAYS(H396,R396)</f>
        <v>9</v>
      </c>
      <c r="T396" s="5" t="s">
        <v>792</v>
      </c>
      <c r="U396" s="34" t="s">
        <v>436</v>
      </c>
    </row>
    <row r="397" spans="1:21" x14ac:dyDescent="0.35">
      <c r="A397" s="6" t="s">
        <v>185</v>
      </c>
      <c r="B397" s="6" t="s">
        <v>19</v>
      </c>
      <c r="C397" s="19">
        <v>55950285</v>
      </c>
      <c r="D397" s="6" t="s">
        <v>186</v>
      </c>
      <c r="E397" s="6" t="s">
        <v>188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>+NETWORKDAYS(H397,I397)</f>
        <v>9</v>
      </c>
      <c r="K397" s="17" t="s">
        <v>779</v>
      </c>
      <c r="L397" s="22"/>
      <c r="M397" s="5" t="s">
        <v>155</v>
      </c>
      <c r="N397" s="5" t="s">
        <v>28</v>
      </c>
      <c r="O397" s="31">
        <v>0</v>
      </c>
      <c r="P397" s="31">
        <v>0</v>
      </c>
      <c r="Q397" s="31">
        <f>P397+O397</f>
        <v>0</v>
      </c>
      <c r="R397" s="7">
        <v>46030</v>
      </c>
      <c r="S397" s="16">
        <f>NETWORKDAYS(H397,R397)</f>
        <v>9</v>
      </c>
      <c r="T397" s="5" t="s">
        <v>792</v>
      </c>
      <c r="U397" s="34" t="s">
        <v>436</v>
      </c>
    </row>
    <row r="398" spans="1:21" x14ac:dyDescent="0.35">
      <c r="A398" s="61" t="s">
        <v>165</v>
      </c>
      <c r="B398" s="61" t="s">
        <v>43</v>
      </c>
      <c r="C398" s="70">
        <v>51915231</v>
      </c>
      <c r="D398" s="61" t="s">
        <v>166</v>
      </c>
      <c r="E398" s="61" t="s">
        <v>167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>+NETWORKDAYS(H398,I398)</f>
        <v>60</v>
      </c>
      <c r="K398" s="64" t="s">
        <v>297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>P398+O398</f>
        <v>2101520</v>
      </c>
      <c r="R398" s="65">
        <v>46029</v>
      </c>
      <c r="S398" s="16">
        <f>NETWORKDAYS(H398,R398)</f>
        <v>62</v>
      </c>
      <c r="T398" s="5" t="s">
        <v>792</v>
      </c>
      <c r="U398" s="67" t="s">
        <v>436</v>
      </c>
    </row>
    <row r="399" spans="1:21" x14ac:dyDescent="0.35">
      <c r="A399" s="6" t="s">
        <v>168</v>
      </c>
      <c r="B399" s="6" t="s">
        <v>43</v>
      </c>
      <c r="C399" s="6">
        <v>55419204</v>
      </c>
      <c r="D399" s="6" t="s">
        <v>35</v>
      </c>
      <c r="E399" s="6" t="s">
        <v>169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>+NETWORKDAYS(H399,I399)</f>
        <v>12</v>
      </c>
      <c r="K399" s="17" t="s">
        <v>297</v>
      </c>
      <c r="L399" s="22"/>
      <c r="M399" s="5" t="s">
        <v>24</v>
      </c>
      <c r="N399" s="6" t="s">
        <v>170</v>
      </c>
      <c r="O399" s="30">
        <v>1977000</v>
      </c>
      <c r="P399" s="30">
        <v>0</v>
      </c>
      <c r="Q399" s="31">
        <f>P399+O399</f>
        <v>1977000</v>
      </c>
      <c r="R399" s="7">
        <v>46029</v>
      </c>
      <c r="S399" s="16">
        <f>NETWORKDAYS(H399,R399)</f>
        <v>15</v>
      </c>
      <c r="T399" s="5" t="s">
        <v>792</v>
      </c>
      <c r="U399" s="34" t="s">
        <v>436</v>
      </c>
    </row>
    <row r="400" spans="1:21" x14ac:dyDescent="0.35">
      <c r="A400" s="6" t="s">
        <v>168</v>
      </c>
      <c r="B400" s="6" t="s">
        <v>43</v>
      </c>
      <c r="C400" s="6">
        <v>55418406</v>
      </c>
      <c r="D400" s="6" t="s">
        <v>171</v>
      </c>
      <c r="E400" s="6" t="s">
        <v>172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>+NETWORKDAYS(H400,I400)</f>
        <v>15</v>
      </c>
      <c r="K400" s="17" t="s">
        <v>297</v>
      </c>
      <c r="L400" s="22"/>
      <c r="M400" s="5" t="s">
        <v>24</v>
      </c>
      <c r="N400" s="6" t="s">
        <v>170</v>
      </c>
      <c r="O400" s="30">
        <v>1977000</v>
      </c>
      <c r="P400" s="30">
        <v>0</v>
      </c>
      <c r="Q400" s="31">
        <f>P400+O400</f>
        <v>1977000</v>
      </c>
      <c r="R400" s="7">
        <v>46029</v>
      </c>
      <c r="S400" s="16">
        <f>NETWORKDAYS(H400,R400)</f>
        <v>15</v>
      </c>
      <c r="T400" s="5" t="s">
        <v>792</v>
      </c>
      <c r="U400" s="34" t="s">
        <v>436</v>
      </c>
    </row>
    <row r="401" spans="1:21" x14ac:dyDescent="0.35">
      <c r="A401" s="6" t="s">
        <v>162</v>
      </c>
      <c r="B401" s="6" t="s">
        <v>19</v>
      </c>
      <c r="C401" s="6">
        <v>53397829</v>
      </c>
      <c r="D401" s="6" t="s">
        <v>35</v>
      </c>
      <c r="E401" s="6" t="s">
        <v>163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>+NETWORKDAYS(H401,I401)</f>
        <v>34</v>
      </c>
      <c r="K401" s="17" t="s">
        <v>297</v>
      </c>
      <c r="L401" s="17"/>
      <c r="M401" s="7" t="s">
        <v>24</v>
      </c>
      <c r="N401" s="6" t="s">
        <v>164</v>
      </c>
      <c r="O401" s="30">
        <v>3264000</v>
      </c>
      <c r="P401" s="30">
        <v>408000</v>
      </c>
      <c r="Q401" s="31">
        <f>P401+O401</f>
        <v>3672000</v>
      </c>
      <c r="R401" s="7">
        <v>46028</v>
      </c>
      <c r="S401" s="16">
        <f>NETWORKDAYS(H401,R401)</f>
        <v>41</v>
      </c>
      <c r="T401" s="5" t="s">
        <v>792</v>
      </c>
      <c r="U401" s="34" t="s">
        <v>436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158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>+NETWORKDAYS(H402,I402)</f>
        <v>11</v>
      </c>
      <c r="K402" s="17" t="s">
        <v>297</v>
      </c>
      <c r="L402" s="17"/>
      <c r="M402" s="7" t="s">
        <v>155</v>
      </c>
      <c r="N402" s="6" t="s">
        <v>28</v>
      </c>
      <c r="O402" s="30">
        <v>0</v>
      </c>
      <c r="P402" s="30">
        <v>0</v>
      </c>
      <c r="Q402" s="31">
        <f>P402+O402</f>
        <v>0</v>
      </c>
      <c r="R402" s="7">
        <v>46027</v>
      </c>
      <c r="S402" s="16">
        <f>NETWORKDAYS(H402,R402)</f>
        <v>12</v>
      </c>
      <c r="T402" s="5" t="s">
        <v>792</v>
      </c>
      <c r="U402" s="34" t="s">
        <v>437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159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>+NETWORKDAYS(H403,I403)</f>
        <v>11</v>
      </c>
      <c r="K403" s="17" t="s">
        <v>297</v>
      </c>
      <c r="L403" s="17"/>
      <c r="M403" s="7" t="s">
        <v>155</v>
      </c>
      <c r="N403" s="6" t="s">
        <v>146</v>
      </c>
      <c r="O403" s="30">
        <v>0</v>
      </c>
      <c r="P403" s="30">
        <v>0</v>
      </c>
      <c r="Q403" s="31">
        <f>P403+O403</f>
        <v>0</v>
      </c>
      <c r="R403" s="7">
        <v>46027</v>
      </c>
      <c r="S403" s="16">
        <f>NETWORKDAYS(H403,R403)</f>
        <v>12</v>
      </c>
      <c r="T403" s="5" t="s">
        <v>792</v>
      </c>
      <c r="U403" s="34" t="s">
        <v>437</v>
      </c>
    </row>
    <row r="404" spans="1:21" ht="36" x14ac:dyDescent="0.35">
      <c r="A404" s="4" t="s">
        <v>160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>+NETWORKDAYS(H404,I404)</f>
        <v>31</v>
      </c>
      <c r="K404" s="17" t="s">
        <v>297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>P404+O404</f>
        <v>341435</v>
      </c>
      <c r="R404" s="7">
        <v>46027</v>
      </c>
      <c r="S404" s="16">
        <f>NETWORKDAYS(H404,R404)</f>
        <v>31</v>
      </c>
      <c r="T404" s="5" t="s">
        <v>792</v>
      </c>
      <c r="U404" s="34" t="s">
        <v>436</v>
      </c>
    </row>
    <row r="405" spans="1:21" x14ac:dyDescent="0.35">
      <c r="A405" s="4" t="s">
        <v>161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>+NETWORKDAYS(H405,I405)</f>
        <v>28</v>
      </c>
      <c r="K405" s="17" t="s">
        <v>297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>P405+O405</f>
        <v>190000</v>
      </c>
      <c r="R405" s="7">
        <v>46027</v>
      </c>
      <c r="S405" s="16">
        <f>NETWORKDAYS(H405,R405)</f>
        <v>28</v>
      </c>
      <c r="T405" s="5" t="s">
        <v>792</v>
      </c>
      <c r="U405" s="34" t="s">
        <v>436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>+NETWORKDAYS(H406,I406)</f>
        <v>4</v>
      </c>
      <c r="K406" s="17" t="s">
        <v>297</v>
      </c>
      <c r="L406" s="17"/>
      <c r="M406" s="7" t="s">
        <v>155</v>
      </c>
      <c r="N406" s="17" t="s">
        <v>28</v>
      </c>
      <c r="O406" s="29">
        <v>0</v>
      </c>
      <c r="P406" s="29">
        <v>0</v>
      </c>
      <c r="Q406" s="29">
        <f>P406+O406</f>
        <v>0</v>
      </c>
      <c r="R406" s="7">
        <v>46024</v>
      </c>
      <c r="S406" s="16">
        <f>NETWORKDAYS(H406,R406)</f>
        <v>11</v>
      </c>
      <c r="T406" s="5" t="s">
        <v>790</v>
      </c>
      <c r="U406" s="34" t="s">
        <v>437</v>
      </c>
    </row>
    <row r="407" spans="1:21" x14ac:dyDescent="0.35">
      <c r="A407" s="1" t="s">
        <v>156</v>
      </c>
      <c r="B407" s="6" t="s">
        <v>85</v>
      </c>
      <c r="C407" s="1">
        <v>54831027</v>
      </c>
      <c r="D407" s="6" t="s">
        <v>157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>+NETWORKDAYS(H407,I407)</f>
        <v>17</v>
      </c>
      <c r="K407" s="17" t="s">
        <v>297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>P407+O407</f>
        <v>1231750</v>
      </c>
      <c r="R407" s="7">
        <v>46024</v>
      </c>
      <c r="S407" s="16">
        <f>NETWORKDAYS(H407,R407)</f>
        <v>19</v>
      </c>
      <c r="T407" s="5" t="s">
        <v>790</v>
      </c>
      <c r="U407" s="34" t="s">
        <v>436</v>
      </c>
    </row>
  </sheetData>
  <autoFilter ref="A1:U407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1048576">
    <cfRule type="duplicateValues" dxfId="23" priority="181"/>
    <cfRule type="duplicateValues" dxfId="22" priority="182"/>
  </conditionalFormatting>
  <conditionalFormatting sqref="C243:C286 C1:C211 C303:C328 C355:C356 C362:C369 C384:C395 C402:C1048576">
    <cfRule type="duplicateValues" dxfId="21" priority="191"/>
  </conditionalFormatting>
  <conditionalFormatting sqref="C243:C286 C1:C231 C303:C328 C355:C356 C362:C369 C384:C395 C402:C1048576">
    <cfRule type="duplicateValues" dxfId="20" priority="196"/>
  </conditionalFormatting>
  <conditionalFormatting sqref="C303:C328 C1:C293 C355:C356 C362:C369 C384:C395 C402:C1048576">
    <cfRule type="duplicateValues" dxfId="19" priority="201"/>
  </conditionalFormatting>
  <conditionalFormatting sqref="C303:C328 C1:C294 C355:C356 C362:C369 C384:C395 C402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1048576">
    <cfRule type="duplicateValues" dxfId="14" priority="5"/>
  </conditionalFormatting>
  <conditionalFormatting sqref="C402:C1048576 C1:C395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2026-06-03T21:01:16Z</dcterms:modified>
</cp:coreProperties>
</file>