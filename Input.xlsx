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220" documentId="11_26573A825B844769D80B0CAB0943EC1510201055" xr6:coauthVersionLast="47" xr6:coauthVersionMax="47" xr10:uidLastSave="{1A18ABF7-0AC3-4E06-96DC-75FE5124C1E8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MES!$A$1:$U$587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88" i="1" l="1"/>
  <c r="S589" i="1"/>
  <c r="S590" i="1"/>
  <c r="S591" i="1"/>
  <c r="S592" i="1"/>
  <c r="S593" i="1"/>
  <c r="S594" i="1"/>
  <c r="S595" i="1"/>
  <c r="S596" i="1"/>
  <c r="S597" i="1"/>
  <c r="S598" i="1"/>
  <c r="J588" i="1"/>
  <c r="J589" i="1"/>
  <c r="J590" i="1"/>
  <c r="J591" i="1"/>
  <c r="J592" i="1"/>
  <c r="J593" i="1"/>
  <c r="J594" i="1"/>
  <c r="J595" i="1"/>
  <c r="J596" i="1"/>
  <c r="J597" i="1"/>
  <c r="J598" i="1"/>
  <c r="S587" i="1"/>
  <c r="J587" i="1"/>
  <c r="S577" i="1"/>
  <c r="S578" i="1"/>
  <c r="S579" i="1"/>
  <c r="S580" i="1"/>
  <c r="S581" i="1"/>
  <c r="S582" i="1"/>
  <c r="S583" i="1"/>
  <c r="S584" i="1"/>
  <c r="S585" i="1"/>
  <c r="S586" i="1"/>
  <c r="J577" i="1"/>
  <c r="J578" i="1"/>
  <c r="J579" i="1"/>
  <c r="J580" i="1"/>
  <c r="J581" i="1"/>
  <c r="J582" i="1"/>
  <c r="J583" i="1"/>
  <c r="J584" i="1"/>
  <c r="J585" i="1"/>
  <c r="J586" i="1"/>
  <c r="S571" i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<sst xmlns="http://schemas.openxmlformats.org/spreadsheetml/2006/main" count="6918" uniqueCount="1120">
  <si>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</si>
  <si>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</si>
  <si>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</si>
  <si>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</si>
  <si>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</si>
  <si>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</si>
  <si>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</si>
  <si>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</si>
  <si>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</si>
  <si>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</si>
  <si>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</si>
  <si>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</si>
  <si>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</si>
  <si>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</si>
  <si>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</si>
  <si>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</si>
  <si>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</si>
  <si>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</si>
  <si>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</si>
  <si>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</si>
  <si>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</si>
  <si>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</si>
  <si>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</si>
  <si>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</si>
  <si>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</si>
  <si>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</si>
  <si>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</si>
  <si>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</si>
  <si>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</si>
  <si>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</si>
  <si>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</si>
  <si>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</si>
  <si>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</si>
  <si>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</si>
  <si>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</si>
  <si>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</si>
  <si>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</si>
  <si>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</si>
  <si>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</si>
  <si>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</si>
  <si>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</si>
  <si>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</si>
  <si>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</si>
  <si>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</si>
  <si>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</si>
  <si>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</si>
  <si>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</si>
  <si>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</si>
  <si>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</si>
  <si>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</si>
  <si>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</si>
  <si>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</si>
  <si>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</si>
  <si>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</si>
  <si>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</si>
  <si>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</si>
  <si>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</si>
  <si>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</si>
  <si>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</si>
  <si>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</si>
  <si>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</si>
  <si>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</si>
  <si>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</si>
  <si>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</si>
  <si>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</si>
  <si>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</si>
  <si>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</si>
  <si>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</si>
  <si>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</si>
  <si>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</si>
  <si>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</si>
  <si>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</si>
  <si>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</si>
  <si>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</si>
  <si>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</si>
  <si>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</si>
  <si>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</si>
  <si>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</si>
  <si>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</si>
  <si>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</si>
  <si>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</si>
  <si>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</si>
  <si>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</si>
  <si>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</si>
  <si>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</si>
  <si>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</si>
  <si>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</si>
  <si>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</si>
  <si>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</si>
  <si>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</si>
  <si>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</si>
  <si>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</si>
  <si>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</si>
  <si>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</si>
  <si>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</si>
  <si>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</si>
  <si>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</si>
  <si>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</si>
  <si>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</si>
  <si>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</si>
  <si>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</si>
  <si>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</si>
  <si>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</si>
  <si>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</si>
  <si>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</si>
  <si>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</si>
  <si>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</si>
  <si>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</si>
  <si>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</si>
  <si>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</si>
  <si>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</si>
  <si>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</si>
  <si>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</si>
  <si>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</si>
  <si>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</si>
  <si>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</si>
  <si>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</si>
  <si>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</si>
  <si>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</si>
  <si>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</si>
  <si>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</si>
  <si>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</si>
  <si>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</si>
  <si>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</si>
  <si>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</si>
  <si>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</si>
  <si>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</si>
  <si>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</si>
  <si>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</si>
  <si>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</si>
  <si>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</si>
  <si>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</si>
  <si>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</si>
  <si>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</si>
  <si>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</si>
  <si>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</si>
  <si>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</si>
  <si>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</si>
  <si>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</si>
  <si>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</si>
  <si>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</si>
  <si>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</si>
  <si>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</si>
  <si>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</si>
  <si>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</si>
  <si>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</si>
  <si>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</si>
  <si>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</si>
  <si>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</si>
  <si>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</si>
  <si>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</si>
  <si>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</si>
  <si>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</si>
  <si>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</si>
  <si>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</si>
  <si>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</si>
  <si>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</si>
  <si>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</si>
  <si>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</si>
  <si>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</si>
  <si>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</si>
  <si>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</si>
  <si>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</si>
  <si>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</si>
  <si>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</si>
  <si>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</si>
  <si>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</si>
  <si>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</si>
  <si>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</si>
  <si>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</si>
  <si>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</si>
  <si>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</si>
  <si>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</si>
  <si>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</si>
  <si>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</si>
  <si>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</si>
  <si>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</si>
  <si>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</si>
  <si>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</si>
  <si>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</si>
  <si>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</si>
  <si>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</si>
  <si>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</si>
  <si>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</si>
  <si>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</si>
  <si>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</si>
  <si>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</si>
  <si>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</si>
  <si>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</si>
  <si>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</si>
  <si>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</si>
  <si>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</si>
  <si>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</si>
  <si>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</si>
  <si>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</si>
  <si>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</si>
  <si>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</si>
  <si>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</si>
  <si>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</si>
  <si>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</si>
  <si>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</si>
  <si>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</si>
  <si>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</si>
  <si>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</si>
  <si>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</si>
  <si>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</si>
  <si>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</si>
  <si>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</si>
  <si>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</si>
  <si>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</si>
  <si>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</si>
  <si>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</si>
  <si>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</si>
  <si>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</si>
  <si>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</si>
  <si>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</si>
  <si>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</si>
  <si>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</si>
  <si>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</si>
  <si>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</si>
  <si>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</si>
  <si>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</si>
  <si>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</si>
  <si>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</si>
  <si>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</si>
  <si>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</si>
  <si>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</si>
  <si>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</si>
  <si>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</si>
  <si>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</si>
  <si>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</si>
  <si>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</si>
  <si>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</si>
  <si>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</si>
  <si>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</si>
  <si>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</si>
  <si>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</si>
  <si>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</si>
  <si>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</si>
  <si>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</si>
  <si>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</si>
  <si>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</si>
  <si>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</si>
  <si>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</si>
  <si>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</si>
  <si>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</si>
  <si>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</si>
  <si>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</si>
  <si>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</si>
  <si>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</si>
  <si>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</si>
  <si>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</si>
  <si>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</si>
  <si>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</si>
  <si>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</si>
  <si>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</si>
  <si>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</si>
  <si>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</si>
  <si>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</si>
  <si>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</si>
  <si>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</si>
  <si>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</si>
  <si>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</si>
  <si>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</si>
  <si>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</si>
  <si>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</si>
  <si>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</si>
  <si>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</si>
  <si>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</si>
  <si>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</si>
  <si>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</si>
  <si>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</si>
  <si>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</si>
  <si>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</si>
  <si>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</si>
  <si>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</si>
  <si>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</si>
  <si>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</si>
  <si>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</si>
  <si>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</si>
  <si>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</si>
  <si>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</si>
  <si>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</si>
  <si>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</si>
  <si>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</si>
  <si>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</si>
  <si>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</si>
  <si>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</si>
  <si>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</si>
  <si>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</si>
  <si>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</si>
  <si>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</si>
  <si>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</si>
  <si>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</si>
  <si>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</si>
  <si>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</si>
  <si>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</si>
  <si>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</si>
  <si>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</si>
  <si>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</si>
  <si>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</si>
  <si>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</si>
  <si>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</si>
  <si>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</si>
  <si>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</si>
  <si>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</si>
  <si>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</si>
  <si>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</si>
  <si>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</si>
  <si>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</si>
  <si>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</si>
  <si>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</si>
  <si>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</si>
  <si>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</si>
  <si>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</si>
  <si>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</si>
  <si>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</si>
  <si>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</si>
  <si>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</si>
  <si>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</si>
  <si>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</si>
  <si>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</si>
  <si>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</si>
  <si>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</si>
  <si>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</si>
  <si>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</si>
  <si>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</si>
  <si>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</si>
  <si>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</si>
  <si>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</si>
  <si>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</si>
  <si>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</si>
  <si>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</si>
  <si>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</si>
  <si>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</si>
  <si>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</si>
  <si>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</si>
  <si>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</si>
  <si>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</si>
  <si>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</si>
  <si>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</si>
  <si>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</si>
  <si>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</si>
  <si>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</si>
  <si>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</si>
  <si>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</si>
  <si>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</si>
  <si>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</si>
  <si>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</si>
  <si>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</si>
  <si>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</si>
  <si>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</si>
  <si>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</si>
  <si>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</si>
  <si>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</si>
  <si>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</si>
  <si>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</si>
  <si>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</si>
  <si>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</si>
  <si>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</si>
  <si>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</si>
  <si>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</si>
  <si>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</si>
  <si>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</si>
  <si>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</si>
  <si>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</si>
  <si>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</si>
  <si>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</si>
  <si>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</si>
  <si>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</si>
  <si>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</si>
  <si>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</si>
  <si>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</si>
  <si>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</si>
  <si>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</si>
  <si>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</si>
  <si>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</si>
  <si>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</si>
  <si>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</si>
  <si>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</si>
  <si>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</si>
  <si>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</si>
  <si>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</si>
  <si>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</si>
  <si>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</si>
  <si>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</si>
  <si>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</si>
  <si>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</si>
  <si>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</si>
  <si>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</si>
  <si>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</si>
  <si>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</si>
  <si>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</si>
  <si>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</si>
  <si>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</si>
  <si>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</si>
  <si>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</si>
  <si>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</si>
  <si>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</si>
  <si>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</si>
  <si>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</si>
  <si>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</si>
  <si>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</si>
  <si>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</si>
  <si>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</si>
  <si>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</si>
  <si>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</si>
  <si>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</si>
  <si>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</si>
  <si>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</si>
  <si>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</si>
  <si>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</si>
  <si>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</si>
  <si>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</si>
  <si>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</si>
  <si>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</si>
  <si>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</si>
  <si>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</si>
  <si>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</si>
  <si>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</si>
  <si>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</si>
  <si>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</si>
  <si>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</si>
  <si>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</si>
  <si>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</si>
  <si>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</si>
  <si>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</si>
  <si>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</si>
  <si>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</si>
  <si>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</si>
  <si>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</si>
  <si>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</si>
  <si>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</si>
  <si>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</si>
  <si>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</si>
  <si>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</si>
  <si>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</si>
  <si>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</si>
  <si>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</si>
  <si>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</si>
  <si>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</si>
  <si>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</si>
  <si>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</si>
  <si>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</si>
  <si>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</si>
  <si>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</si>
  <si>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</si>
  <si>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</si>
  <si>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</si>
  <si>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</si>
  <si>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</si>
  <si>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</si>
  <si>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</si>
  <si>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</si>
  <si>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</si>
  <si>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</si>
  <si>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</si>
  <si>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</si>
  <si>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</si>
  <si>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</si>
  <si>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</si>
  <si>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</si>
  <si>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</si>
  <si>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</si>
  <si>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</si>
  <si>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</si>
  <si>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</si>
  <si>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</si>
  <si>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</si>
  <si>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</si>
  <si>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</si>
  <si>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</si>
  <si>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</si>
  <si>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</si>
  <si>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</si>
  <si>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</si>
  <si>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</si>
  <si>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</si>
  <si>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</si>
  <si>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</si>
  <si>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</si>
  <si>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</si>
  <si>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</si>
  <si>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</si>
  <si>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</si>
  <si>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</si>
  <si>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</si>
  <si>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</si>
  <si>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</si>
  <si>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</si>
  <si>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</si>
  <si>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</si>
  <si>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</si>
  <si>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</si>
  <si>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</si>
  <si>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</si>
  <si>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</si>
  <si>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</si>
  <si>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</si>
  <si>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</si>
  <si>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</si>
  <si>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</si>
  <si>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</si>
  <si>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</si>
  <si>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</si>
  <si>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</si>
  <si>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</si>
  <si>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</si>
  <si>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</si>
  <si>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</si>
  <si>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</si>
  <si>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</si>
  <si>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</si>
  <si>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</si>
  <si>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</si>
  <si>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</si>
  <si>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</si>
  <si>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</si>
  <si>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</si>
  <si>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</si>
  <si>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</si>
  <si>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</si>
  <si>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</si>
  <si>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</si>
  <si>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</si>
  <si>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</si>
  <si>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</si>
  <si>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</si>
  <si>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</si>
  <si>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</si>
  <si>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</si>
  <si>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</si>
  <si>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</si>
  <si>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</si>
  <si>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</si>
  <si>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</si>
  <si>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</si>
  <si>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</si>
  <si>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</si>
  <si>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</si>
  <si>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</si>
  <si>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</si>
  <si>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</si>
  <si>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</si>
  <si>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</si>
  <si>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</si>
  <si>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</si>
  <si>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</si>
  <si>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</si>
  <si>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</si>
  <si>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</si>
  <si>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</si>
  <si>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</si>
  <si>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</si>
  <si>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</si>
  <si>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</si>
  <si>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</si>
  <si>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</si>
  <si>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</si>
  <si>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</si>
  <si>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</si>
  <si>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</si>
  <si>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</si>
  <si>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</si>
  <si>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</si>
  <si>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</si>
  <si>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</si>
  <si>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</si>
  <si>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</si>
  <si>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</si>
  <si>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</si>
  <si>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</si>
  <si>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</si>
  <si>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</si>
  <si>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</si>
  <si>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</si>
  <si>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</si>
  <si>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</si>
  <si>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</si>
  <si>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</si>
  <si>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</si>
  <si>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</si>
  <si>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</si>
  <si>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</si>
  <si>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</si>
  <si>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</si>
  <si>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</si>
  <si>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</si>
  <si>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</si>
  <si>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</si>
  <si>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</si>
  <si>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</si>
  <si>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</si>
  <si>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</si>
  <si>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</si>
  <si>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</si>
  <si>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</si>
  <si>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</si>
  <si>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</si>
  <si>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</si>
  <si>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</si>
  <si>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</si>
  <si>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</si>
  <si>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</si>
  <si>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</si>
  <si>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</si>
  <si>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</si>
  <si>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</si>
  <si>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</si>
  <si>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</si>
  <si>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</si>
  <si>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</si>
  <si>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</si>
  <si>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</si>
  <si>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</si>
  <si>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</si>
  <si>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</si>
  <si>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</si>
  <si>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</si>
  <si>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</si>
  <si>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</si>
  <si>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</si>
  <si>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</si>
  <si>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</si>
  <si>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</si>
  <si>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</si>
  <si>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</si>
  <si>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</si>
  <si>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</si>
  <si>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</si>
  <si>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</si>
  <si>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</si>
  <si>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</si>
  <si>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</si>
  <si>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</si>
  <si>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</si>
  <si>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</si>
  <si>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</si>
  <si>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</si>
  <si>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</si>
  <si>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</si>
  <si>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</si>
  <si>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</si>
  <si>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</si>
  <si>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</si>
  <si>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</si>
  <si>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</si>
  <si>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</si>
  <si>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</si>
  <si>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</si>
  <si>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</si>
  <si>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</si>
  <si>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</si>
  <si>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</si>
  <si>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</si>
  <si>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</si>
  <si>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</si>
  <si>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</si>
  <si>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</si>
  <si>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</si>
  <si>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</si>
  <si>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</si>
  <si>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</si>
  <si>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</si>
  <si>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</si>
  <si>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</si>
  <si>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</si>
  <si>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</si>
  <si>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</si>
  <si>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</si>
  <si>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</si>
  <si>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</si>
  <si>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</si>
  <si>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</si>
  <si>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</si>
  <si>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</si>
  <si>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</si>
  <si>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</si>
  <si>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</si>
  <si>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</si>
  <si>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</si>
  <si>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</si>
  <si>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</si>
  <si>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</si>
  <si>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</si>
  <si>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</si>
  <si>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</si>
  <si>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</si>
  <si>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</si>
  <si>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</si>
  <si>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</si>
  <si>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</si>
  <si>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</si>
  <si>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</si>
  <si>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</si>
  <si>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</si>
  <si>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</si>
  <si>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</si>
  <si>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</si>
  <si>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</si>
  <si>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</si>
  <si>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</si>
  <si>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</si>
  <si>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</si>
  <si>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</si>
  <si>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</si>
  <si>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</si>
  <si>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</si>
  <si>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</si>
  <si>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</si>
  <si>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</si>
  <si>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</si>
  <si>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</si>
  <si>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</si>
  <si>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</si>
  <si>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</si>
  <si>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</si>
  <si>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</si>
  <si>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</si>
  <si>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</si>
  <si>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</si>
  <si>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</si>
  <si>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</si>
  <si>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</si>
  <si>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</si>
  <si>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</si>
  <si>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</si>
  <si>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</si>
  <si>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</si>
  <si>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</si>
  <si>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</si>
  <si>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</si>
  <si>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</si>
  <si>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</si>
  <si>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</si>
  <si>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</si>
  <si>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</si>
  <si>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</si>
  <si>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</si>
  <si>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</si>
  <si>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</si>
  <si>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</si>
  <si>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</si>
  <si>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</si>
  <si>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</si>
  <si>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</si>
  <si>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</si>
  <si>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</si>
  <si>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</si>
  <si>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</si>
  <si>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</si>
  <si>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</si>
  <si>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</si>
  <si>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</si>
  <si>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</si>
  <si>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</si>
  <si>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</si>
  <si>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</si>
  <si>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</si>
  <si>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</si>
  <si>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</si>
  <si>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</si>
  <si>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</si>
  <si>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</si>
  <si>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</si>
  <si>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</si>
  <si>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</si>
  <si>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</si>
  <si>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</si>
  <si>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</si>
  <si>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</si>
  <si>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</si>
  <si>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</si>
  <si>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</si>
  <si>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</si>
  <si>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</si>
  <si>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</si>
  <si>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</si>
  <si>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</si>
  <si>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</si>
  <si>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</si>
  <si>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</si>
  <si>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</si>
  <si>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</si>
  <si>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</si>
  <si>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</si>
  <si>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</si>
  <si>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</si>
  <si>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</si>
  <si>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</si>
  <si>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</si>
  <si>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</si>
  <si>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</si>
  <si>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</si>
  <si>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</si>
  <si>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</si>
  <si>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</si>
  <si>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</si>
  <si>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</si>
  <si>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</si>
  <si>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</si>
  <si>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</si>
  <si>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</si>
  <si>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</si>
  <si>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</si>
  <si>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</si>
  <si>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</si>
  <si>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</si>
  <si>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</si>
  <si>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</si>
  <si>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</si>
  <si>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</si>
  <si>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</si>
  <si>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</si>
  <si>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</si>
  <si>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</si>
  <si>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</si>
  <si>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</si>
  <si>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</si>
  <si>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</si>
  <si>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</si>
  <si>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</si>
  <si>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</si>
  <si>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</si>
  <si>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</si>
  <si>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</si>
  <si>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</si>
  <si>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</si>
  <si>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</si>
  <si>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</si>
  <si>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</si>
  <si>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</si>
  <si>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</si>
  <si>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</si>
  <si>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</si>
  <si>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</si>
  <si>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</si>
  <si>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</si>
  <si>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</si>
  <si>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</si>
  <si>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</si>
  <si>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</si>
  <si>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</si>
  <si>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</si>
  <si>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</si>
  <si>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</si>
  <si>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</si>
  <si>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</si>
  <si>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</si>
  <si>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</si>
  <si>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</si>
  <si>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</si>
  <si>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</si>
  <si>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</si>
  <si>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</si>
  <si>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</si>
  <si>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</si>
  <si>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</si>
  <si>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</si>
  <si>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</si>
  <si>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</si>
  <si>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</si>
  <si>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</si>
  <si>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</si>
  <si>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</si>
  <si>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</si>
  <si>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</si>
  <si>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</si>
  <si>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</si>
  <si>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</si>
  <si>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</si>
  <si>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</si>
  <si>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</si>
  <si>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</si>
  <si>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</si>
  <si>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</si>
  <si>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</si>
  <si>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</si>
  <si>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</si>
  <si>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</si>
  <si>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</si>
  <si>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</si>
  <si>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</si>
  <si>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</si>
  <si>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</si>
  <si>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</si>
  <si>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</si>
  <si>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</si>
  <si>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</si>
  <si>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</si>
  <si>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</si>
  <si>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</si>
  <si>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</si>
  <si>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</si>
  <si>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</si>
  <si>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</si>
  <si>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</si>
  <si>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</si>
  <si>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</si>
  <si>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</si>
  <si>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</si>
  <si>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</si>
  <si>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</si>
  <si>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</si>
  <si>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</si>
  <si>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</si>
  <si>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</si>
  <si>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</si>
  <si>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</si>
  <si>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</si>
  <si>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</si>
  <si>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</si>
  <si>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</si>
  <si>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</si>
  <si>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</si>
  <si>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</si>
  <si>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</si>
  <si>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</si>
  <si>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</si>
  <si>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</si>
  <si>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</si>
  <si>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</si>
  <si>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</si>
  <si>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</si>
  <si>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</si>
  <si>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</si>
  <si>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</si>
  <si>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</si>
  <si>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</si>
  <si>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</si>
  <si>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</si>
  <si>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</si>
  <si>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</si>
  <si>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</si>
  <si>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</si>
  <si>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</si>
  <si>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</si>
  <si>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</si>
  <si>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</si>
  <si>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</si>
  <si>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</si>
  <si>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</si>
  <si>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</si>
  <si>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</si>
  <si>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</si>
  <si>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</si>
  <si>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</si>
  <si>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</si>
  <si>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</si>
  <si>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</si>
  <si>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</si>
  <si>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</si>
  <si>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</si>
  <si>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</si>
  <si>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</si>
  <si>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</si>
  <si>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</si>
  <si>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</si>
  <si>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</si>
  <si>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</si>
  <si>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</si>
  <si>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</si>
  <si>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</si>
  <si>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</si>
  <si>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</si>
  <si>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</si>
  <si>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</si>
  <si>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</si>
  <si>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</si>
  <si>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</si>
  <si>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</si>
  <si>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</si>
  <si>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</si>
  <si>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</si>
  <si>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</si>
  <si>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</si>
  <si>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</si>
  <si>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</si>
  <si>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</si>
  <si>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</si>
  <si>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</si>
  <si>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</si>
  <si>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</si>
  <si>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</si>
  <si>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</si>
  <si>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</si>
  <si>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</si>
  <si>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</si>
  <si>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</si>
  <si>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</si>
  <si>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</si>
  <si>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</si>
  <si>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</si>
  <si>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</si>
  <si>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</si>
  <si>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</si>
  <si>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</si>
  <si>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</si>
  <si>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</si>
  <si>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</si>
  <si>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</si>
  <si>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</si>
  <si>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</si>
  <si>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</si>
  <si>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</si>
  <si>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</si>
  <si>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</si>
  <si>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</si>
  <si>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</si>
  <si>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</si>
  <si>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</si>
  <si>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</si>
  <si>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</si>
  <si>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</si>
  <si>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</si>
  <si>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</si>
  <si>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</si>
  <si>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</si>
  <si>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</si>
  <si>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</si>
  <si>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</si>
  <si>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</si>
  <si>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</si>
  <si>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</si>
  <si>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</si>
  <si>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</si>
  <si>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</si>
  <si>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</si>
  <si>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</si>
  <si>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</si>
  <si>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</si>
  <si>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</si>
  <si>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</si>
  <si>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</si>
  <si>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</si>
  <si>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</si>
  <si>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</si>
  <si>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</si>
  <si>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</si>
  <si>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</si>
  <si>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</si>
  <si>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</si>
  <si>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</si>
  <si>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</si>
  <si>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</si>
  <si>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</si>
  <si>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</si>
  <si>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</si>
  <si>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</si>
  <si>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</si>
  <si>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</si>
  <si>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</si>
  <si>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</si>
  <si>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</si>
  <si>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</si>
  <si>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</si>
  <si>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</si>
  <si>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</si>
  <si>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</si>
  <si>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</si>
  <si>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</si>
  <si>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</si>
  <si>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</si>
  <si>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</si>
  <si>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</si>
  <si>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</si>
  <si>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</si>
  <si>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</si>
  <si>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</si>
  <si>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</si>
  <si>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</si>
  <si>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</si>
  <si>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</si>
  <si>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</si>
  <si>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</si>
  <si>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</si>
  <si>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</si>
  <si>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</si>
  <si>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</si>
  <si>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</si>
  <si>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</si>
  <si>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</si>
  <si>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</si>
  <si>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</si>
  <si>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</si>
  <si>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</si>
  <si>
    <t>AGENCE OCI ENA</t>
  </si>
  <si>
    <t>SYTHD180118</t>
  </si>
  <si>
    <t>AGENCE DE SOUTIEN ET DE DEVELOPPEMENT (ASDM) SIEGE</t>
  </si>
  <si>
    <t xml:space="preserve">BUVPN260146 </t>
  </si>
  <si>
    <t>AGENCE DE SOUTIEN ET DE DEVELOPPEMENT (ASDM)</t>
  </si>
  <si>
    <t>BUVPN260147</t>
  </si>
  <si>
    <t>CERAP</t>
  </si>
  <si>
    <t>68634422 </t>
  </si>
  <si>
    <t>ABOBO PK18</t>
  </si>
  <si>
    <t>BUVPN260150</t>
  </si>
  <si>
    <t>BUVPN260151</t>
  </si>
  <si>
    <t>AGEROUTE</t>
  </si>
  <si>
    <t>BUVPN260149</t>
  </si>
  <si>
    <t>BUVPN260143</t>
  </si>
  <si>
    <t>PROGRAMME DE RESTAURATION DURABLE</t>
  </si>
  <si>
    <t>KONIS TRANSIT</t>
  </si>
  <si>
    <t>MINISTERE ECONOMIE ET FINANCES ET DU BUDGET</t>
  </si>
  <si>
    <t>PROJET MINISTERE DE LA JUSTICE ET DES DROITS DE L'HOMME</t>
  </si>
  <si>
    <t>TABOU</t>
  </si>
  <si>
    <t>BUVPN260134</t>
  </si>
  <si>
    <t>BUVPN260136</t>
  </si>
  <si>
    <t xml:space="preserve">BUVPN260133 </t>
  </si>
  <si>
    <t>BOUNDIALI</t>
  </si>
  <si>
    <t>BUVPN260137</t>
  </si>
  <si>
    <t>BUVPN260153</t>
  </si>
  <si>
    <t>BUVPN260145</t>
  </si>
  <si>
    <t>CNR INTERNATIONAL</t>
  </si>
  <si>
    <t>NOUVELLE GENERAION DE SERVICE</t>
  </si>
  <si>
    <t>BUVPN260144</t>
  </si>
  <si>
    <t>BUVPN260132</t>
  </si>
  <si>
    <t>SOGEA SATOM CI</t>
  </si>
  <si>
    <t>SYTHD260230</t>
  </si>
  <si>
    <t>PORT</t>
  </si>
  <si>
    <t>S36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</si>
</sst>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8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98"/>
  <sheetViews>
    <sheetView tabSelected="1" topLeftCell="C1" workbookViewId="0">
      <selection activeCell="Q579" sqref="Q1:Q1048576"/>
    </sheetView>
  </sheetViews>
  <sheetFormatPr baseColWidth="10" defaultRowHeight="14.5" x14ac:dyDescent="0.35"/>
  <cols>
    <col min="1" max="1" width="39.54296875" style="2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2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88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598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1086</v>
      </c>
      <c r="B577" s="17" t="s">
        <v>43</v>
      </c>
      <c r="C577" s="17">
        <v>68361388</v>
      </c>
      <c r="D577" s="17" t="s">
        <v>268</v>
      </c>
      <c r="E577" s="17" t="s">
        <v>1087</v>
      </c>
      <c r="F577" s="17" t="s">
        <v>46</v>
      </c>
      <c r="G577" s="17" t="s">
        <v>23</v>
      </c>
      <c r="H577" s="18">
        <v>46248</v>
      </c>
      <c r="I577" s="18">
        <v>46260</v>
      </c>
      <c r="J577" s="8">
        <f t="shared" si="28"/>
        <v>9</v>
      </c>
      <c r="K577" s="65" t="s">
        <v>295</v>
      </c>
      <c r="L577" s="65" t="s">
        <v>296</v>
      </c>
      <c r="M577" s="65" t="s">
        <v>24</v>
      </c>
      <c r="N577" s="65" t="s">
        <v>53</v>
      </c>
      <c r="O577" s="65">
        <v>0</v>
      </c>
      <c r="P577" s="65">
        <v>0</v>
      </c>
      <c r="Q577" s="67">
        <v>0</v>
      </c>
      <c r="R577" s="66">
        <v>46260</v>
      </c>
      <c r="S577" s="8">
        <f t="shared" si="27"/>
        <v>9</v>
      </c>
      <c r="T577" s="65" t="s">
        <v>1078</v>
      </c>
      <c r="U577" s="65" t="s">
        <v>537</v>
      </c>
    </row>
    <row r="578" spans="1:21" x14ac:dyDescent="0.35">
      <c r="A578" s="17" t="s">
        <v>1088</v>
      </c>
      <c r="B578" s="17" t="s">
        <v>43</v>
      </c>
      <c r="C578" s="17">
        <v>66058296</v>
      </c>
      <c r="D578" s="17" t="s">
        <v>20</v>
      </c>
      <c r="E578" s="17" t="s">
        <v>1089</v>
      </c>
      <c r="F578" s="17" t="s">
        <v>22</v>
      </c>
      <c r="G578" s="17" t="s">
        <v>23</v>
      </c>
      <c r="H578" s="18">
        <v>46209</v>
      </c>
      <c r="I578" s="18">
        <v>46258</v>
      </c>
      <c r="J578" s="8">
        <f t="shared" si="28"/>
        <v>36</v>
      </c>
      <c r="K578" s="65" t="s">
        <v>295</v>
      </c>
      <c r="L578" s="65" t="s">
        <v>296</v>
      </c>
      <c r="M578" s="65" t="s">
        <v>24</v>
      </c>
      <c r="N578" s="65" t="s">
        <v>931</v>
      </c>
      <c r="O578" s="65">
        <v>1000000</v>
      </c>
      <c r="P578" s="65">
        <v>100000</v>
      </c>
      <c r="Q578" s="67">
        <v>1100000</v>
      </c>
      <c r="R578" s="66">
        <v>46260</v>
      </c>
      <c r="S578" s="8">
        <f t="shared" si="27"/>
        <v>38</v>
      </c>
      <c r="T578" s="65" t="s">
        <v>1078</v>
      </c>
      <c r="U578" s="65" t="s">
        <v>537</v>
      </c>
    </row>
    <row r="579" spans="1:21" x14ac:dyDescent="0.35">
      <c r="A579" s="17" t="s">
        <v>1090</v>
      </c>
      <c r="B579" s="17" t="s">
        <v>43</v>
      </c>
      <c r="C579" s="17">
        <v>66059226</v>
      </c>
      <c r="D579" s="17" t="s">
        <v>20</v>
      </c>
      <c r="E579" s="17" t="s">
        <v>1091</v>
      </c>
      <c r="F579" s="17" t="s">
        <v>22</v>
      </c>
      <c r="G579" s="17" t="s">
        <v>23</v>
      </c>
      <c r="H579" s="18">
        <v>46209</v>
      </c>
      <c r="I579" s="18">
        <v>46255</v>
      </c>
      <c r="J579" s="8">
        <f t="shared" si="28"/>
        <v>35</v>
      </c>
      <c r="K579" s="65" t="s">
        <v>295</v>
      </c>
      <c r="L579" s="65" t="s">
        <v>296</v>
      </c>
      <c r="M579" s="65" t="s">
        <v>24</v>
      </c>
      <c r="N579" s="65" t="s">
        <v>931</v>
      </c>
      <c r="O579" s="65">
        <v>500000</v>
      </c>
      <c r="P579" s="65">
        <v>100000</v>
      </c>
      <c r="Q579" s="67">
        <v>600000</v>
      </c>
      <c r="R579" s="66">
        <v>46260</v>
      </c>
      <c r="S579" s="8">
        <f t="shared" si="27"/>
        <v>38</v>
      </c>
      <c r="T579" s="65" t="s">
        <v>1078</v>
      </c>
      <c r="U579" s="65" t="s">
        <v>537</v>
      </c>
    </row>
    <row r="580" spans="1:21" x14ac:dyDescent="0.35">
      <c r="A580" s="17" t="s">
        <v>1092</v>
      </c>
      <c r="B580" s="17" t="s">
        <v>30</v>
      </c>
      <c r="C580" s="17" t="s">
        <v>1093</v>
      </c>
      <c r="D580" s="17" t="s">
        <v>20</v>
      </c>
      <c r="E580" s="17">
        <v>2722404720</v>
      </c>
      <c r="F580" s="17" t="s">
        <v>32</v>
      </c>
      <c r="G580" s="17" t="s">
        <v>23</v>
      </c>
      <c r="H580" s="18">
        <v>46252</v>
      </c>
      <c r="I580" s="18">
        <v>46260</v>
      </c>
      <c r="J580" s="8">
        <f t="shared" si="28"/>
        <v>7</v>
      </c>
      <c r="K580" s="65" t="s">
        <v>295</v>
      </c>
      <c r="L580" s="65" t="s">
        <v>296</v>
      </c>
      <c r="M580" s="65" t="s">
        <v>24</v>
      </c>
      <c r="N580" s="65" t="s">
        <v>82</v>
      </c>
      <c r="O580" s="65">
        <v>1000000</v>
      </c>
      <c r="P580" s="65">
        <v>231750</v>
      </c>
      <c r="Q580" s="67">
        <v>1231750</v>
      </c>
      <c r="R580" s="66">
        <v>46261</v>
      </c>
      <c r="S580" s="8">
        <f t="shared" si="27"/>
        <v>8</v>
      </c>
      <c r="T580" s="65" t="s">
        <v>1078</v>
      </c>
      <c r="U580" s="65" t="s">
        <v>537</v>
      </c>
    </row>
    <row r="581" spans="1:21" x14ac:dyDescent="0.35">
      <c r="A581" s="17" t="s">
        <v>1086</v>
      </c>
      <c r="B581" s="17" t="s">
        <v>43</v>
      </c>
      <c r="C581" s="17">
        <v>68305134</v>
      </c>
      <c r="D581" s="17" t="s">
        <v>1094</v>
      </c>
      <c r="E581" s="17" t="s">
        <v>1095</v>
      </c>
      <c r="F581" s="17" t="s">
        <v>22</v>
      </c>
      <c r="G581" s="17" t="s">
        <v>40</v>
      </c>
      <c r="H581" s="18">
        <v>46247</v>
      </c>
      <c r="I581" s="18">
        <v>46261</v>
      </c>
      <c r="J581" s="8">
        <f t="shared" si="28"/>
        <v>11</v>
      </c>
      <c r="K581" s="65" t="s">
        <v>295</v>
      </c>
      <c r="L581" s="65" t="s">
        <v>296</v>
      </c>
      <c r="M581" s="65" t="s">
        <v>24</v>
      </c>
      <c r="N581" s="65" t="s">
        <v>146</v>
      </c>
      <c r="O581" s="65">
        <v>0</v>
      </c>
      <c r="P581" s="65">
        <v>0</v>
      </c>
      <c r="Q581" s="67">
        <v>0</v>
      </c>
      <c r="R581" s="66">
        <v>46261</v>
      </c>
      <c r="S581" s="8">
        <f t="shared" si="27"/>
        <v>11</v>
      </c>
      <c r="T581" s="65" t="s">
        <v>1078</v>
      </c>
      <c r="U581" s="65" t="s">
        <v>537</v>
      </c>
    </row>
    <row r="582" spans="1:21" x14ac:dyDescent="0.35">
      <c r="A582" s="17" t="s">
        <v>1086</v>
      </c>
      <c r="B582" s="17" t="s">
        <v>43</v>
      </c>
      <c r="C582" s="17">
        <v>68305108</v>
      </c>
      <c r="D582" s="17" t="s">
        <v>1094</v>
      </c>
      <c r="E582" s="17" t="s">
        <v>1096</v>
      </c>
      <c r="F582" s="17" t="s">
        <v>22</v>
      </c>
      <c r="G582" s="17" t="s">
        <v>37</v>
      </c>
      <c r="H582" s="18">
        <v>46247</v>
      </c>
      <c r="I582" s="18">
        <v>46261</v>
      </c>
      <c r="J582" s="8">
        <f t="shared" si="28"/>
        <v>11</v>
      </c>
      <c r="K582" s="65" t="s">
        <v>295</v>
      </c>
      <c r="L582" s="65" t="s">
        <v>296</v>
      </c>
      <c r="M582" s="65" t="s">
        <v>24</v>
      </c>
      <c r="N582" s="65" t="s">
        <v>146</v>
      </c>
      <c r="O582" s="65">
        <v>0</v>
      </c>
      <c r="P582" s="65">
        <v>0</v>
      </c>
      <c r="Q582" s="67">
        <v>0</v>
      </c>
      <c r="R582" s="66">
        <v>46261</v>
      </c>
      <c r="S582" s="8">
        <f t="shared" si="27"/>
        <v>11</v>
      </c>
      <c r="T582" s="65" t="s">
        <v>1078</v>
      </c>
      <c r="U582" s="65" t="s">
        <v>537</v>
      </c>
    </row>
    <row r="583" spans="1:21" x14ac:dyDescent="0.35">
      <c r="A583" s="17" t="s">
        <v>1097</v>
      </c>
      <c r="B583" s="17" t="s">
        <v>43</v>
      </c>
      <c r="C583" s="17">
        <v>68659914</v>
      </c>
      <c r="D583" s="17" t="s">
        <v>20</v>
      </c>
      <c r="E583" s="17" t="s">
        <v>1098</v>
      </c>
      <c r="F583" s="17" t="s">
        <v>22</v>
      </c>
      <c r="G583" s="17" t="s">
        <v>23</v>
      </c>
      <c r="H583" s="18">
        <v>46253</v>
      </c>
      <c r="I583" s="18">
        <v>46258</v>
      </c>
      <c r="J583" s="8">
        <f t="shared" si="28"/>
        <v>4</v>
      </c>
      <c r="K583" s="65" t="s">
        <v>295</v>
      </c>
      <c r="L583" s="65" t="s">
        <v>296</v>
      </c>
      <c r="M583" s="65" t="s">
        <v>24</v>
      </c>
      <c r="N583" s="65" t="s">
        <v>38</v>
      </c>
      <c r="O583" s="65">
        <v>1500000</v>
      </c>
      <c r="P583" s="65">
        <v>587617</v>
      </c>
      <c r="Q583" s="67">
        <v>2087617</v>
      </c>
      <c r="R583" s="66">
        <v>46261</v>
      </c>
      <c r="S583" s="8">
        <f t="shared" si="27"/>
        <v>7</v>
      </c>
      <c r="T583" s="65" t="s">
        <v>1078</v>
      </c>
      <c r="U583" s="65" t="s">
        <v>537</v>
      </c>
    </row>
    <row r="584" spans="1:21" x14ac:dyDescent="0.35">
      <c r="A584" s="17" t="s">
        <v>525</v>
      </c>
      <c r="B584" s="17" t="s">
        <v>43</v>
      </c>
      <c r="C584" s="17">
        <v>67561421</v>
      </c>
      <c r="D584" s="17" t="s">
        <v>35</v>
      </c>
      <c r="E584" s="17" t="s">
        <v>1099</v>
      </c>
      <c r="F584" s="17" t="s">
        <v>22</v>
      </c>
      <c r="G584" s="17" t="s">
        <v>23</v>
      </c>
      <c r="H584" s="18">
        <v>46234</v>
      </c>
      <c r="I584" s="18">
        <v>46255</v>
      </c>
      <c r="J584" s="8">
        <f t="shared" si="28"/>
        <v>16</v>
      </c>
      <c r="K584" s="65" t="s">
        <v>295</v>
      </c>
      <c r="L584" s="65" t="s">
        <v>296</v>
      </c>
      <c r="M584" s="65" t="s">
        <v>24</v>
      </c>
      <c r="N584" s="65" t="s">
        <v>48</v>
      </c>
      <c r="O584" s="65">
        <v>3686086</v>
      </c>
      <c r="P584" s="65">
        <v>1250000</v>
      </c>
      <c r="Q584" s="67">
        <v>4936086</v>
      </c>
      <c r="R584" s="66">
        <v>46261</v>
      </c>
      <c r="S584" s="8">
        <f t="shared" si="27"/>
        <v>20</v>
      </c>
      <c r="T584" s="65" t="s">
        <v>1078</v>
      </c>
      <c r="U584" s="65" t="s">
        <v>537</v>
      </c>
    </row>
    <row r="585" spans="1:21" x14ac:dyDescent="0.35">
      <c r="A585" s="17" t="s">
        <v>1100</v>
      </c>
      <c r="B585" s="17" t="s">
        <v>30</v>
      </c>
      <c r="C585" s="17">
        <v>66713346</v>
      </c>
      <c r="D585" s="17" t="s">
        <v>20</v>
      </c>
      <c r="E585" s="17">
        <v>2722404060</v>
      </c>
      <c r="F585" s="17" t="s">
        <v>32</v>
      </c>
      <c r="G585" s="17" t="s">
        <v>23</v>
      </c>
      <c r="H585" s="18">
        <v>46220</v>
      </c>
      <c r="I585" s="18">
        <v>46234</v>
      </c>
      <c r="J585" s="8">
        <f t="shared" si="28"/>
        <v>11</v>
      </c>
      <c r="K585" s="65" t="s">
        <v>295</v>
      </c>
      <c r="L585" s="65" t="s">
        <v>296</v>
      </c>
      <c r="M585" s="65" t="s">
        <v>24</v>
      </c>
      <c r="N585" s="65" t="s">
        <v>33</v>
      </c>
      <c r="O585" s="65">
        <v>150000</v>
      </c>
      <c r="P585" s="65">
        <v>60000</v>
      </c>
      <c r="Q585" s="67">
        <v>210000</v>
      </c>
      <c r="R585" s="66">
        <v>46262</v>
      </c>
      <c r="S585" s="8">
        <f t="shared" si="27"/>
        <v>31</v>
      </c>
      <c r="T585" s="65" t="s">
        <v>1078</v>
      </c>
      <c r="U585" s="65" t="s">
        <v>537</v>
      </c>
    </row>
    <row r="586" spans="1:21" x14ac:dyDescent="0.35">
      <c r="A586" s="17" t="s">
        <v>1101</v>
      </c>
      <c r="B586" s="17" t="s">
        <v>30</v>
      </c>
      <c r="C586" s="17">
        <v>66486275</v>
      </c>
      <c r="D586" s="17" t="s">
        <v>49</v>
      </c>
      <c r="E586" s="17">
        <v>2721712300</v>
      </c>
      <c r="F586" s="17" t="s">
        <v>32</v>
      </c>
      <c r="G586" s="17" t="s">
        <v>23</v>
      </c>
      <c r="H586" s="18">
        <v>46216</v>
      </c>
      <c r="I586" s="18">
        <v>46261</v>
      </c>
      <c r="J586" s="8">
        <f t="shared" si="28"/>
        <v>34</v>
      </c>
      <c r="K586" s="65" t="s">
        <v>295</v>
      </c>
      <c r="L586" s="65" t="s">
        <v>296</v>
      </c>
      <c r="M586" s="65" t="s">
        <v>24</v>
      </c>
      <c r="N586" s="65" t="s">
        <v>33</v>
      </c>
      <c r="O586" s="65">
        <v>150000</v>
      </c>
      <c r="P586" s="65">
        <v>60000</v>
      </c>
      <c r="Q586" s="67">
        <v>210000</v>
      </c>
      <c r="R586" s="66">
        <v>46262</v>
      </c>
      <c r="S586" s="8">
        <f t="shared" si="27"/>
        <v>35</v>
      </c>
      <c r="T586" s="65" t="s">
        <v>1078</v>
      </c>
      <c r="U586" s="65" t="s">
        <v>537</v>
      </c>
    </row>
    <row r="587" spans="1:21" x14ac:dyDescent="0.35">
      <c r="A587" s="17" t="s">
        <v>1102</v>
      </c>
      <c r="B587" s="17" t="s">
        <v>30</v>
      </c>
      <c r="C587" s="17">
        <v>67696104</v>
      </c>
      <c r="D587" s="17" t="s">
        <v>35</v>
      </c>
      <c r="E587" s="17">
        <v>2720304140</v>
      </c>
      <c r="F587" s="17" t="s">
        <v>32</v>
      </c>
      <c r="G587" s="17" t="s">
        <v>23</v>
      </c>
      <c r="H587" s="18">
        <v>46237</v>
      </c>
      <c r="I587" s="18">
        <v>46262</v>
      </c>
      <c r="J587" s="8">
        <f t="shared" si="28"/>
        <v>20</v>
      </c>
      <c r="K587" s="65" t="s">
        <v>295</v>
      </c>
      <c r="L587" s="65" t="s">
        <v>296</v>
      </c>
      <c r="M587" s="65" t="s">
        <v>24</v>
      </c>
      <c r="N587" s="65" t="s">
        <v>33</v>
      </c>
      <c r="O587" s="65">
        <v>270000</v>
      </c>
      <c r="P587" s="65">
        <v>71435</v>
      </c>
      <c r="Q587" s="67">
        <v>341435</v>
      </c>
      <c r="R587" s="66">
        <v>46262</v>
      </c>
      <c r="S587" s="8">
        <f t="shared" si="27"/>
        <v>20</v>
      </c>
      <c r="T587" s="65" t="s">
        <v>1078</v>
      </c>
      <c r="U587" s="65" t="s">
        <v>537</v>
      </c>
    </row>
    <row r="588" spans="1:21" x14ac:dyDescent="0.35">
      <c r="A588" s="17" t="s">
        <v>1103</v>
      </c>
      <c r="B588" s="17" t="s">
        <v>43</v>
      </c>
      <c r="C588" s="17">
        <v>66545687</v>
      </c>
      <c r="D588" s="17" t="s">
        <v>1104</v>
      </c>
      <c r="E588" s="17" t="s">
        <v>1105</v>
      </c>
      <c r="F588" s="17" t="s">
        <v>46</v>
      </c>
      <c r="G588" s="17" t="s">
        <v>23</v>
      </c>
      <c r="H588" s="18">
        <v>46217</v>
      </c>
      <c r="I588" s="18">
        <v>46252</v>
      </c>
      <c r="J588" s="8">
        <f t="shared" si="28"/>
        <v>26</v>
      </c>
      <c r="K588" s="65" t="s">
        <v>295</v>
      </c>
      <c r="L588" s="65" t="s">
        <v>296</v>
      </c>
      <c r="M588" s="65" t="s">
        <v>24</v>
      </c>
      <c r="N588" s="65" t="s">
        <v>191</v>
      </c>
      <c r="O588" s="65">
        <v>3500000</v>
      </c>
      <c r="P588" s="65">
        <v>165000</v>
      </c>
      <c r="Q588" s="67">
        <v>3665000</v>
      </c>
      <c r="R588" s="66">
        <v>46265</v>
      </c>
      <c r="S588" s="8">
        <f t="shared" si="27"/>
        <v>35</v>
      </c>
      <c r="T588" s="65" t="s">
        <v>1119</v>
      </c>
      <c r="U588" s="65" t="s">
        <v>433</v>
      </c>
    </row>
    <row r="589" spans="1:21" x14ac:dyDescent="0.35">
      <c r="A589" s="17" t="s">
        <v>1103</v>
      </c>
      <c r="B589" s="17" t="s">
        <v>43</v>
      </c>
      <c r="C589" s="17">
        <v>66515876</v>
      </c>
      <c r="D589" s="17" t="s">
        <v>355</v>
      </c>
      <c r="E589" s="17" t="s">
        <v>1106</v>
      </c>
      <c r="F589" s="17" t="s">
        <v>46</v>
      </c>
      <c r="G589" s="17" t="s">
        <v>23</v>
      </c>
      <c r="H589" s="18">
        <v>46217</v>
      </c>
      <c r="I589" s="18">
        <v>46251</v>
      </c>
      <c r="J589" s="8">
        <f t="shared" si="28"/>
        <v>25</v>
      </c>
      <c r="K589" s="65" t="s">
        <v>295</v>
      </c>
      <c r="L589" s="65" t="s">
        <v>296</v>
      </c>
      <c r="M589" s="65" t="s">
        <v>24</v>
      </c>
      <c r="N589" s="65" t="s">
        <v>191</v>
      </c>
      <c r="O589" s="65">
        <v>519120</v>
      </c>
      <c r="P589" s="65">
        <v>165000</v>
      </c>
      <c r="Q589" s="67">
        <v>684120</v>
      </c>
      <c r="R589" s="66">
        <v>46265</v>
      </c>
      <c r="S589" s="8">
        <f t="shared" ref="S589:S598" si="29">NETWORKDAYS(H589,R589)</f>
        <v>35</v>
      </c>
      <c r="T589" s="65" t="s">
        <v>1119</v>
      </c>
      <c r="U589" s="65" t="s">
        <v>433</v>
      </c>
    </row>
    <row r="590" spans="1:21" x14ac:dyDescent="0.35">
      <c r="A590" s="17" t="s">
        <v>1103</v>
      </c>
      <c r="B590" s="17" t="s">
        <v>43</v>
      </c>
      <c r="C590" s="17">
        <v>66519762</v>
      </c>
      <c r="D590" s="17" t="s">
        <v>133</v>
      </c>
      <c r="E590" s="17" t="s">
        <v>1107</v>
      </c>
      <c r="F590" s="17" t="s">
        <v>46</v>
      </c>
      <c r="G590" s="17" t="s">
        <v>23</v>
      </c>
      <c r="H590" s="18">
        <v>46217</v>
      </c>
      <c r="I590" s="18">
        <v>46251</v>
      </c>
      <c r="J590" s="8">
        <f t="shared" si="28"/>
        <v>25</v>
      </c>
      <c r="K590" s="65" t="s">
        <v>295</v>
      </c>
      <c r="L590" s="65" t="s">
        <v>296</v>
      </c>
      <c r="M590" s="65" t="s">
        <v>24</v>
      </c>
      <c r="N590" s="65" t="s">
        <v>191</v>
      </c>
      <c r="O590" s="65">
        <v>309112</v>
      </c>
      <c r="P590" s="65">
        <v>165000</v>
      </c>
      <c r="Q590" s="67">
        <v>474112</v>
      </c>
      <c r="R590" s="66">
        <v>46265</v>
      </c>
      <c r="S590" s="8">
        <f t="shared" si="29"/>
        <v>35</v>
      </c>
      <c r="T590" s="65" t="s">
        <v>1119</v>
      </c>
      <c r="U590" s="65" t="s">
        <v>433</v>
      </c>
    </row>
    <row r="591" spans="1:21" x14ac:dyDescent="0.35">
      <c r="A591" s="17" t="s">
        <v>1103</v>
      </c>
      <c r="B591" s="17" t="s">
        <v>43</v>
      </c>
      <c r="C591" s="17">
        <v>66524248</v>
      </c>
      <c r="D591" s="17" t="s">
        <v>1108</v>
      </c>
      <c r="E591" s="17" t="s">
        <v>1109</v>
      </c>
      <c r="F591" s="17" t="s">
        <v>46</v>
      </c>
      <c r="G591" s="17" t="s">
        <v>23</v>
      </c>
      <c r="H591" s="18">
        <v>46217</v>
      </c>
      <c r="I591" s="18">
        <v>46254</v>
      </c>
      <c r="J591" s="8">
        <f t="shared" si="28"/>
        <v>28</v>
      </c>
      <c r="K591" s="65" t="s">
        <v>295</v>
      </c>
      <c r="L591" s="65" t="s">
        <v>296</v>
      </c>
      <c r="M591" s="65" t="s">
        <v>24</v>
      </c>
      <c r="N591" s="65" t="s">
        <v>191</v>
      </c>
      <c r="O591" s="65">
        <v>608584</v>
      </c>
      <c r="P591" s="65">
        <v>160000</v>
      </c>
      <c r="Q591" s="67">
        <v>768584</v>
      </c>
      <c r="R591" s="66">
        <v>46265</v>
      </c>
      <c r="S591" s="8">
        <f t="shared" si="29"/>
        <v>35</v>
      </c>
      <c r="T591" s="65" t="s">
        <v>1119</v>
      </c>
      <c r="U591" s="65" t="s">
        <v>433</v>
      </c>
    </row>
    <row r="592" spans="1:21" x14ac:dyDescent="0.35">
      <c r="A592" s="17" t="s">
        <v>1103</v>
      </c>
      <c r="B592" s="17" t="s">
        <v>43</v>
      </c>
      <c r="C592" s="17">
        <v>66545050</v>
      </c>
      <c r="D592" s="17" t="s">
        <v>175</v>
      </c>
      <c r="E592" s="17" t="s">
        <v>1110</v>
      </c>
      <c r="F592" s="17" t="s">
        <v>46</v>
      </c>
      <c r="G592" s="17" t="s">
        <v>23</v>
      </c>
      <c r="H592" s="18">
        <v>46217</v>
      </c>
      <c r="I592" s="18">
        <v>46261</v>
      </c>
      <c r="J592" s="8">
        <f t="shared" si="28"/>
        <v>33</v>
      </c>
      <c r="K592" s="65" t="s">
        <v>295</v>
      </c>
      <c r="L592" s="65" t="s">
        <v>296</v>
      </c>
      <c r="M592" s="65" t="s">
        <v>24</v>
      </c>
      <c r="N592" s="65" t="s">
        <v>191</v>
      </c>
      <c r="O592" s="65">
        <v>3500000</v>
      </c>
      <c r="P592" s="65">
        <v>165000</v>
      </c>
      <c r="Q592" s="67">
        <v>3665000</v>
      </c>
      <c r="R592" s="66">
        <v>46265</v>
      </c>
      <c r="S592" s="8">
        <f t="shared" si="29"/>
        <v>35</v>
      </c>
      <c r="T592" s="65" t="s">
        <v>1119</v>
      </c>
      <c r="U592" s="65" t="s">
        <v>433</v>
      </c>
    </row>
    <row r="593" spans="1:21" x14ac:dyDescent="0.35">
      <c r="A593" s="17" t="s">
        <v>1103</v>
      </c>
      <c r="B593" s="17" t="s">
        <v>43</v>
      </c>
      <c r="C593" s="17">
        <v>66543577</v>
      </c>
      <c r="D593" s="17" t="s">
        <v>443</v>
      </c>
      <c r="E593" s="17" t="s">
        <v>1111</v>
      </c>
      <c r="F593" s="17" t="s">
        <v>46</v>
      </c>
      <c r="G593" s="17" t="s">
        <v>23</v>
      </c>
      <c r="H593" s="18">
        <v>46217</v>
      </c>
      <c r="I593" s="18">
        <v>46258</v>
      </c>
      <c r="J593" s="8">
        <f t="shared" si="28"/>
        <v>30</v>
      </c>
      <c r="K593" s="65" t="s">
        <v>295</v>
      </c>
      <c r="L593" s="65" t="s">
        <v>296</v>
      </c>
      <c r="M593" s="65" t="s">
        <v>24</v>
      </c>
      <c r="N593" s="65" t="s">
        <v>191</v>
      </c>
      <c r="O593" s="65">
        <v>234385</v>
      </c>
      <c r="P593" s="65">
        <v>165000</v>
      </c>
      <c r="Q593" s="67">
        <v>399385</v>
      </c>
      <c r="R593" s="66">
        <v>46265</v>
      </c>
      <c r="S593" s="8">
        <f t="shared" si="29"/>
        <v>35</v>
      </c>
      <c r="T593" s="65" t="s">
        <v>1119</v>
      </c>
      <c r="U593" s="65" t="s">
        <v>433</v>
      </c>
    </row>
    <row r="594" spans="1:21" x14ac:dyDescent="0.35">
      <c r="A594" s="17" t="s">
        <v>1112</v>
      </c>
      <c r="B594" s="17" t="s">
        <v>30</v>
      </c>
      <c r="C594" s="17">
        <v>68280450</v>
      </c>
      <c r="D594" s="17" t="s">
        <v>35</v>
      </c>
      <c r="E594" s="17">
        <v>2720258625</v>
      </c>
      <c r="F594" s="17" t="s">
        <v>32</v>
      </c>
      <c r="G594" s="17" t="s">
        <v>23</v>
      </c>
      <c r="H594" s="18">
        <v>46247</v>
      </c>
      <c r="I594" s="18">
        <v>46260</v>
      </c>
      <c r="J594" s="8">
        <f t="shared" si="28"/>
        <v>10</v>
      </c>
      <c r="K594" s="65" t="s">
        <v>295</v>
      </c>
      <c r="L594" s="65" t="s">
        <v>296</v>
      </c>
      <c r="M594" s="65" t="s">
        <v>24</v>
      </c>
      <c r="N594" s="65" t="s">
        <v>82</v>
      </c>
      <c r="O594" s="65">
        <v>705000</v>
      </c>
      <c r="P594" s="65">
        <v>173225</v>
      </c>
      <c r="Q594" s="67">
        <v>878225</v>
      </c>
      <c r="R594" s="66">
        <v>46265</v>
      </c>
      <c r="S594" s="8">
        <f t="shared" si="29"/>
        <v>13</v>
      </c>
      <c r="T594" s="65" t="s">
        <v>1119</v>
      </c>
      <c r="U594" s="65" t="s">
        <v>537</v>
      </c>
    </row>
    <row r="595" spans="1:21" x14ac:dyDescent="0.35">
      <c r="A595" s="17" t="s">
        <v>1113</v>
      </c>
      <c r="B595" s="17" t="s">
        <v>30</v>
      </c>
      <c r="C595" s="17">
        <v>64931184</v>
      </c>
      <c r="D595" s="17" t="s">
        <v>35</v>
      </c>
      <c r="E595" s="17">
        <v>2720258600</v>
      </c>
      <c r="F595" s="17" t="s">
        <v>32</v>
      </c>
      <c r="G595" s="17" t="s">
        <v>23</v>
      </c>
      <c r="H595" s="18">
        <v>46188</v>
      </c>
      <c r="I595" s="18">
        <v>46260</v>
      </c>
      <c r="J595" s="8">
        <f t="shared" si="28"/>
        <v>53</v>
      </c>
      <c r="K595" s="65" t="s">
        <v>295</v>
      </c>
      <c r="L595" s="65" t="s">
        <v>296</v>
      </c>
      <c r="M595" s="65" t="s">
        <v>24</v>
      </c>
      <c r="N595" s="65" t="s">
        <v>82</v>
      </c>
      <c r="O595" s="65">
        <v>570000</v>
      </c>
      <c r="P595" s="65">
        <v>141635</v>
      </c>
      <c r="Q595" s="67">
        <v>711635</v>
      </c>
      <c r="R595" s="66">
        <v>46265</v>
      </c>
      <c r="S595" s="8">
        <f t="shared" si="29"/>
        <v>56</v>
      </c>
      <c r="T595" s="65" t="s">
        <v>1119</v>
      </c>
      <c r="U595" s="65" t="s">
        <v>537</v>
      </c>
    </row>
    <row r="596" spans="1:21" x14ac:dyDescent="0.35">
      <c r="A596" s="17" t="s">
        <v>1103</v>
      </c>
      <c r="B596" s="17" t="s">
        <v>43</v>
      </c>
      <c r="C596" s="17">
        <v>66521865</v>
      </c>
      <c r="D596" s="17" t="s">
        <v>604</v>
      </c>
      <c r="E596" s="17" t="s">
        <v>1114</v>
      </c>
      <c r="F596" s="17" t="s">
        <v>46</v>
      </c>
      <c r="G596" s="17" t="s">
        <v>23</v>
      </c>
      <c r="H596" s="18">
        <v>46217</v>
      </c>
      <c r="I596" s="18">
        <v>46255</v>
      </c>
      <c r="J596" s="8">
        <f t="shared" si="28"/>
        <v>29</v>
      </c>
      <c r="K596" s="65" t="s">
        <v>295</v>
      </c>
      <c r="L596" s="65" t="s">
        <v>296</v>
      </c>
      <c r="M596" s="65" t="s">
        <v>24</v>
      </c>
      <c r="N596" s="65" t="s">
        <v>191</v>
      </c>
      <c r="O596" s="65">
        <v>555089</v>
      </c>
      <c r="P596" s="65">
        <v>165000</v>
      </c>
      <c r="Q596" s="67">
        <v>720089</v>
      </c>
      <c r="R596" s="66">
        <v>46265</v>
      </c>
      <c r="S596" s="8">
        <f t="shared" si="29"/>
        <v>35</v>
      </c>
      <c r="T596" s="65" t="s">
        <v>1119</v>
      </c>
      <c r="U596" s="65" t="s">
        <v>433</v>
      </c>
    </row>
    <row r="597" spans="1:21" x14ac:dyDescent="0.35">
      <c r="A597" s="17" t="s">
        <v>1103</v>
      </c>
      <c r="B597" s="17" t="s">
        <v>43</v>
      </c>
      <c r="C597" s="17">
        <v>66519733</v>
      </c>
      <c r="D597" s="17" t="s">
        <v>136</v>
      </c>
      <c r="E597" s="17" t="s">
        <v>1115</v>
      </c>
      <c r="F597" s="17" t="s">
        <v>46</v>
      </c>
      <c r="G597" s="17" t="s">
        <v>23</v>
      </c>
      <c r="H597" s="18">
        <v>46217</v>
      </c>
      <c r="I597" s="18">
        <v>46252</v>
      </c>
      <c r="J597" s="8">
        <f t="shared" si="28"/>
        <v>26</v>
      </c>
      <c r="K597" s="65" t="s">
        <v>295</v>
      </c>
      <c r="L597" s="65" t="s">
        <v>296</v>
      </c>
      <c r="M597" s="65" t="s">
        <v>24</v>
      </c>
      <c r="N597" s="65" t="s">
        <v>191</v>
      </c>
      <c r="O597" s="65">
        <v>606387</v>
      </c>
      <c r="P597" s="65">
        <v>165000</v>
      </c>
      <c r="Q597" s="67">
        <v>771387</v>
      </c>
      <c r="R597" s="66">
        <v>46265</v>
      </c>
      <c r="S597" s="8">
        <f t="shared" si="29"/>
        <v>35</v>
      </c>
      <c r="T597" s="65" t="s">
        <v>1119</v>
      </c>
      <c r="U597" s="65" t="s">
        <v>433</v>
      </c>
    </row>
    <row r="598" spans="1:21" x14ac:dyDescent="0.35">
      <c r="A598" s="17" t="s">
        <v>1116</v>
      </c>
      <c r="B598" s="17" t="s">
        <v>19</v>
      </c>
      <c r="C598" s="17">
        <v>65901527</v>
      </c>
      <c r="D598" s="17" t="s">
        <v>55</v>
      </c>
      <c r="E598" s="17" t="s">
        <v>1117</v>
      </c>
      <c r="F598" s="17" t="s">
        <v>22</v>
      </c>
      <c r="G598" s="17" t="s">
        <v>23</v>
      </c>
      <c r="H598" s="18">
        <v>46206</v>
      </c>
      <c r="I598" s="18">
        <v>46262</v>
      </c>
      <c r="J598" s="8">
        <f t="shared" si="28"/>
        <v>41</v>
      </c>
      <c r="K598" s="65" t="s">
        <v>344</v>
      </c>
      <c r="L598" s="65" t="s">
        <v>1118</v>
      </c>
      <c r="M598" s="65" t="s">
        <v>24</v>
      </c>
      <c r="N598" s="65" t="s">
        <v>28</v>
      </c>
      <c r="O598" s="65">
        <v>1000000</v>
      </c>
      <c r="P598" s="65">
        <v>667054</v>
      </c>
      <c r="Q598" s="67">
        <v>1667054</v>
      </c>
      <c r="R598" s="66">
        <v>46265</v>
      </c>
      <c r="S598" s="8">
        <f t="shared" si="29"/>
        <v>42</v>
      </c>
      <c r="T598" s="65" t="s">
        <v>1119</v>
      </c>
      <c r="U598" s="65" t="s">
        <v>537</v>
      </c>
    </row>
  </sheetData>
  <autoFilter ref="A1:U587" xr:uid="{00000000-0009-0000-0000-000000000000}"/>
  <phoneticPr fontId="14" type="noConversion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2026-08-31T12:59:46Z</dcterms:modified>
</cp:coreProperties>
</file>