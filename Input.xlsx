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06" documentId="8_{96B9E37B-5941-46BA-AA97-B18EA540EAA4}" xr6:coauthVersionLast="47" xr6:coauthVersionMax="47" xr10:uidLastSave="{FA211E19-798A-4D98-8D83-017187B4E30F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MES!$A$1:$T$148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<sst xmlns="http://schemas.openxmlformats.org/spreadsheetml/2006/main" count="1352" uniqueCount="344">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</sst>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center" vertical="center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167" fontId="11" fillId="0" borderId="1" xfId="2" applyNumberFormat="1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8"/>
  <sheetViews>
    <sheetView tabSelected="1" topLeftCell="E132" workbookViewId="0">
      <selection activeCell="Q135" sqref="Q135:Q148"/>
    </sheetView>
  </sheetViews>
  <sheetFormatPr baseColWidth="10" defaultRowHeight="14.5" x14ac:dyDescent="0.35"/>
  <cols>
    <col min="1" max="1" width="24.6328125" style="27" customWidth="1"/>
    <col min="3" max="3" width="11" bestFit="1" customWidth="1"/>
    <col min="5" max="5" width="11" bestFit="1" customWidth="1"/>
    <col min="8" max="10" width="11" bestFit="1" customWidth="1"/>
    <col min="12" max="12" width="12.08984375" customWidth="1"/>
    <col min="15" max="15" width="11.26953125" bestFit="1" customWidth="1"/>
    <col min="16" max="16" width="11" bestFit="1" customWidth="1"/>
    <col min="17" max="17" width="11.90625" style="19" customWidth="1"/>
    <col min="18" max="18" width="11" bestFit="1" customWidth="1"/>
    <col min="19" max="19" width="8.1796875" customWidth="1"/>
    <col min="20" max="20" width="6.54296875" customWidth="1"/>
  </cols>
  <sheetData>
    <row r="1" spans="1:20" x14ac:dyDescent="0.35">
      <c r="A1" s="29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1" t="s">
        <v>315</v>
      </c>
      <c r="L1" s="22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8" t="s">
        <v>14</v>
      </c>
      <c r="R1" s="1" t="s">
        <v>15</v>
      </c>
      <c r="S1" s="4" t="s">
        <v>16</v>
      </c>
      <c r="T1" s="1" t="s">
        <v>17</v>
      </c>
    </row>
    <row r="2" spans="1:20" ht="29" customHeight="1" x14ac:dyDescent="0.35">
      <c r="A2" s="30" t="s">
        <v>154</v>
      </c>
      <c r="B2" s="26" t="s">
        <v>44</v>
      </c>
      <c r="C2" s="9">
        <v>55472663</v>
      </c>
      <c r="D2" s="26" t="s">
        <v>155</v>
      </c>
      <c r="E2" s="9" t="s">
        <v>156</v>
      </c>
      <c r="F2" s="26" t="s">
        <v>47</v>
      </c>
      <c r="G2" s="12" t="s">
        <v>23</v>
      </c>
      <c r="H2" s="39">
        <v>46010</v>
      </c>
      <c r="I2" s="40">
        <v>46015</v>
      </c>
      <c r="J2" s="25">
        <f>+NETWORKDAYS(H2,I2)</f>
        <v>4</v>
      </c>
      <c r="K2" s="26"/>
      <c r="L2" s="26"/>
      <c r="M2" s="13" t="s">
        <v>157</v>
      </c>
      <c r="N2" s="26" t="s">
        <v>29</v>
      </c>
      <c r="O2" s="33">
        <v>0</v>
      </c>
      <c r="P2" s="33">
        <v>0</v>
      </c>
      <c r="Q2" s="33">
        <f>P2+O2</f>
        <v>0</v>
      </c>
      <c r="R2" s="13">
        <v>46024</v>
      </c>
      <c r="S2" s="25">
        <f>NETWORKDAYS(H2,R2)</f>
        <v>11</v>
      </c>
      <c r="T2" s="11" t="s">
        <v>158</v>
      </c>
    </row>
    <row r="3" spans="1:20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5">
        <f t="shared" ref="J3:J66" si="0">+NETWORKDAYS(H3,I3)</f>
        <v>17</v>
      </c>
      <c r="K3" s="26"/>
      <c r="L3" s="26"/>
      <c r="M3" s="13" t="s">
        <v>24</v>
      </c>
      <c r="N3" s="12" t="s">
        <v>84</v>
      </c>
      <c r="O3" s="20">
        <v>1000000</v>
      </c>
      <c r="P3" s="20">
        <v>231750</v>
      </c>
      <c r="Q3" s="17">
        <f>P3+O3</f>
        <v>1231750</v>
      </c>
      <c r="R3" s="13">
        <v>46024</v>
      </c>
      <c r="S3" s="25">
        <f t="shared" ref="S3:S66" si="1">NETWORKDAYS(H3,R3)</f>
        <v>19</v>
      </c>
      <c r="T3" s="11" t="s">
        <v>158</v>
      </c>
    </row>
    <row r="4" spans="1:20" ht="29" customHeight="1" x14ac:dyDescent="0.35">
      <c r="A4" s="23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4">
        <v>46024</v>
      </c>
      <c r="J4" s="25">
        <f t="shared" si="0"/>
        <v>11</v>
      </c>
      <c r="K4" s="26"/>
      <c r="L4" s="26"/>
      <c r="M4" s="13" t="s">
        <v>157</v>
      </c>
      <c r="N4" s="12" t="s">
        <v>29</v>
      </c>
      <c r="O4" s="20">
        <v>0</v>
      </c>
      <c r="P4" s="20">
        <v>0</v>
      </c>
      <c r="Q4" s="17">
        <f>P4+O4</f>
        <v>0</v>
      </c>
      <c r="R4" s="13">
        <v>46027</v>
      </c>
      <c r="S4" s="25">
        <f t="shared" si="1"/>
        <v>12</v>
      </c>
      <c r="T4" s="11" t="s">
        <v>162</v>
      </c>
    </row>
    <row r="5" spans="1:20" ht="29" customHeight="1" x14ac:dyDescent="0.35">
      <c r="A5" s="23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5">
        <f t="shared" si="0"/>
        <v>11</v>
      </c>
      <c r="K5" s="26"/>
      <c r="L5" s="26"/>
      <c r="M5" s="13" t="s">
        <v>157</v>
      </c>
      <c r="N5" s="12" t="s">
        <v>148</v>
      </c>
      <c r="O5" s="20">
        <v>0</v>
      </c>
      <c r="P5" s="20">
        <v>0</v>
      </c>
      <c r="Q5" s="17">
        <f>P5+O5</f>
        <v>0</v>
      </c>
      <c r="R5" s="13">
        <v>46027</v>
      </c>
      <c r="S5" s="25">
        <f t="shared" si="1"/>
        <v>12</v>
      </c>
      <c r="T5" s="11" t="s">
        <v>162</v>
      </c>
    </row>
    <row r="6" spans="1:20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5">
        <f t="shared" si="0"/>
        <v>31</v>
      </c>
      <c r="K6" s="26"/>
      <c r="L6" s="26"/>
      <c r="M6" s="13" t="s">
        <v>24</v>
      </c>
      <c r="N6" s="12" t="s">
        <v>57</v>
      </c>
      <c r="O6" s="15">
        <v>270000</v>
      </c>
      <c r="P6" s="5">
        <v>71435</v>
      </c>
      <c r="Q6" s="17">
        <f t="shared" ref="Q6:Q69" si="2">P6+O6</f>
        <v>341435</v>
      </c>
      <c r="R6" s="13">
        <v>46027</v>
      </c>
      <c r="S6" s="25">
        <f t="shared" si="1"/>
        <v>31</v>
      </c>
      <c r="T6" s="11" t="s">
        <v>162</v>
      </c>
    </row>
    <row r="7" spans="1:20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5">
        <f t="shared" si="0"/>
        <v>28</v>
      </c>
      <c r="K7" s="26"/>
      <c r="L7" s="26"/>
      <c r="M7" s="13" t="s">
        <v>24</v>
      </c>
      <c r="N7" s="12" t="s">
        <v>34</v>
      </c>
      <c r="O7" s="15">
        <v>150000</v>
      </c>
      <c r="P7" s="15">
        <v>40000</v>
      </c>
      <c r="Q7" s="17">
        <f t="shared" si="2"/>
        <v>190000</v>
      </c>
      <c r="R7" s="13">
        <v>46027</v>
      </c>
      <c r="S7" s="25">
        <f t="shared" si="1"/>
        <v>28</v>
      </c>
      <c r="T7" s="11" t="s">
        <v>162</v>
      </c>
    </row>
    <row r="8" spans="1:20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5">
        <v>46017</v>
      </c>
      <c r="J8" s="25">
        <f t="shared" si="0"/>
        <v>34</v>
      </c>
      <c r="K8" s="26"/>
      <c r="L8" s="26"/>
      <c r="M8" s="13" t="s">
        <v>24</v>
      </c>
      <c r="N8" s="12" t="s">
        <v>168</v>
      </c>
      <c r="O8" s="20">
        <v>3264000</v>
      </c>
      <c r="P8" s="20">
        <v>408000</v>
      </c>
      <c r="Q8" s="17">
        <f t="shared" si="2"/>
        <v>3672000</v>
      </c>
      <c r="R8" s="13">
        <v>46028</v>
      </c>
      <c r="S8" s="25">
        <f t="shared" si="1"/>
        <v>41</v>
      </c>
      <c r="T8" s="11" t="s">
        <v>162</v>
      </c>
    </row>
    <row r="9" spans="1:20" ht="29" customHeight="1" x14ac:dyDescent="0.35">
      <c r="A9" s="12" t="s">
        <v>169</v>
      </c>
      <c r="B9" s="12" t="s">
        <v>44</v>
      </c>
      <c r="C9" s="28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4">
        <v>46027</v>
      </c>
      <c r="J9" s="25">
        <f t="shared" si="0"/>
        <v>60</v>
      </c>
      <c r="K9" s="32"/>
      <c r="L9" s="32"/>
      <c r="M9" s="11" t="s">
        <v>24</v>
      </c>
      <c r="N9" s="12" t="s">
        <v>49</v>
      </c>
      <c r="O9" s="20">
        <v>1800000</v>
      </c>
      <c r="P9" s="20">
        <v>301520</v>
      </c>
      <c r="Q9" s="17">
        <f t="shared" si="2"/>
        <v>2101520</v>
      </c>
      <c r="R9" s="13">
        <v>46029</v>
      </c>
      <c r="S9" s="25">
        <f t="shared" si="1"/>
        <v>62</v>
      </c>
      <c r="T9" s="11" t="s">
        <v>162</v>
      </c>
    </row>
    <row r="10" spans="1:20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4">
        <v>46024</v>
      </c>
      <c r="J10" s="25">
        <f t="shared" si="0"/>
        <v>12</v>
      </c>
      <c r="K10" s="32"/>
      <c r="L10" s="32"/>
      <c r="M10" s="11" t="s">
        <v>24</v>
      </c>
      <c r="N10" s="12" t="s">
        <v>174</v>
      </c>
      <c r="O10" s="20">
        <v>1977000</v>
      </c>
      <c r="P10" s="20">
        <v>0</v>
      </c>
      <c r="Q10" s="17">
        <f t="shared" si="2"/>
        <v>1977000</v>
      </c>
      <c r="R10" s="13">
        <v>46029</v>
      </c>
      <c r="S10" s="25">
        <f t="shared" si="1"/>
        <v>15</v>
      </c>
      <c r="T10" s="11" t="s">
        <v>162</v>
      </c>
    </row>
    <row r="11" spans="1:20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5">
        <f t="shared" si="0"/>
        <v>15</v>
      </c>
      <c r="K11" s="32"/>
      <c r="L11" s="32"/>
      <c r="M11" s="11" t="s">
        <v>24</v>
      </c>
      <c r="N11" s="12" t="s">
        <v>174</v>
      </c>
      <c r="O11" s="20">
        <v>1977000</v>
      </c>
      <c r="P11" s="20">
        <v>0</v>
      </c>
      <c r="Q11" s="17">
        <f t="shared" si="2"/>
        <v>1977000</v>
      </c>
      <c r="R11" s="13">
        <v>46029</v>
      </c>
      <c r="S11" s="25">
        <f t="shared" si="1"/>
        <v>15</v>
      </c>
      <c r="T11" s="11" t="s">
        <v>162</v>
      </c>
    </row>
    <row r="12" spans="1:20" ht="29" customHeight="1" x14ac:dyDescent="0.35">
      <c r="A12" s="23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5">
        <f t="shared" si="0"/>
        <v>7</v>
      </c>
      <c r="K12" s="32"/>
      <c r="L12" s="32"/>
      <c r="M12" s="11" t="s">
        <v>24</v>
      </c>
      <c r="N12" s="12" t="s">
        <v>179</v>
      </c>
      <c r="O12" s="20">
        <v>1500000</v>
      </c>
      <c r="P12" s="20">
        <v>571781</v>
      </c>
      <c r="Q12" s="17">
        <f t="shared" si="2"/>
        <v>2071781</v>
      </c>
      <c r="R12" s="13">
        <v>46030</v>
      </c>
      <c r="S12" s="25">
        <f t="shared" si="1"/>
        <v>21</v>
      </c>
      <c r="T12" s="11" t="s">
        <v>162</v>
      </c>
    </row>
    <row r="13" spans="1:20" ht="29" customHeight="1" x14ac:dyDescent="0.35">
      <c r="A13" s="23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41">
        <v>46010</v>
      </c>
      <c r="I13" s="41">
        <v>46030</v>
      </c>
      <c r="J13" s="25">
        <f t="shared" si="0"/>
        <v>15</v>
      </c>
      <c r="K13" s="32"/>
      <c r="L13" s="32"/>
      <c r="M13" s="42" t="s">
        <v>157</v>
      </c>
      <c r="N13" s="20" t="s">
        <v>29</v>
      </c>
      <c r="O13" s="15">
        <v>0</v>
      </c>
      <c r="P13" s="15">
        <v>0</v>
      </c>
      <c r="Q13" s="17">
        <f t="shared" si="2"/>
        <v>0</v>
      </c>
      <c r="R13" s="13">
        <v>46030</v>
      </c>
      <c r="S13" s="25">
        <f t="shared" si="1"/>
        <v>15</v>
      </c>
      <c r="T13" s="11" t="s">
        <v>162</v>
      </c>
    </row>
    <row r="14" spans="1:20" ht="29" customHeight="1" x14ac:dyDescent="0.35">
      <c r="A14" s="23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41">
        <v>46010</v>
      </c>
      <c r="I14" s="41">
        <v>46030</v>
      </c>
      <c r="J14" s="25">
        <f t="shared" si="0"/>
        <v>15</v>
      </c>
      <c r="K14" s="32"/>
      <c r="L14" s="32"/>
      <c r="M14" s="42" t="s">
        <v>157</v>
      </c>
      <c r="N14" s="20" t="s">
        <v>29</v>
      </c>
      <c r="O14" s="15">
        <v>0</v>
      </c>
      <c r="P14" s="5">
        <v>0</v>
      </c>
      <c r="Q14" s="17">
        <f t="shared" si="2"/>
        <v>0</v>
      </c>
      <c r="R14" s="13">
        <v>46030</v>
      </c>
      <c r="S14" s="25">
        <f t="shared" si="1"/>
        <v>15</v>
      </c>
      <c r="T14" s="11" t="s">
        <v>162</v>
      </c>
    </row>
    <row r="15" spans="1:20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4">
        <v>46024</v>
      </c>
      <c r="J15" s="25">
        <f t="shared" si="0"/>
        <v>12</v>
      </c>
      <c r="K15" s="32"/>
      <c r="L15" s="32"/>
      <c r="M15" s="42" t="s">
        <v>24</v>
      </c>
      <c r="N15" s="12" t="s">
        <v>174</v>
      </c>
      <c r="O15" s="20">
        <v>847200</v>
      </c>
      <c r="P15" s="20">
        <v>0</v>
      </c>
      <c r="Q15" s="17">
        <f t="shared" si="2"/>
        <v>847200</v>
      </c>
      <c r="R15" s="13">
        <v>46030</v>
      </c>
      <c r="S15" s="25">
        <f t="shared" si="1"/>
        <v>16</v>
      </c>
      <c r="T15" s="11" t="s">
        <v>162</v>
      </c>
    </row>
    <row r="16" spans="1:20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5">
        <f t="shared" si="0"/>
        <v>15</v>
      </c>
      <c r="K16" s="32"/>
      <c r="L16" s="32"/>
      <c r="M16" s="11" t="s">
        <v>157</v>
      </c>
      <c r="N16" s="12" t="s">
        <v>148</v>
      </c>
      <c r="O16" s="20">
        <v>0</v>
      </c>
      <c r="P16" s="20">
        <v>0</v>
      </c>
      <c r="Q16" s="17">
        <f>P16+O16</f>
        <v>0</v>
      </c>
      <c r="R16" s="13">
        <v>46030</v>
      </c>
      <c r="S16" s="25">
        <f t="shared" si="1"/>
        <v>15</v>
      </c>
      <c r="T16" s="11" t="s">
        <v>162</v>
      </c>
    </row>
    <row r="17" spans="1:20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5">
        <f t="shared" si="0"/>
        <v>15</v>
      </c>
      <c r="K17" s="32"/>
      <c r="L17" s="32"/>
      <c r="M17" s="11" t="s">
        <v>157</v>
      </c>
      <c r="N17" s="12" t="s">
        <v>29</v>
      </c>
      <c r="O17" s="17">
        <v>0</v>
      </c>
      <c r="P17" s="17">
        <v>0</v>
      </c>
      <c r="Q17" s="17">
        <f t="shared" si="2"/>
        <v>0</v>
      </c>
      <c r="R17" s="13">
        <v>46030</v>
      </c>
      <c r="S17" s="25">
        <f t="shared" si="1"/>
        <v>15</v>
      </c>
      <c r="T17" s="11" t="s">
        <v>162</v>
      </c>
    </row>
    <row r="18" spans="1:20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5">
        <f t="shared" si="0"/>
        <v>38</v>
      </c>
      <c r="K18" s="32"/>
      <c r="L18" s="32"/>
      <c r="M18" s="11" t="s">
        <v>188</v>
      </c>
      <c r="N18" s="12" t="s">
        <v>29</v>
      </c>
      <c r="O18" s="43">
        <v>0</v>
      </c>
      <c r="P18" s="20">
        <v>1588888</v>
      </c>
      <c r="Q18" s="17">
        <f t="shared" si="2"/>
        <v>1588888</v>
      </c>
      <c r="R18" s="13">
        <v>46030</v>
      </c>
      <c r="S18" s="25">
        <f t="shared" si="1"/>
        <v>38</v>
      </c>
      <c r="T18" s="11" t="s">
        <v>162</v>
      </c>
    </row>
    <row r="19" spans="1:20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5">
        <f t="shared" si="0"/>
        <v>9</v>
      </c>
      <c r="K19" s="32"/>
      <c r="L19" s="32"/>
      <c r="M19" s="11" t="s">
        <v>157</v>
      </c>
      <c r="N19" s="12" t="s">
        <v>29</v>
      </c>
      <c r="O19" s="43">
        <v>1480000</v>
      </c>
      <c r="P19" s="20">
        <v>0</v>
      </c>
      <c r="Q19" s="17">
        <f t="shared" si="2"/>
        <v>1480000</v>
      </c>
      <c r="R19" s="13">
        <v>46030</v>
      </c>
      <c r="S19" s="25">
        <f t="shared" si="1"/>
        <v>9</v>
      </c>
      <c r="T19" s="11" t="s">
        <v>162</v>
      </c>
    </row>
    <row r="20" spans="1:20" ht="29" customHeight="1" x14ac:dyDescent="0.35">
      <c r="A20" s="12" t="s">
        <v>189</v>
      </c>
      <c r="B20" s="12" t="s">
        <v>19</v>
      </c>
      <c r="C20" s="28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5">
        <f t="shared" si="0"/>
        <v>9</v>
      </c>
      <c r="K20" s="32"/>
      <c r="L20" s="32"/>
      <c r="M20" s="11" t="s">
        <v>157</v>
      </c>
      <c r="N20" s="11" t="s">
        <v>29</v>
      </c>
      <c r="O20" s="17">
        <v>0</v>
      </c>
      <c r="P20" s="17">
        <v>0</v>
      </c>
      <c r="Q20" s="17">
        <f t="shared" si="2"/>
        <v>0</v>
      </c>
      <c r="R20" s="13">
        <v>46030</v>
      </c>
      <c r="S20" s="25">
        <f t="shared" si="1"/>
        <v>9</v>
      </c>
      <c r="T20" s="11" t="s">
        <v>162</v>
      </c>
    </row>
    <row r="21" spans="1:20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5">
        <f t="shared" si="0"/>
        <v>63</v>
      </c>
      <c r="K21" s="32"/>
      <c r="L21" s="32"/>
      <c r="M21" s="11" t="s">
        <v>24</v>
      </c>
      <c r="N21" s="12" t="s">
        <v>197</v>
      </c>
      <c r="O21" s="20">
        <v>3000000</v>
      </c>
      <c r="P21" s="20">
        <v>270000</v>
      </c>
      <c r="Q21" s="17">
        <f t="shared" si="2"/>
        <v>3270000</v>
      </c>
      <c r="R21" s="13">
        <v>46031</v>
      </c>
      <c r="S21" s="25">
        <f t="shared" si="1"/>
        <v>64</v>
      </c>
      <c r="T21" s="11" t="s">
        <v>162</v>
      </c>
    </row>
    <row r="22" spans="1:20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5">
        <f t="shared" si="0"/>
        <v>245</v>
      </c>
      <c r="K22" s="32"/>
      <c r="L22" s="32"/>
      <c r="M22" s="11" t="s">
        <v>24</v>
      </c>
      <c r="N22" s="12" t="s">
        <v>199</v>
      </c>
      <c r="O22" s="20">
        <v>2000000</v>
      </c>
      <c r="P22" s="20">
        <v>380000</v>
      </c>
      <c r="Q22" s="17">
        <f t="shared" si="2"/>
        <v>2380000</v>
      </c>
      <c r="R22" s="13">
        <v>46035</v>
      </c>
      <c r="S22" s="25">
        <f t="shared" si="1"/>
        <v>249</v>
      </c>
      <c r="T22" s="11" t="s">
        <v>200</v>
      </c>
    </row>
    <row r="23" spans="1:20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5">
        <f t="shared" si="0"/>
        <v>31</v>
      </c>
      <c r="K23" s="32"/>
      <c r="L23" s="32"/>
      <c r="M23" s="42" t="s">
        <v>157</v>
      </c>
      <c r="N23" s="12" t="s">
        <v>29</v>
      </c>
      <c r="O23" s="43">
        <v>0</v>
      </c>
      <c r="P23" s="20">
        <v>0</v>
      </c>
      <c r="Q23" s="17">
        <f t="shared" si="2"/>
        <v>0</v>
      </c>
      <c r="R23" s="13">
        <v>46035</v>
      </c>
      <c r="S23" s="25">
        <f t="shared" si="1"/>
        <v>34</v>
      </c>
      <c r="T23" s="11" t="s">
        <v>200</v>
      </c>
    </row>
    <row r="24" spans="1:20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5">
        <f t="shared" si="0"/>
        <v>13</v>
      </c>
      <c r="K24" s="32"/>
      <c r="L24" s="32"/>
      <c r="M24" s="11" t="s">
        <v>157</v>
      </c>
      <c r="N24" s="11" t="s">
        <v>29</v>
      </c>
      <c r="O24" s="20">
        <v>0</v>
      </c>
      <c r="P24" s="20">
        <v>0</v>
      </c>
      <c r="Q24" s="17">
        <f t="shared" si="2"/>
        <v>0</v>
      </c>
      <c r="R24" s="13">
        <v>46035</v>
      </c>
      <c r="S24" s="25">
        <f t="shared" si="1"/>
        <v>16</v>
      </c>
      <c r="T24" s="11" t="s">
        <v>200</v>
      </c>
    </row>
    <row r="25" spans="1:20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5">
        <f t="shared" si="0"/>
        <v>29</v>
      </c>
      <c r="K25" s="32"/>
      <c r="L25" s="32"/>
      <c r="M25" s="11" t="s">
        <v>48</v>
      </c>
      <c r="N25" s="11" t="s">
        <v>34</v>
      </c>
      <c r="O25" s="17">
        <v>144000</v>
      </c>
      <c r="P25" s="17">
        <v>0</v>
      </c>
      <c r="Q25" s="17">
        <f t="shared" si="2"/>
        <v>144000</v>
      </c>
      <c r="R25" s="13">
        <v>46035</v>
      </c>
      <c r="S25" s="25">
        <f t="shared" si="1"/>
        <v>33</v>
      </c>
      <c r="T25" s="11" t="s">
        <v>200</v>
      </c>
    </row>
    <row r="26" spans="1:20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5">
        <f t="shared" si="0"/>
        <v>16</v>
      </c>
      <c r="K26" s="32"/>
      <c r="L26" s="32"/>
      <c r="M26" s="11" t="s">
        <v>48</v>
      </c>
      <c r="N26" s="12" t="s">
        <v>84</v>
      </c>
      <c r="O26" s="17">
        <v>1000000</v>
      </c>
      <c r="P26" s="17">
        <v>0</v>
      </c>
      <c r="Q26" s="17">
        <f t="shared" si="2"/>
        <v>1000000</v>
      </c>
      <c r="R26" s="13">
        <v>46035</v>
      </c>
      <c r="S26" s="25">
        <f t="shared" si="1"/>
        <v>20</v>
      </c>
      <c r="T26" s="11" t="s">
        <v>200</v>
      </c>
    </row>
    <row r="27" spans="1:20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5">
        <f t="shared" si="0"/>
        <v>15</v>
      </c>
      <c r="K27" s="32"/>
      <c r="L27" s="32"/>
      <c r="M27" s="11" t="s">
        <v>24</v>
      </c>
      <c r="N27" s="11" t="s">
        <v>174</v>
      </c>
      <c r="O27" s="20">
        <v>847200</v>
      </c>
      <c r="P27" s="20">
        <v>0</v>
      </c>
      <c r="Q27" s="17">
        <f t="shared" si="2"/>
        <v>847200</v>
      </c>
      <c r="R27" s="13">
        <v>46035</v>
      </c>
      <c r="S27" s="25">
        <f t="shared" si="1"/>
        <v>19</v>
      </c>
      <c r="T27" s="11" t="s">
        <v>200</v>
      </c>
    </row>
    <row r="28" spans="1:20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5">
        <f t="shared" si="0"/>
        <v>12</v>
      </c>
      <c r="K28" s="32"/>
      <c r="L28" s="32"/>
      <c r="M28" s="11" t="s">
        <v>24</v>
      </c>
      <c r="N28" s="12" t="s">
        <v>54</v>
      </c>
      <c r="O28" s="20">
        <v>2500000</v>
      </c>
      <c r="P28" s="20">
        <v>280000</v>
      </c>
      <c r="Q28" s="17">
        <f t="shared" si="2"/>
        <v>2780000</v>
      </c>
      <c r="R28" s="13">
        <v>46035</v>
      </c>
      <c r="S28" s="25">
        <f t="shared" si="1"/>
        <v>16</v>
      </c>
      <c r="T28" s="11" t="s">
        <v>200</v>
      </c>
    </row>
    <row r="29" spans="1:20" ht="29" customHeight="1" x14ac:dyDescent="0.35">
      <c r="A29" s="12" t="s">
        <v>213</v>
      </c>
      <c r="B29" s="12" t="s">
        <v>44</v>
      </c>
      <c r="C29" s="23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5">
        <f t="shared" si="0"/>
        <v>203</v>
      </c>
      <c r="K29" s="32"/>
      <c r="L29" s="32"/>
      <c r="M29" s="11" t="s">
        <v>24</v>
      </c>
      <c r="N29" s="12" t="s">
        <v>197</v>
      </c>
      <c r="O29" s="20">
        <v>32214683</v>
      </c>
      <c r="P29" s="20">
        <v>6403996</v>
      </c>
      <c r="Q29" s="17">
        <f t="shared" si="2"/>
        <v>38618679</v>
      </c>
      <c r="R29" s="13">
        <v>46036</v>
      </c>
      <c r="S29" s="25">
        <f t="shared" si="1"/>
        <v>366</v>
      </c>
      <c r="T29" s="11" t="s">
        <v>200</v>
      </c>
    </row>
    <row r="30" spans="1:20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5">
        <f t="shared" si="0"/>
        <v>15</v>
      </c>
      <c r="K30" s="32"/>
      <c r="L30" s="32"/>
      <c r="M30" s="11" t="s">
        <v>24</v>
      </c>
      <c r="N30" s="11" t="s">
        <v>34</v>
      </c>
      <c r="O30" s="17">
        <v>150000</v>
      </c>
      <c r="P30" s="17">
        <v>40000</v>
      </c>
      <c r="Q30" s="17">
        <f t="shared" si="2"/>
        <v>190000</v>
      </c>
      <c r="R30" s="13">
        <v>46036</v>
      </c>
      <c r="S30" s="25">
        <f t="shared" si="1"/>
        <v>16</v>
      </c>
      <c r="T30" s="11" t="s">
        <v>200</v>
      </c>
    </row>
    <row r="31" spans="1:20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5">
        <f t="shared" si="0"/>
        <v>11</v>
      </c>
      <c r="K31" s="32"/>
      <c r="L31" s="32"/>
      <c r="M31" s="11" t="s">
        <v>24</v>
      </c>
      <c r="N31" s="12" t="s">
        <v>34</v>
      </c>
      <c r="O31" s="20">
        <v>0</v>
      </c>
      <c r="P31" s="20">
        <v>40000</v>
      </c>
      <c r="Q31" s="17">
        <f t="shared" si="2"/>
        <v>40000</v>
      </c>
      <c r="R31" s="13">
        <v>46036</v>
      </c>
      <c r="S31" s="25">
        <f t="shared" si="1"/>
        <v>12</v>
      </c>
      <c r="T31" s="11" t="s">
        <v>200</v>
      </c>
    </row>
    <row r="32" spans="1:20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5">
        <f t="shared" si="0"/>
        <v>13</v>
      </c>
      <c r="K32" s="32"/>
      <c r="L32" s="32"/>
      <c r="M32" s="11" t="s">
        <v>24</v>
      </c>
      <c r="N32" s="12" t="s">
        <v>29</v>
      </c>
      <c r="O32" s="20">
        <v>1000000</v>
      </c>
      <c r="P32" s="20">
        <v>705164</v>
      </c>
      <c r="Q32" s="17">
        <f t="shared" si="2"/>
        <v>1705164</v>
      </c>
      <c r="R32" s="13">
        <v>46036</v>
      </c>
      <c r="S32" s="25">
        <f t="shared" si="1"/>
        <v>42</v>
      </c>
      <c r="T32" s="11" t="s">
        <v>200</v>
      </c>
    </row>
    <row r="33" spans="1:20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5">
        <f t="shared" si="0"/>
        <v>45</v>
      </c>
      <c r="K33" s="32"/>
      <c r="L33" s="32"/>
      <c r="M33" s="11" t="s">
        <v>24</v>
      </c>
      <c r="N33" s="12" t="s">
        <v>94</v>
      </c>
      <c r="O33" s="20">
        <v>0</v>
      </c>
      <c r="P33" s="20">
        <v>170681</v>
      </c>
      <c r="Q33" s="17">
        <f t="shared" si="2"/>
        <v>170681</v>
      </c>
      <c r="R33" s="13">
        <v>46037</v>
      </c>
      <c r="S33" s="25">
        <f t="shared" si="1"/>
        <v>63</v>
      </c>
      <c r="T33" s="11" t="s">
        <v>200</v>
      </c>
    </row>
    <row r="34" spans="1:20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5">
        <f t="shared" si="0"/>
        <v>46</v>
      </c>
      <c r="K34" s="32"/>
      <c r="L34" s="32"/>
      <c r="M34" s="11" t="s">
        <v>24</v>
      </c>
      <c r="N34" s="12" t="s">
        <v>73</v>
      </c>
      <c r="O34" s="12">
        <v>0</v>
      </c>
      <c r="P34" s="12">
        <v>92730</v>
      </c>
      <c r="Q34" s="17">
        <f t="shared" si="2"/>
        <v>92730</v>
      </c>
      <c r="R34" s="13">
        <v>46037</v>
      </c>
      <c r="S34" s="25">
        <f t="shared" si="1"/>
        <v>62</v>
      </c>
      <c r="T34" s="11" t="s">
        <v>200</v>
      </c>
    </row>
    <row r="35" spans="1:20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5">
        <f t="shared" si="0"/>
        <v>46</v>
      </c>
      <c r="K35" s="32"/>
      <c r="L35" s="32"/>
      <c r="M35" s="11" t="s">
        <v>24</v>
      </c>
      <c r="N35" s="12" t="s">
        <v>73</v>
      </c>
      <c r="O35" s="12">
        <v>0</v>
      </c>
      <c r="P35" s="12">
        <v>92730</v>
      </c>
      <c r="Q35" s="17">
        <f t="shared" si="2"/>
        <v>92730</v>
      </c>
      <c r="R35" s="13">
        <v>46037</v>
      </c>
      <c r="S35" s="25">
        <f t="shared" si="1"/>
        <v>62</v>
      </c>
      <c r="T35" s="11" t="s">
        <v>200</v>
      </c>
    </row>
    <row r="36" spans="1:20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5">
        <f t="shared" si="0"/>
        <v>47</v>
      </c>
      <c r="K36" s="32"/>
      <c r="L36" s="32"/>
      <c r="M36" s="11" t="s">
        <v>24</v>
      </c>
      <c r="N36" s="12" t="s">
        <v>73</v>
      </c>
      <c r="O36" s="12">
        <v>0</v>
      </c>
      <c r="P36" s="12">
        <v>92730</v>
      </c>
      <c r="Q36" s="17">
        <f t="shared" si="2"/>
        <v>92730</v>
      </c>
      <c r="R36" s="13">
        <v>46037</v>
      </c>
      <c r="S36" s="25">
        <f t="shared" si="1"/>
        <v>63</v>
      </c>
      <c r="T36" s="11" t="s">
        <v>200</v>
      </c>
    </row>
    <row r="37" spans="1:20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5">
        <f t="shared" si="0"/>
        <v>46</v>
      </c>
      <c r="K37" s="32"/>
      <c r="L37" s="32"/>
      <c r="M37" s="11" t="s">
        <v>24</v>
      </c>
      <c r="N37" s="11" t="s">
        <v>73</v>
      </c>
      <c r="O37" s="12">
        <v>0</v>
      </c>
      <c r="P37" s="12">
        <v>92730</v>
      </c>
      <c r="Q37" s="17">
        <f t="shared" si="2"/>
        <v>92730</v>
      </c>
      <c r="R37" s="13">
        <v>46037</v>
      </c>
      <c r="S37" s="25">
        <f t="shared" si="1"/>
        <v>62</v>
      </c>
      <c r="T37" s="11" t="s">
        <v>200</v>
      </c>
    </row>
    <row r="38" spans="1:20" ht="29" customHeight="1" x14ac:dyDescent="0.35">
      <c r="A38" s="12" t="s">
        <v>226</v>
      </c>
      <c r="B38" s="12" t="s">
        <v>19</v>
      </c>
      <c r="C38" s="44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5">
        <f t="shared" si="0"/>
        <v>14</v>
      </c>
      <c r="K38" s="32"/>
      <c r="L38" s="32"/>
      <c r="M38" s="11" t="s">
        <v>24</v>
      </c>
      <c r="N38" s="12" t="s">
        <v>29</v>
      </c>
      <c r="O38" s="20">
        <v>2000500</v>
      </c>
      <c r="P38" s="20">
        <v>667054</v>
      </c>
      <c r="Q38" s="17">
        <f t="shared" si="2"/>
        <v>2667554</v>
      </c>
      <c r="R38" s="13">
        <v>46037</v>
      </c>
      <c r="S38" s="25">
        <f t="shared" si="1"/>
        <v>27</v>
      </c>
      <c r="T38" s="11" t="s">
        <v>200</v>
      </c>
    </row>
    <row r="39" spans="1:20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5">
        <f t="shared" si="0"/>
        <v>15</v>
      </c>
      <c r="K39" s="32"/>
      <c r="L39" s="32"/>
      <c r="M39" s="11" t="s">
        <v>24</v>
      </c>
      <c r="N39" s="12" t="s">
        <v>54</v>
      </c>
      <c r="O39" s="20">
        <v>0</v>
      </c>
      <c r="P39" s="20">
        <v>189985</v>
      </c>
      <c r="Q39" s="17">
        <f t="shared" si="2"/>
        <v>189985</v>
      </c>
      <c r="R39" s="13">
        <v>46038</v>
      </c>
      <c r="S39" s="25">
        <f t="shared" si="1"/>
        <v>24</v>
      </c>
      <c r="T39" s="11" t="s">
        <v>200</v>
      </c>
    </row>
    <row r="40" spans="1:20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5">
        <f t="shared" si="0"/>
        <v>44</v>
      </c>
      <c r="K40" s="32"/>
      <c r="L40" s="32"/>
      <c r="M40" s="11" t="s">
        <v>24</v>
      </c>
      <c r="N40" s="11" t="s">
        <v>94</v>
      </c>
      <c r="O40" s="12">
        <v>0</v>
      </c>
      <c r="P40" s="12">
        <v>92730</v>
      </c>
      <c r="Q40" s="17">
        <f t="shared" si="2"/>
        <v>92730</v>
      </c>
      <c r="R40" s="13">
        <v>46038</v>
      </c>
      <c r="S40" s="25">
        <f t="shared" si="1"/>
        <v>61</v>
      </c>
      <c r="T40" s="11" t="s">
        <v>200</v>
      </c>
    </row>
    <row r="41" spans="1:20" ht="29" customHeight="1" x14ac:dyDescent="0.35">
      <c r="A41" s="12" t="s">
        <v>231</v>
      </c>
      <c r="B41" s="11" t="s">
        <v>19</v>
      </c>
      <c r="C41" s="28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5">
        <f t="shared" si="0"/>
        <v>17</v>
      </c>
      <c r="K41" s="32"/>
      <c r="L41" s="32"/>
      <c r="M41" s="11" t="s">
        <v>157</v>
      </c>
      <c r="N41" s="11" t="s">
        <v>148</v>
      </c>
      <c r="O41" s="17">
        <v>0</v>
      </c>
      <c r="P41" s="17">
        <v>0</v>
      </c>
      <c r="Q41" s="17">
        <f t="shared" si="2"/>
        <v>0</v>
      </c>
      <c r="R41" s="13">
        <v>46041</v>
      </c>
      <c r="S41" s="25">
        <f t="shared" si="1"/>
        <v>20</v>
      </c>
      <c r="T41" s="11" t="s">
        <v>233</v>
      </c>
    </row>
    <row r="42" spans="1:20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5">
        <f t="shared" si="0"/>
        <v>21</v>
      </c>
      <c r="K42" s="32"/>
      <c r="L42" s="32"/>
      <c r="M42" s="11" t="s">
        <v>24</v>
      </c>
      <c r="N42" s="11" t="s">
        <v>61</v>
      </c>
      <c r="O42" s="20">
        <v>500000</v>
      </c>
      <c r="P42" s="20">
        <v>500000</v>
      </c>
      <c r="Q42" s="17">
        <f t="shared" si="2"/>
        <v>1000000</v>
      </c>
      <c r="R42" s="13">
        <v>46041</v>
      </c>
      <c r="S42" s="25">
        <f t="shared" si="1"/>
        <v>24</v>
      </c>
      <c r="T42" s="11" t="s">
        <v>233</v>
      </c>
    </row>
    <row r="43" spans="1:20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41">
        <v>45953</v>
      </c>
      <c r="I43" s="45">
        <v>46038</v>
      </c>
      <c r="J43" s="25">
        <f t="shared" si="0"/>
        <v>62</v>
      </c>
      <c r="K43" s="32"/>
      <c r="L43" s="32"/>
      <c r="M43" s="11" t="s">
        <v>24</v>
      </c>
      <c r="N43" s="11" t="s">
        <v>34</v>
      </c>
      <c r="O43" s="17">
        <v>150000</v>
      </c>
      <c r="P43" s="17">
        <v>60000</v>
      </c>
      <c r="Q43" s="17">
        <f t="shared" si="2"/>
        <v>210000</v>
      </c>
      <c r="R43" s="13">
        <v>46042</v>
      </c>
      <c r="S43" s="25">
        <f t="shared" si="1"/>
        <v>64</v>
      </c>
      <c r="T43" s="11" t="s">
        <v>233</v>
      </c>
    </row>
    <row r="44" spans="1:20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41">
        <v>45999</v>
      </c>
      <c r="I44" s="45">
        <v>46030</v>
      </c>
      <c r="J44" s="25">
        <f t="shared" si="0"/>
        <v>24</v>
      </c>
      <c r="K44" s="32"/>
      <c r="L44" s="32"/>
      <c r="M44" s="11" t="s">
        <v>24</v>
      </c>
      <c r="N44" s="11" t="s">
        <v>34</v>
      </c>
      <c r="O44" s="17">
        <v>150000</v>
      </c>
      <c r="P44" s="17">
        <v>60000</v>
      </c>
      <c r="Q44" s="17">
        <f t="shared" si="2"/>
        <v>210000</v>
      </c>
      <c r="R44" s="13">
        <v>46042</v>
      </c>
      <c r="S44" s="25">
        <f t="shared" si="1"/>
        <v>32</v>
      </c>
      <c r="T44" s="11" t="s">
        <v>233</v>
      </c>
    </row>
    <row r="45" spans="1:20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5">
        <f t="shared" si="0"/>
        <v>5</v>
      </c>
      <c r="K45" s="32"/>
      <c r="L45" s="32"/>
      <c r="M45" s="11" t="s">
        <v>157</v>
      </c>
      <c r="N45" s="11" t="s">
        <v>174</v>
      </c>
      <c r="O45" s="17">
        <v>955437</v>
      </c>
      <c r="P45" s="17">
        <v>0</v>
      </c>
      <c r="Q45" s="17">
        <f t="shared" si="2"/>
        <v>955437</v>
      </c>
      <c r="R45" s="13">
        <v>46042</v>
      </c>
      <c r="S45" s="25">
        <f t="shared" si="1"/>
        <v>6</v>
      </c>
      <c r="T45" s="11" t="s">
        <v>233</v>
      </c>
    </row>
    <row r="46" spans="1:20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4">
        <v>46034</v>
      </c>
      <c r="J46" s="25">
        <f t="shared" si="0"/>
        <v>19</v>
      </c>
      <c r="K46" s="32"/>
      <c r="L46" s="32"/>
      <c r="M46" s="11" t="s">
        <v>48</v>
      </c>
      <c r="N46" s="11" t="s">
        <v>54</v>
      </c>
      <c r="O46" s="17">
        <v>500000</v>
      </c>
      <c r="P46" s="17">
        <v>0</v>
      </c>
      <c r="Q46" s="17">
        <f t="shared" si="2"/>
        <v>500000</v>
      </c>
      <c r="R46" s="13">
        <v>46042</v>
      </c>
      <c r="S46" s="25">
        <f t="shared" si="1"/>
        <v>25</v>
      </c>
      <c r="T46" s="11" t="s">
        <v>233</v>
      </c>
    </row>
    <row r="47" spans="1:20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5">
        <f t="shared" si="0"/>
        <v>51</v>
      </c>
      <c r="K47" s="32"/>
      <c r="L47" s="32"/>
      <c r="M47" s="11" t="s">
        <v>24</v>
      </c>
      <c r="N47" s="12" t="s">
        <v>94</v>
      </c>
      <c r="O47" s="20">
        <v>0</v>
      </c>
      <c r="P47" s="20">
        <v>217691</v>
      </c>
      <c r="Q47" s="17">
        <f t="shared" si="2"/>
        <v>217691</v>
      </c>
      <c r="R47" s="13">
        <v>46043</v>
      </c>
      <c r="S47" s="25">
        <f t="shared" si="1"/>
        <v>63</v>
      </c>
      <c r="T47" s="11" t="s">
        <v>233</v>
      </c>
    </row>
    <row r="48" spans="1:20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5">
        <f t="shared" si="0"/>
        <v>18</v>
      </c>
      <c r="K48" s="32"/>
      <c r="L48" s="32"/>
      <c r="M48" s="11" t="s">
        <v>24</v>
      </c>
      <c r="N48" s="12" t="s">
        <v>197</v>
      </c>
      <c r="O48" s="20">
        <v>2362401</v>
      </c>
      <c r="P48" s="20">
        <v>300000</v>
      </c>
      <c r="Q48" s="17">
        <f t="shared" si="2"/>
        <v>2662401</v>
      </c>
      <c r="R48" s="13">
        <v>46043</v>
      </c>
      <c r="S48" s="25">
        <f t="shared" si="1"/>
        <v>28</v>
      </c>
      <c r="T48" s="11" t="s">
        <v>233</v>
      </c>
    </row>
    <row r="49" spans="1:20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4">
        <v>46034</v>
      </c>
      <c r="J49" s="25">
        <f t="shared" si="0"/>
        <v>27</v>
      </c>
      <c r="K49" s="32"/>
      <c r="L49" s="32"/>
      <c r="M49" s="11" t="s">
        <v>48</v>
      </c>
      <c r="N49" s="11" t="s">
        <v>49</v>
      </c>
      <c r="O49" s="17">
        <v>0</v>
      </c>
      <c r="P49" s="17">
        <v>0</v>
      </c>
      <c r="Q49" s="17">
        <f t="shared" si="2"/>
        <v>0</v>
      </c>
      <c r="R49" s="13">
        <v>46043</v>
      </c>
      <c r="S49" s="25">
        <f t="shared" si="1"/>
        <v>34</v>
      </c>
      <c r="T49" s="11" t="s">
        <v>233</v>
      </c>
    </row>
    <row r="50" spans="1:20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5">
        <f t="shared" si="0"/>
        <v>10</v>
      </c>
      <c r="K50" s="32"/>
      <c r="L50" s="32"/>
      <c r="M50" s="11" t="s">
        <v>24</v>
      </c>
      <c r="N50" s="12" t="s">
        <v>174</v>
      </c>
      <c r="O50" s="20">
        <v>2000000</v>
      </c>
      <c r="P50" s="20">
        <v>646323</v>
      </c>
      <c r="Q50" s="17">
        <f t="shared" si="2"/>
        <v>2646323</v>
      </c>
      <c r="R50" s="13">
        <v>46044</v>
      </c>
      <c r="S50" s="25">
        <f t="shared" si="1"/>
        <v>11</v>
      </c>
      <c r="T50" s="11" t="s">
        <v>233</v>
      </c>
    </row>
    <row r="51" spans="1:20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5">
        <f t="shared" si="0"/>
        <v>10</v>
      </c>
      <c r="K51" s="32"/>
      <c r="L51" s="32"/>
      <c r="M51" s="11" t="s">
        <v>24</v>
      </c>
      <c r="N51" s="12" t="s">
        <v>54</v>
      </c>
      <c r="O51" s="20">
        <v>0</v>
      </c>
      <c r="P51" s="20">
        <v>0</v>
      </c>
      <c r="Q51" s="17">
        <f t="shared" si="2"/>
        <v>0</v>
      </c>
      <c r="R51" s="13">
        <v>46044</v>
      </c>
      <c r="S51" s="25">
        <f t="shared" si="1"/>
        <v>13</v>
      </c>
      <c r="T51" s="11" t="s">
        <v>233</v>
      </c>
    </row>
    <row r="52" spans="1:20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5">
        <f t="shared" si="0"/>
        <v>10</v>
      </c>
      <c r="K52" s="32"/>
      <c r="L52" s="32"/>
      <c r="M52" s="11" t="s">
        <v>24</v>
      </c>
      <c r="N52" s="12" t="s">
        <v>54</v>
      </c>
      <c r="O52" s="20">
        <v>500000</v>
      </c>
      <c r="P52" s="20">
        <v>325000</v>
      </c>
      <c r="Q52" s="17">
        <f t="shared" si="2"/>
        <v>825000</v>
      </c>
      <c r="R52" s="13">
        <v>46044</v>
      </c>
      <c r="S52" s="25">
        <f t="shared" si="1"/>
        <v>13</v>
      </c>
      <c r="T52" s="11" t="s">
        <v>233</v>
      </c>
    </row>
    <row r="53" spans="1:20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5">
        <f t="shared" si="0"/>
        <v>138</v>
      </c>
      <c r="K53" s="32"/>
      <c r="L53" s="32"/>
      <c r="M53" s="11" t="s">
        <v>24</v>
      </c>
      <c r="N53" s="12" t="s">
        <v>25</v>
      </c>
      <c r="O53" s="20">
        <v>0</v>
      </c>
      <c r="P53" s="20">
        <v>433989</v>
      </c>
      <c r="Q53" s="17">
        <f t="shared" si="2"/>
        <v>433989</v>
      </c>
      <c r="R53" s="13">
        <v>46044</v>
      </c>
      <c r="S53" s="25">
        <f t="shared" si="1"/>
        <v>141</v>
      </c>
      <c r="T53" s="11" t="s">
        <v>233</v>
      </c>
    </row>
    <row r="54" spans="1:20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5">
        <f t="shared" si="0"/>
        <v>149</v>
      </c>
      <c r="K54" s="32"/>
      <c r="L54" s="32"/>
      <c r="M54" s="11" t="s">
        <v>24</v>
      </c>
      <c r="N54" s="11" t="s">
        <v>34</v>
      </c>
      <c r="O54" s="17">
        <v>150000</v>
      </c>
      <c r="P54" s="17">
        <v>40000</v>
      </c>
      <c r="Q54" s="17">
        <f t="shared" si="2"/>
        <v>190000</v>
      </c>
      <c r="R54" s="13">
        <v>46044</v>
      </c>
      <c r="S54" s="25">
        <f t="shared" si="1"/>
        <v>150</v>
      </c>
      <c r="T54" s="11" t="s">
        <v>233</v>
      </c>
    </row>
    <row r="55" spans="1:20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5">
        <f t="shared" si="0"/>
        <v>23</v>
      </c>
      <c r="K55" s="32"/>
      <c r="L55" s="32"/>
      <c r="M55" s="11" t="s">
        <v>24</v>
      </c>
      <c r="N55" s="11" t="s">
        <v>84</v>
      </c>
      <c r="O55" s="17">
        <v>1000000</v>
      </c>
      <c r="P55" s="17">
        <v>231750</v>
      </c>
      <c r="Q55" s="17">
        <f t="shared" si="2"/>
        <v>1231750</v>
      </c>
      <c r="R55" s="13">
        <v>46044</v>
      </c>
      <c r="S55" s="25">
        <f t="shared" si="1"/>
        <v>23</v>
      </c>
      <c r="T55" s="11" t="s">
        <v>233</v>
      </c>
    </row>
    <row r="56" spans="1:20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5">
        <f t="shared" si="0"/>
        <v>7</v>
      </c>
      <c r="K56" s="32"/>
      <c r="L56" s="32"/>
      <c r="M56" s="11" t="s">
        <v>24</v>
      </c>
      <c r="N56" s="12" t="s">
        <v>262</v>
      </c>
      <c r="O56" s="20">
        <v>133779304</v>
      </c>
      <c r="P56" s="20">
        <v>5620246</v>
      </c>
      <c r="Q56" s="17">
        <f t="shared" si="2"/>
        <v>139399550</v>
      </c>
      <c r="R56" s="13">
        <v>46045</v>
      </c>
      <c r="S56" s="25">
        <f t="shared" si="1"/>
        <v>10</v>
      </c>
      <c r="T56" s="11" t="s">
        <v>233</v>
      </c>
    </row>
    <row r="57" spans="1:20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5">
        <f t="shared" si="0"/>
        <v>7</v>
      </c>
      <c r="K57" s="32"/>
      <c r="L57" s="32"/>
      <c r="M57" s="11" t="s">
        <v>24</v>
      </c>
      <c r="N57" s="12" t="s">
        <v>262</v>
      </c>
      <c r="O57" s="20">
        <v>0</v>
      </c>
      <c r="P57" s="20">
        <v>500000</v>
      </c>
      <c r="Q57" s="17">
        <f t="shared" si="2"/>
        <v>500000</v>
      </c>
      <c r="R57" s="13">
        <v>46045</v>
      </c>
      <c r="S57" s="25">
        <f t="shared" si="1"/>
        <v>10</v>
      </c>
      <c r="T57" s="11" t="s">
        <v>233</v>
      </c>
    </row>
    <row r="58" spans="1:20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5">
        <f t="shared" si="0"/>
        <v>139</v>
      </c>
      <c r="K58" s="32"/>
      <c r="L58" s="32"/>
      <c r="M58" s="11" t="s">
        <v>24</v>
      </c>
      <c r="N58" s="12" t="s">
        <v>25</v>
      </c>
      <c r="O58" s="20">
        <v>0</v>
      </c>
      <c r="P58" s="20">
        <v>433989</v>
      </c>
      <c r="Q58" s="17">
        <f t="shared" si="2"/>
        <v>433989</v>
      </c>
      <c r="R58" s="13">
        <v>46045</v>
      </c>
      <c r="S58" s="25">
        <f t="shared" si="1"/>
        <v>142</v>
      </c>
      <c r="T58" s="11" t="s">
        <v>233</v>
      </c>
    </row>
    <row r="59" spans="1:20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5">
        <f t="shared" si="0"/>
        <v>140</v>
      </c>
      <c r="K59" s="32"/>
      <c r="L59" s="32"/>
      <c r="M59" s="11" t="s">
        <v>24</v>
      </c>
      <c r="N59" s="12" t="s">
        <v>39</v>
      </c>
      <c r="O59" s="20">
        <v>500000</v>
      </c>
      <c r="P59" s="20">
        <v>400000</v>
      </c>
      <c r="Q59" s="17">
        <f t="shared" si="2"/>
        <v>900000</v>
      </c>
      <c r="R59" s="13">
        <v>46045</v>
      </c>
      <c r="S59" s="25">
        <f t="shared" si="1"/>
        <v>140</v>
      </c>
      <c r="T59" s="11" t="s">
        <v>233</v>
      </c>
    </row>
    <row r="60" spans="1:20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5">
        <f t="shared" si="0"/>
        <v>10</v>
      </c>
      <c r="K60" s="32"/>
      <c r="L60" s="32"/>
      <c r="M60" s="11" t="s">
        <v>24</v>
      </c>
      <c r="N60" s="12" t="s">
        <v>270</v>
      </c>
      <c r="O60" s="20">
        <v>1109000</v>
      </c>
      <c r="P60" s="20">
        <v>935000</v>
      </c>
      <c r="Q60" s="17">
        <f t="shared" si="2"/>
        <v>2044000</v>
      </c>
      <c r="R60" s="13">
        <v>46045</v>
      </c>
      <c r="S60" s="25">
        <f t="shared" si="1"/>
        <v>12</v>
      </c>
      <c r="T60" s="11" t="s">
        <v>233</v>
      </c>
    </row>
    <row r="61" spans="1:20" x14ac:dyDescent="0.35">
      <c r="A61" s="12" t="s">
        <v>271</v>
      </c>
      <c r="B61" s="12" t="s">
        <v>19</v>
      </c>
      <c r="C61" s="23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5">
        <f t="shared" si="0"/>
        <v>59</v>
      </c>
      <c r="K61" s="32"/>
      <c r="L61" s="32"/>
      <c r="M61" s="11" t="s">
        <v>24</v>
      </c>
      <c r="N61" s="12" t="s">
        <v>105</v>
      </c>
      <c r="O61" s="20">
        <v>1670725</v>
      </c>
      <c r="P61" s="20">
        <v>512000</v>
      </c>
      <c r="Q61" s="17">
        <f t="shared" si="2"/>
        <v>2182725</v>
      </c>
      <c r="R61" s="13">
        <v>46048</v>
      </c>
      <c r="S61" s="25">
        <f t="shared" si="1"/>
        <v>62</v>
      </c>
      <c r="T61" s="11" t="s">
        <v>273</v>
      </c>
    </row>
    <row r="62" spans="1:20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5">
        <f t="shared" si="0"/>
        <v>34</v>
      </c>
      <c r="K62" s="32"/>
      <c r="L62" s="32"/>
      <c r="M62" s="11" t="s">
        <v>48</v>
      </c>
      <c r="N62" s="11" t="s">
        <v>49</v>
      </c>
      <c r="O62" s="17">
        <v>200000</v>
      </c>
      <c r="P62" s="17">
        <v>0</v>
      </c>
      <c r="Q62" s="17">
        <f t="shared" si="2"/>
        <v>200000</v>
      </c>
      <c r="R62" s="13">
        <v>46049</v>
      </c>
      <c r="S62" s="25">
        <f t="shared" si="1"/>
        <v>35</v>
      </c>
      <c r="T62" s="11" t="s">
        <v>273</v>
      </c>
    </row>
    <row r="63" spans="1:20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5">
        <f t="shared" si="0"/>
        <v>13</v>
      </c>
      <c r="K63" s="32"/>
      <c r="L63" s="32"/>
      <c r="M63" s="11" t="s">
        <v>48</v>
      </c>
      <c r="N63" s="11" t="s">
        <v>119</v>
      </c>
      <c r="O63" s="17">
        <v>200000</v>
      </c>
      <c r="P63" s="17">
        <v>0</v>
      </c>
      <c r="Q63" s="17">
        <f t="shared" si="2"/>
        <v>200000</v>
      </c>
      <c r="R63" s="13">
        <v>46049</v>
      </c>
      <c r="S63" s="25">
        <f t="shared" si="1"/>
        <v>14</v>
      </c>
      <c r="T63" s="11" t="s">
        <v>273</v>
      </c>
    </row>
    <row r="64" spans="1:20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4">
        <v>46041</v>
      </c>
      <c r="J64" s="25">
        <f t="shared" si="0"/>
        <v>64</v>
      </c>
      <c r="K64" s="32"/>
      <c r="L64" s="32"/>
      <c r="M64" s="11" t="s">
        <v>24</v>
      </c>
      <c r="N64" s="12" t="s">
        <v>94</v>
      </c>
      <c r="O64" s="12">
        <v>0</v>
      </c>
      <c r="P64" s="12">
        <v>170681</v>
      </c>
      <c r="Q64" s="17">
        <f t="shared" si="2"/>
        <v>170681</v>
      </c>
      <c r="R64" s="13">
        <v>46049</v>
      </c>
      <c r="S64" s="25">
        <f t="shared" si="1"/>
        <v>70</v>
      </c>
      <c r="T64" s="11" t="s">
        <v>273</v>
      </c>
    </row>
    <row r="65" spans="1:20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5">
        <f t="shared" si="0"/>
        <v>40</v>
      </c>
      <c r="K65" s="32"/>
      <c r="L65" s="32"/>
      <c r="M65" s="11" t="s">
        <v>24</v>
      </c>
      <c r="N65" s="12" t="s">
        <v>148</v>
      </c>
      <c r="O65" s="20">
        <v>0</v>
      </c>
      <c r="P65" s="20">
        <v>546923</v>
      </c>
      <c r="Q65" s="17">
        <f t="shared" si="2"/>
        <v>546923</v>
      </c>
      <c r="R65" s="13">
        <v>46049</v>
      </c>
      <c r="S65" s="25">
        <f t="shared" si="1"/>
        <v>43</v>
      </c>
      <c r="T65" s="11" t="s">
        <v>273</v>
      </c>
    </row>
    <row r="66" spans="1:20" x14ac:dyDescent="0.35">
      <c r="A66" s="12" t="s">
        <v>91</v>
      </c>
      <c r="B66" s="12" t="s">
        <v>44</v>
      </c>
      <c r="C66" s="28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4">
        <v>46014</v>
      </c>
      <c r="I66" s="14">
        <v>46030</v>
      </c>
      <c r="J66" s="25">
        <f t="shared" si="0"/>
        <v>13</v>
      </c>
      <c r="K66" s="32"/>
      <c r="L66" s="32"/>
      <c r="M66" s="11" t="s">
        <v>24</v>
      </c>
      <c r="N66" s="12" t="s">
        <v>73</v>
      </c>
      <c r="O66" s="17">
        <v>0</v>
      </c>
      <c r="P66" s="20">
        <v>92730</v>
      </c>
      <c r="Q66" s="17">
        <f t="shared" si="2"/>
        <v>92730</v>
      </c>
      <c r="R66" s="13">
        <v>46049</v>
      </c>
      <c r="S66" s="25">
        <f t="shared" si="1"/>
        <v>26</v>
      </c>
      <c r="T66" s="11" t="s">
        <v>273</v>
      </c>
    </row>
    <row r="67" spans="1:20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5">
        <f t="shared" ref="J67:J75" si="3">+NETWORKDAYS(H67,I67)</f>
        <v>46</v>
      </c>
      <c r="K67" s="32"/>
      <c r="L67" s="32"/>
      <c r="M67" s="11" t="s">
        <v>24</v>
      </c>
      <c r="N67" s="12" t="s">
        <v>199</v>
      </c>
      <c r="O67" s="20">
        <v>855000</v>
      </c>
      <c r="P67" s="20">
        <v>196700</v>
      </c>
      <c r="Q67" s="17">
        <f t="shared" si="2"/>
        <v>1051700</v>
      </c>
      <c r="R67" s="13">
        <v>46049</v>
      </c>
      <c r="S67" s="25">
        <f t="shared" ref="S67:S75" si="4">NETWORKDAYS(H67,R67)</f>
        <v>46</v>
      </c>
      <c r="T67" s="11" t="s">
        <v>273</v>
      </c>
    </row>
    <row r="68" spans="1:20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5">
        <f t="shared" si="3"/>
        <v>11</v>
      </c>
      <c r="K68" s="32"/>
      <c r="L68" s="32"/>
      <c r="M68" s="11" t="s">
        <v>24</v>
      </c>
      <c r="N68" s="11" t="s">
        <v>34</v>
      </c>
      <c r="O68" s="17">
        <v>150000</v>
      </c>
      <c r="P68" s="17">
        <v>60000</v>
      </c>
      <c r="Q68" s="17">
        <f t="shared" si="2"/>
        <v>210000</v>
      </c>
      <c r="R68" s="13">
        <v>46049</v>
      </c>
      <c r="S68" s="25">
        <f t="shared" si="4"/>
        <v>12</v>
      </c>
      <c r="T68" s="11" t="s">
        <v>273</v>
      </c>
    </row>
    <row r="69" spans="1:20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5">
        <f t="shared" si="3"/>
        <v>8</v>
      </c>
      <c r="K69" s="32"/>
      <c r="L69" s="32"/>
      <c r="M69" s="11" t="s">
        <v>24</v>
      </c>
      <c r="N69" s="12" t="s">
        <v>105</v>
      </c>
      <c r="O69" s="20">
        <v>1200000</v>
      </c>
      <c r="P69" s="20">
        <v>525090</v>
      </c>
      <c r="Q69" s="17">
        <f t="shared" si="2"/>
        <v>1725090</v>
      </c>
      <c r="R69" s="13">
        <v>46050</v>
      </c>
      <c r="S69" s="25">
        <f t="shared" si="4"/>
        <v>12</v>
      </c>
      <c r="T69" s="11" t="s">
        <v>273</v>
      </c>
    </row>
    <row r="70" spans="1:20" x14ac:dyDescent="0.35">
      <c r="A70" s="23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5">
        <f t="shared" si="3"/>
        <v>36</v>
      </c>
      <c r="K70" s="32"/>
      <c r="L70" s="32"/>
      <c r="M70" s="11" t="s">
        <v>24</v>
      </c>
      <c r="N70" s="12" t="s">
        <v>54</v>
      </c>
      <c r="O70" s="20">
        <v>3026000</v>
      </c>
      <c r="P70" s="20">
        <v>250000</v>
      </c>
      <c r="Q70" s="17">
        <f t="shared" ref="Q70:Q75" si="5">P70+O70</f>
        <v>3276000</v>
      </c>
      <c r="R70" s="13">
        <v>46050</v>
      </c>
      <c r="S70" s="25">
        <f t="shared" si="4"/>
        <v>38</v>
      </c>
      <c r="T70" s="11" t="s">
        <v>273</v>
      </c>
    </row>
    <row r="71" spans="1:20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5">
        <f t="shared" si="3"/>
        <v>3</v>
      </c>
      <c r="K71" s="32"/>
      <c r="L71" s="32"/>
      <c r="M71" s="11" t="s">
        <v>24</v>
      </c>
      <c r="N71" s="11" t="s">
        <v>57</v>
      </c>
      <c r="O71" s="17">
        <v>270000</v>
      </c>
      <c r="P71" s="17">
        <v>111435</v>
      </c>
      <c r="Q71" s="17">
        <f t="shared" si="5"/>
        <v>381435</v>
      </c>
      <c r="R71" s="13">
        <v>46051</v>
      </c>
      <c r="S71" s="25">
        <f t="shared" si="4"/>
        <v>4</v>
      </c>
      <c r="T71" s="11" t="s">
        <v>273</v>
      </c>
    </row>
    <row r="72" spans="1:20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5">
        <f t="shared" si="3"/>
        <v>5</v>
      </c>
      <c r="K72" s="32"/>
      <c r="L72" s="32"/>
      <c r="M72" s="11" t="s">
        <v>24</v>
      </c>
      <c r="N72" s="11" t="s">
        <v>34</v>
      </c>
      <c r="O72" s="17">
        <v>150000</v>
      </c>
      <c r="P72" s="17">
        <v>60000</v>
      </c>
      <c r="Q72" s="17">
        <f t="shared" si="5"/>
        <v>210000</v>
      </c>
      <c r="R72" s="13">
        <v>46051</v>
      </c>
      <c r="S72" s="25">
        <f t="shared" si="4"/>
        <v>6</v>
      </c>
      <c r="T72" s="11" t="s">
        <v>273</v>
      </c>
    </row>
    <row r="73" spans="1:20" x14ac:dyDescent="0.35">
      <c r="A73" s="12" t="s">
        <v>91</v>
      </c>
      <c r="B73" s="12" t="s">
        <v>19</v>
      </c>
      <c r="C73" s="46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5">
        <f t="shared" si="3"/>
        <v>64</v>
      </c>
      <c r="K73" s="32"/>
      <c r="L73" s="32"/>
      <c r="M73" s="11" t="s">
        <v>24</v>
      </c>
      <c r="N73" s="12" t="s">
        <v>94</v>
      </c>
      <c r="O73" s="20">
        <v>0</v>
      </c>
      <c r="P73" s="20">
        <v>217691</v>
      </c>
      <c r="Q73" s="17">
        <f t="shared" si="5"/>
        <v>217691</v>
      </c>
      <c r="R73" s="13">
        <v>46051</v>
      </c>
      <c r="S73" s="25">
        <f t="shared" si="4"/>
        <v>72</v>
      </c>
      <c r="T73" s="11" t="s">
        <v>273</v>
      </c>
    </row>
    <row r="74" spans="1:20" x14ac:dyDescent="0.35">
      <c r="A74" s="12" t="s">
        <v>294</v>
      </c>
      <c r="B74" s="12" t="s">
        <v>19</v>
      </c>
      <c r="C74" s="23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5">
        <f t="shared" si="3"/>
        <v>43</v>
      </c>
      <c r="K74" s="32"/>
      <c r="L74" s="32"/>
      <c r="M74" s="11" t="s">
        <v>24</v>
      </c>
      <c r="N74" s="12" t="s">
        <v>54</v>
      </c>
      <c r="O74" s="17">
        <v>1793983</v>
      </c>
      <c r="P74" s="17">
        <v>200000</v>
      </c>
      <c r="Q74" s="17">
        <f t="shared" si="5"/>
        <v>1993983</v>
      </c>
      <c r="R74" s="13">
        <v>46051</v>
      </c>
      <c r="S74" s="25">
        <f t="shared" si="4"/>
        <v>50</v>
      </c>
      <c r="T74" s="11" t="s">
        <v>273</v>
      </c>
    </row>
    <row r="75" spans="1:20" x14ac:dyDescent="0.35">
      <c r="A75" s="12" t="s">
        <v>91</v>
      </c>
      <c r="B75" s="12" t="s">
        <v>19</v>
      </c>
      <c r="C75" s="23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5">
        <f t="shared" si="3"/>
        <v>65</v>
      </c>
      <c r="K75" s="32"/>
      <c r="L75" s="32"/>
      <c r="M75" s="11" t="s">
        <v>24</v>
      </c>
      <c r="N75" s="12" t="s">
        <v>148</v>
      </c>
      <c r="O75" s="20">
        <v>0</v>
      </c>
      <c r="P75" s="20">
        <v>540923</v>
      </c>
      <c r="Q75" s="17">
        <f t="shared" si="5"/>
        <v>540923</v>
      </c>
      <c r="R75" s="13">
        <v>46051</v>
      </c>
      <c r="S75" s="25">
        <f t="shared" si="4"/>
        <v>70</v>
      </c>
      <c r="T75" s="11" t="s">
        <v>273</v>
      </c>
    </row>
    <row r="76" spans="1:20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5">
        <f>+NETWORKDAYS(H76,I76)</f>
        <v>27</v>
      </c>
      <c r="K76" s="32"/>
      <c r="L76" s="32"/>
      <c r="M76" s="11" t="s">
        <v>24</v>
      </c>
      <c r="N76" s="12" t="s">
        <v>73</v>
      </c>
      <c r="O76" s="20">
        <v>500000</v>
      </c>
      <c r="P76" s="20">
        <v>819491</v>
      </c>
      <c r="Q76" s="17">
        <f>P76+O76</f>
        <v>1319491</v>
      </c>
      <c r="R76" s="13">
        <v>46052</v>
      </c>
      <c r="S76" s="25">
        <f>NETWORKDAYS(H76,R76)</f>
        <v>32</v>
      </c>
      <c r="T76" s="11" t="s">
        <v>273</v>
      </c>
    </row>
    <row r="77" spans="1:20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5">
        <f t="shared" ref="J77:J140" si="6">+NETWORKDAYS(H77,I77)</f>
        <v>21</v>
      </c>
      <c r="K77" s="32"/>
      <c r="L77" s="32"/>
      <c r="M77" s="13" t="s">
        <v>24</v>
      </c>
      <c r="N77" s="12" t="s">
        <v>25</v>
      </c>
      <c r="O77" s="20">
        <v>1000000</v>
      </c>
      <c r="P77" s="20">
        <v>300000</v>
      </c>
      <c r="Q77" s="33">
        <f t="shared" ref="Q77:Q97" si="7">P77+O77</f>
        <v>1300000</v>
      </c>
      <c r="R77" s="13">
        <v>46055</v>
      </c>
      <c r="S77" s="25">
        <f t="shared" ref="S77:S140" si="8">NETWORKDAYS(H77,R77)</f>
        <v>30</v>
      </c>
      <c r="T77" s="11" t="s">
        <v>26</v>
      </c>
    </row>
    <row r="78" spans="1:20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5">
        <f t="shared" si="6"/>
        <v>13</v>
      </c>
      <c r="K78" s="32"/>
      <c r="L78" s="32"/>
      <c r="M78" s="13" t="s">
        <v>24</v>
      </c>
      <c r="N78" s="12" t="s">
        <v>29</v>
      </c>
      <c r="O78" s="20">
        <v>500000</v>
      </c>
      <c r="P78" s="20">
        <v>892535</v>
      </c>
      <c r="Q78" s="33">
        <f t="shared" si="7"/>
        <v>1392535</v>
      </c>
      <c r="R78" s="13">
        <v>46055</v>
      </c>
      <c r="S78" s="25">
        <f t="shared" si="8"/>
        <v>22</v>
      </c>
      <c r="T78" s="11" t="s">
        <v>26</v>
      </c>
    </row>
    <row r="79" spans="1:20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5">
        <f t="shared" si="6"/>
        <v>6</v>
      </c>
      <c r="K79" s="32"/>
      <c r="L79" s="32"/>
      <c r="M79" s="13" t="s">
        <v>24</v>
      </c>
      <c r="N79" s="12" t="s">
        <v>34</v>
      </c>
      <c r="O79" s="20">
        <v>150000</v>
      </c>
      <c r="P79" s="20">
        <v>40000</v>
      </c>
      <c r="Q79" s="33">
        <f t="shared" si="7"/>
        <v>190000</v>
      </c>
      <c r="R79" s="13">
        <v>46055</v>
      </c>
      <c r="S79" s="25">
        <f t="shared" si="8"/>
        <v>7</v>
      </c>
      <c r="T79" s="11" t="s">
        <v>26</v>
      </c>
    </row>
    <row r="80" spans="1:20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5">
        <f t="shared" si="6"/>
        <v>25</v>
      </c>
      <c r="K80" s="32"/>
      <c r="L80" s="32"/>
      <c r="M80" s="13" t="s">
        <v>24</v>
      </c>
      <c r="N80" s="12" t="s">
        <v>39</v>
      </c>
      <c r="O80" s="20">
        <v>500000</v>
      </c>
      <c r="P80" s="20">
        <v>391740</v>
      </c>
      <c r="Q80" s="33">
        <f t="shared" si="7"/>
        <v>891740</v>
      </c>
      <c r="R80" s="13">
        <v>46055</v>
      </c>
      <c r="S80" s="25">
        <f t="shared" si="8"/>
        <v>32</v>
      </c>
      <c r="T80" s="11" t="s">
        <v>26</v>
      </c>
    </row>
    <row r="81" spans="1:20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5">
        <f t="shared" si="6"/>
        <v>25</v>
      </c>
      <c r="K81" s="32"/>
      <c r="L81" s="32"/>
      <c r="M81" s="13" t="s">
        <v>24</v>
      </c>
      <c r="N81" s="12" t="s">
        <v>39</v>
      </c>
      <c r="O81" s="20">
        <v>788712</v>
      </c>
      <c r="P81" s="20">
        <v>500000</v>
      </c>
      <c r="Q81" s="33">
        <f t="shared" si="7"/>
        <v>1288712</v>
      </c>
      <c r="R81" s="13">
        <v>46055</v>
      </c>
      <c r="S81" s="25">
        <f t="shared" si="8"/>
        <v>32</v>
      </c>
      <c r="T81" s="11" t="s">
        <v>26</v>
      </c>
    </row>
    <row r="82" spans="1:20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5">
        <f t="shared" si="6"/>
        <v>23</v>
      </c>
      <c r="K82" s="32"/>
      <c r="L82" s="32"/>
      <c r="M82" s="11" t="s">
        <v>24</v>
      </c>
      <c r="N82" s="11" t="s">
        <v>42</v>
      </c>
      <c r="O82" s="34">
        <v>570000</v>
      </c>
      <c r="P82" s="7">
        <v>221635</v>
      </c>
      <c r="Q82" s="33">
        <f t="shared" si="7"/>
        <v>791635</v>
      </c>
      <c r="R82" s="13">
        <v>46057</v>
      </c>
      <c r="S82" s="25">
        <f t="shared" si="8"/>
        <v>36</v>
      </c>
      <c r="T82" s="11" t="s">
        <v>26</v>
      </c>
    </row>
    <row r="83" spans="1:20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5">
        <f t="shared" si="6"/>
        <v>9</v>
      </c>
      <c r="K83" s="32"/>
      <c r="L83" s="32"/>
      <c r="M83" s="13" t="s">
        <v>48</v>
      </c>
      <c r="N83" s="12" t="s">
        <v>49</v>
      </c>
      <c r="O83" s="15">
        <v>200000</v>
      </c>
      <c r="P83" s="15">
        <v>0</v>
      </c>
      <c r="Q83" s="17">
        <f t="shared" si="7"/>
        <v>200000</v>
      </c>
      <c r="R83" s="13">
        <v>46058</v>
      </c>
      <c r="S83" s="25">
        <f t="shared" si="8"/>
        <v>14</v>
      </c>
      <c r="T83" s="11" t="s">
        <v>26</v>
      </c>
    </row>
    <row r="84" spans="1:20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5">
        <f t="shared" si="6"/>
        <v>9</v>
      </c>
      <c r="K84" s="32"/>
      <c r="L84" s="32"/>
      <c r="M84" s="13" t="s">
        <v>48</v>
      </c>
      <c r="N84" s="12" t="s">
        <v>49</v>
      </c>
      <c r="O84" s="15">
        <v>200000</v>
      </c>
      <c r="P84" s="20">
        <v>0</v>
      </c>
      <c r="Q84" s="17">
        <f t="shared" si="7"/>
        <v>200000</v>
      </c>
      <c r="R84" s="13">
        <v>46058</v>
      </c>
      <c r="S84" s="25">
        <f t="shared" si="8"/>
        <v>14</v>
      </c>
      <c r="T84" s="11" t="s">
        <v>26</v>
      </c>
    </row>
    <row r="85" spans="1:20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5">
        <f t="shared" si="6"/>
        <v>47</v>
      </c>
      <c r="K85" s="32"/>
      <c r="L85" s="32"/>
      <c r="M85" s="11" t="s">
        <v>24</v>
      </c>
      <c r="N85" s="12" t="s">
        <v>54</v>
      </c>
      <c r="O85" s="20">
        <v>0</v>
      </c>
      <c r="P85" s="20">
        <v>0</v>
      </c>
      <c r="Q85" s="17">
        <f t="shared" si="7"/>
        <v>0</v>
      </c>
      <c r="R85" s="13">
        <v>46058</v>
      </c>
      <c r="S85" s="25">
        <f t="shared" si="8"/>
        <v>70</v>
      </c>
      <c r="T85" s="11" t="s">
        <v>26</v>
      </c>
    </row>
    <row r="86" spans="1:20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5">
        <f t="shared" si="6"/>
        <v>39</v>
      </c>
      <c r="K86" s="32"/>
      <c r="L86" s="32"/>
      <c r="M86" s="13" t="s">
        <v>24</v>
      </c>
      <c r="N86" s="12" t="s">
        <v>57</v>
      </c>
      <c r="O86" s="20">
        <v>360000</v>
      </c>
      <c r="P86" s="20">
        <v>152495</v>
      </c>
      <c r="Q86" s="33">
        <f t="shared" si="7"/>
        <v>512495</v>
      </c>
      <c r="R86" s="14">
        <v>46058</v>
      </c>
      <c r="S86" s="25">
        <f t="shared" si="8"/>
        <v>42</v>
      </c>
      <c r="T86" s="11" t="s">
        <v>26</v>
      </c>
    </row>
    <row r="87" spans="1:20" x14ac:dyDescent="0.35">
      <c r="A87" s="23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5">
        <f t="shared" si="6"/>
        <v>11</v>
      </c>
      <c r="K87" s="32"/>
      <c r="L87" s="32"/>
      <c r="M87" s="12" t="s">
        <v>24</v>
      </c>
      <c r="N87" s="12" t="s">
        <v>61</v>
      </c>
      <c r="O87" s="20">
        <v>0</v>
      </c>
      <c r="P87" s="20">
        <v>0</v>
      </c>
      <c r="Q87" s="17">
        <f t="shared" si="7"/>
        <v>0</v>
      </c>
      <c r="R87" s="14">
        <v>46058</v>
      </c>
      <c r="S87" s="25">
        <f t="shared" si="8"/>
        <v>13</v>
      </c>
      <c r="T87" s="11" t="s">
        <v>26</v>
      </c>
    </row>
    <row r="88" spans="1:20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4">
        <v>46057</v>
      </c>
      <c r="J88" s="25">
        <f t="shared" si="6"/>
        <v>79</v>
      </c>
      <c r="K88" s="32"/>
      <c r="L88" s="32"/>
      <c r="M88" s="13" t="s">
        <v>24</v>
      </c>
      <c r="N88" s="12" t="s">
        <v>64</v>
      </c>
      <c r="O88" s="20">
        <v>600000</v>
      </c>
      <c r="P88" s="20">
        <v>400000</v>
      </c>
      <c r="Q88" s="17">
        <f t="shared" si="7"/>
        <v>1000000</v>
      </c>
      <c r="R88" s="13">
        <v>46059</v>
      </c>
      <c r="S88" s="25">
        <f t="shared" si="8"/>
        <v>81</v>
      </c>
      <c r="T88" s="11" t="s">
        <v>26</v>
      </c>
    </row>
    <row r="89" spans="1:20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5">
        <f t="shared" si="6"/>
        <v>6</v>
      </c>
      <c r="K89" s="32"/>
      <c r="L89" s="32"/>
      <c r="M89" s="11" t="s">
        <v>24</v>
      </c>
      <c r="N89" s="12" t="s">
        <v>29</v>
      </c>
      <c r="O89" s="12">
        <v>900000</v>
      </c>
      <c r="P89" s="12">
        <v>461679</v>
      </c>
      <c r="Q89" s="17">
        <f t="shared" si="7"/>
        <v>1361679</v>
      </c>
      <c r="R89" s="13">
        <v>46059</v>
      </c>
      <c r="S89" s="25">
        <f t="shared" si="8"/>
        <v>10</v>
      </c>
      <c r="T89" s="11" t="s">
        <v>26</v>
      </c>
    </row>
    <row r="90" spans="1:20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5">
        <f t="shared" si="6"/>
        <v>12</v>
      </c>
      <c r="K90" s="32"/>
      <c r="L90" s="32"/>
      <c r="M90" s="11" t="s">
        <v>24</v>
      </c>
      <c r="N90" s="12" t="s">
        <v>29</v>
      </c>
      <c r="O90" s="20">
        <v>1000000</v>
      </c>
      <c r="P90" s="20">
        <v>538647</v>
      </c>
      <c r="Q90" s="17">
        <f t="shared" si="7"/>
        <v>1538647</v>
      </c>
      <c r="R90" s="13">
        <v>46059</v>
      </c>
      <c r="S90" s="25">
        <f t="shared" si="8"/>
        <v>16</v>
      </c>
      <c r="T90" s="12" t="s">
        <v>26</v>
      </c>
    </row>
    <row r="91" spans="1:20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5">
        <f t="shared" si="6"/>
        <v>9</v>
      </c>
      <c r="K91" s="32"/>
      <c r="L91" s="32"/>
      <c r="M91" s="13" t="s">
        <v>24</v>
      </c>
      <c r="N91" s="12" t="s">
        <v>73</v>
      </c>
      <c r="O91" s="20">
        <v>5494650</v>
      </c>
      <c r="P91" s="20">
        <v>1211081</v>
      </c>
      <c r="Q91" s="17">
        <f t="shared" si="7"/>
        <v>6705731</v>
      </c>
      <c r="R91" s="13">
        <v>46062</v>
      </c>
      <c r="S91" s="25">
        <f t="shared" si="8"/>
        <v>11</v>
      </c>
      <c r="T91" s="12" t="s">
        <v>74</v>
      </c>
    </row>
    <row r="92" spans="1:20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5">
        <f t="shared" si="6"/>
        <v>11</v>
      </c>
      <c r="K92" s="32"/>
      <c r="L92" s="32"/>
      <c r="M92" s="13" t="s">
        <v>24</v>
      </c>
      <c r="N92" s="12" t="s">
        <v>29</v>
      </c>
      <c r="O92" s="20">
        <v>1430307</v>
      </c>
      <c r="P92" s="20">
        <v>600349</v>
      </c>
      <c r="Q92" s="17">
        <f t="shared" si="7"/>
        <v>2030656</v>
      </c>
      <c r="R92" s="13">
        <v>46063</v>
      </c>
      <c r="S92" s="25">
        <f t="shared" si="8"/>
        <v>22</v>
      </c>
      <c r="T92" s="12" t="s">
        <v>74</v>
      </c>
    </row>
    <row r="93" spans="1:20" ht="25" customHeight="1" x14ac:dyDescent="0.35">
      <c r="A93" s="31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5">
        <f t="shared" si="6"/>
        <v>11</v>
      </c>
      <c r="K93" s="32"/>
      <c r="L93" s="32"/>
      <c r="M93" s="13" t="s">
        <v>24</v>
      </c>
      <c r="N93" s="12" t="s">
        <v>61</v>
      </c>
      <c r="O93" s="20">
        <v>500000</v>
      </c>
      <c r="P93" s="20">
        <v>590836</v>
      </c>
      <c r="Q93" s="17">
        <f t="shared" si="7"/>
        <v>1090836</v>
      </c>
      <c r="R93" s="13">
        <v>46063</v>
      </c>
      <c r="S93" s="25">
        <f t="shared" si="8"/>
        <v>22</v>
      </c>
      <c r="T93" s="12" t="s">
        <v>74</v>
      </c>
    </row>
    <row r="94" spans="1:20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5">
        <f t="shared" si="6"/>
        <v>14</v>
      </c>
      <c r="K94" s="32"/>
      <c r="L94" s="32"/>
      <c r="M94" s="11" t="s">
        <v>48</v>
      </c>
      <c r="N94" s="12" t="s">
        <v>49</v>
      </c>
      <c r="O94" s="20">
        <v>200000</v>
      </c>
      <c r="P94" s="20">
        <v>0</v>
      </c>
      <c r="Q94" s="17">
        <f t="shared" si="7"/>
        <v>200000</v>
      </c>
      <c r="R94" s="13">
        <v>46063</v>
      </c>
      <c r="S94" s="25">
        <f t="shared" si="8"/>
        <v>17</v>
      </c>
      <c r="T94" s="11" t="s">
        <v>74</v>
      </c>
    </row>
    <row r="95" spans="1:20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5">
        <f t="shared" si="6"/>
        <v>15</v>
      </c>
      <c r="K95" s="32"/>
      <c r="L95" s="32"/>
      <c r="M95" s="11" t="s">
        <v>48</v>
      </c>
      <c r="N95" s="12" t="s">
        <v>84</v>
      </c>
      <c r="O95" s="20">
        <v>0</v>
      </c>
      <c r="P95" s="20">
        <v>0</v>
      </c>
      <c r="Q95" s="17">
        <f t="shared" si="7"/>
        <v>0</v>
      </c>
      <c r="R95" s="13">
        <v>46063</v>
      </c>
      <c r="S95" s="25">
        <f t="shared" si="8"/>
        <v>17</v>
      </c>
      <c r="T95" s="11" t="s">
        <v>74</v>
      </c>
    </row>
    <row r="96" spans="1:20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5">
        <v>46045</v>
      </c>
      <c r="J96" s="25">
        <f t="shared" si="6"/>
        <v>12</v>
      </c>
      <c r="K96" s="32"/>
      <c r="L96" s="32"/>
      <c r="M96" s="11" t="s">
        <v>24</v>
      </c>
      <c r="N96" s="11" t="s">
        <v>57</v>
      </c>
      <c r="O96" s="11">
        <v>360000</v>
      </c>
      <c r="P96" s="11">
        <v>92495</v>
      </c>
      <c r="Q96" s="17">
        <f t="shared" si="7"/>
        <v>452495</v>
      </c>
      <c r="R96" s="13">
        <v>46063</v>
      </c>
      <c r="S96" s="25">
        <f t="shared" si="8"/>
        <v>24</v>
      </c>
      <c r="T96" s="11" t="s">
        <v>74</v>
      </c>
    </row>
    <row r="97" spans="1:20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5">
        <v>46055</v>
      </c>
      <c r="I97" s="13">
        <v>46055</v>
      </c>
      <c r="J97" s="25">
        <f t="shared" si="6"/>
        <v>1</v>
      </c>
      <c r="K97" s="32"/>
      <c r="L97" s="32"/>
      <c r="M97" s="11" t="s">
        <v>24</v>
      </c>
      <c r="N97" s="11" t="s">
        <v>84</v>
      </c>
      <c r="O97" s="20">
        <v>1000000</v>
      </c>
      <c r="P97" s="20">
        <v>495000</v>
      </c>
      <c r="Q97" s="17">
        <f t="shared" si="7"/>
        <v>1495000</v>
      </c>
      <c r="R97" s="13">
        <v>46063</v>
      </c>
      <c r="S97" s="25">
        <f t="shared" si="8"/>
        <v>7</v>
      </c>
      <c r="T97" s="11" t="s">
        <v>74</v>
      </c>
    </row>
    <row r="98" spans="1:20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5">
        <f t="shared" si="6"/>
        <v>144</v>
      </c>
      <c r="K98" s="32"/>
      <c r="L98" s="32"/>
      <c r="M98" s="13" t="s">
        <v>24</v>
      </c>
      <c r="N98" s="12" t="s">
        <v>54</v>
      </c>
      <c r="O98" s="20">
        <v>2245845</v>
      </c>
      <c r="P98" s="20">
        <v>474962</v>
      </c>
      <c r="Q98" s="17">
        <f>P98+O98</f>
        <v>2720807</v>
      </c>
      <c r="R98" s="13">
        <v>46063</v>
      </c>
      <c r="S98" s="25">
        <f t="shared" si="8"/>
        <v>161</v>
      </c>
      <c r="T98" s="11" t="s">
        <v>74</v>
      </c>
    </row>
    <row r="99" spans="1:20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5">
        <f t="shared" si="6"/>
        <v>76</v>
      </c>
      <c r="K99" s="32"/>
      <c r="L99" s="32"/>
      <c r="M99" s="11" t="s">
        <v>24</v>
      </c>
      <c r="N99" s="11" t="s">
        <v>94</v>
      </c>
      <c r="O99" s="11">
        <v>0</v>
      </c>
      <c r="P99" s="11">
        <v>725636</v>
      </c>
      <c r="Q99" s="17">
        <f>P99+O99</f>
        <v>725636</v>
      </c>
      <c r="R99" s="13">
        <v>46063</v>
      </c>
      <c r="S99" s="25">
        <f t="shared" si="8"/>
        <v>78</v>
      </c>
      <c r="T99" s="11" t="s">
        <v>74</v>
      </c>
    </row>
    <row r="100" spans="1:20" ht="19.5" customHeight="1" x14ac:dyDescent="0.35">
      <c r="A100" s="31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4">
        <v>46061</v>
      </c>
      <c r="J100" s="25">
        <f t="shared" si="6"/>
        <v>18</v>
      </c>
      <c r="K100" s="32"/>
      <c r="L100" s="32"/>
      <c r="M100" s="11" t="s">
        <v>24</v>
      </c>
      <c r="N100" s="12" t="s">
        <v>29</v>
      </c>
      <c r="O100" s="20">
        <v>1200000</v>
      </c>
      <c r="P100" s="17">
        <v>515054</v>
      </c>
      <c r="Q100" s="17">
        <f>P100+O100</f>
        <v>1715054</v>
      </c>
      <c r="R100" s="13">
        <v>46063</v>
      </c>
      <c r="S100" s="25">
        <f t="shared" si="8"/>
        <v>20</v>
      </c>
      <c r="T100" s="11" t="s">
        <v>74</v>
      </c>
    </row>
    <row r="101" spans="1:20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5">
        <f t="shared" si="6"/>
        <v>35</v>
      </c>
      <c r="K101" s="32"/>
      <c r="L101" s="32"/>
      <c r="M101" s="12" t="s">
        <v>24</v>
      </c>
      <c r="N101" s="12" t="s">
        <v>54</v>
      </c>
      <c r="O101" s="20">
        <v>0</v>
      </c>
      <c r="P101" s="20">
        <v>0</v>
      </c>
      <c r="Q101" s="17">
        <f>P101+O101</f>
        <v>0</v>
      </c>
      <c r="R101" s="13">
        <v>46063</v>
      </c>
      <c r="S101" s="25">
        <f t="shared" si="8"/>
        <v>56</v>
      </c>
      <c r="T101" s="11" t="s">
        <v>74</v>
      </c>
    </row>
    <row r="102" spans="1:20" x14ac:dyDescent="0.35">
      <c r="A102" s="23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5">
        <f t="shared" si="6"/>
        <v>17</v>
      </c>
      <c r="K102" s="32"/>
      <c r="L102" s="32"/>
      <c r="M102" s="12" t="s">
        <v>24</v>
      </c>
      <c r="N102" s="12" t="s">
        <v>61</v>
      </c>
      <c r="O102" s="20">
        <v>0</v>
      </c>
      <c r="P102" s="20">
        <v>0</v>
      </c>
      <c r="Q102" s="17">
        <f>P102+O102</f>
        <v>0</v>
      </c>
      <c r="R102" s="13">
        <v>46063</v>
      </c>
      <c r="S102" s="25">
        <f t="shared" si="8"/>
        <v>56</v>
      </c>
      <c r="T102" s="11" t="s">
        <v>74</v>
      </c>
    </row>
    <row r="103" spans="1:20" x14ac:dyDescent="0.35">
      <c r="A103" s="12" t="s">
        <v>43</v>
      </c>
      <c r="B103" s="12" t="s">
        <v>44</v>
      </c>
      <c r="C103" s="23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5">
        <f t="shared" si="6"/>
        <v>43</v>
      </c>
      <c r="K103" s="32"/>
      <c r="L103" s="32"/>
      <c r="M103" s="11" t="s">
        <v>48</v>
      </c>
      <c r="N103" s="12" t="s">
        <v>49</v>
      </c>
      <c r="O103" s="20">
        <v>200000</v>
      </c>
      <c r="P103" s="20">
        <v>0</v>
      </c>
      <c r="Q103" s="17">
        <f t="shared" ref="Q103:Q109" si="9">P103+O103</f>
        <v>200000</v>
      </c>
      <c r="R103" s="13">
        <v>46064</v>
      </c>
      <c r="S103" s="25">
        <f t="shared" si="8"/>
        <v>43</v>
      </c>
      <c r="T103" s="11" t="s">
        <v>74</v>
      </c>
    </row>
    <row r="104" spans="1:20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5">
        <f t="shared" si="6"/>
        <v>123</v>
      </c>
      <c r="K104" s="32"/>
      <c r="L104" s="32"/>
      <c r="M104" s="11" t="s">
        <v>48</v>
      </c>
      <c r="N104" s="12" t="s">
        <v>105</v>
      </c>
      <c r="O104" s="20">
        <v>2148649</v>
      </c>
      <c r="P104" s="20">
        <v>0</v>
      </c>
      <c r="Q104" s="17">
        <f t="shared" si="9"/>
        <v>2148649</v>
      </c>
      <c r="R104" s="13">
        <v>46064</v>
      </c>
      <c r="S104" s="25">
        <f t="shared" si="8"/>
        <v>122</v>
      </c>
      <c r="T104" s="11" t="s">
        <v>74</v>
      </c>
    </row>
    <row r="105" spans="1:20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5">
        <f t="shared" si="6"/>
        <v>46</v>
      </c>
      <c r="K105" s="32"/>
      <c r="L105" s="32"/>
      <c r="M105" s="11" t="s">
        <v>48</v>
      </c>
      <c r="N105" s="11" t="s">
        <v>34</v>
      </c>
      <c r="O105" s="5">
        <v>60000</v>
      </c>
      <c r="P105" s="5">
        <v>0</v>
      </c>
      <c r="Q105" s="17">
        <f t="shared" si="9"/>
        <v>60000</v>
      </c>
      <c r="R105" s="13">
        <v>46065</v>
      </c>
      <c r="S105" s="25">
        <f t="shared" si="8"/>
        <v>51</v>
      </c>
      <c r="T105" s="11" t="s">
        <v>74</v>
      </c>
    </row>
    <row r="106" spans="1:20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5">
        <f t="shared" si="6"/>
        <v>17</v>
      </c>
      <c r="K106" s="32"/>
      <c r="L106" s="32"/>
      <c r="M106" s="11" t="s">
        <v>48</v>
      </c>
      <c r="N106" s="11" t="s">
        <v>34</v>
      </c>
      <c r="O106" s="5">
        <v>60000</v>
      </c>
      <c r="P106" s="5">
        <v>0</v>
      </c>
      <c r="Q106" s="17">
        <f t="shared" si="9"/>
        <v>60000</v>
      </c>
      <c r="R106" s="13">
        <v>46065</v>
      </c>
      <c r="S106" s="25">
        <f t="shared" si="8"/>
        <v>19</v>
      </c>
      <c r="T106" s="11" t="s">
        <v>74</v>
      </c>
    </row>
    <row r="107" spans="1:20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5">
        <f t="shared" si="6"/>
        <v>12</v>
      </c>
      <c r="K107" s="32"/>
      <c r="L107" s="32"/>
      <c r="M107" s="5" t="s">
        <v>24</v>
      </c>
      <c r="N107" s="12" t="s">
        <v>34</v>
      </c>
      <c r="O107" s="15">
        <v>150000</v>
      </c>
      <c r="P107" s="15">
        <v>40000</v>
      </c>
      <c r="Q107" s="17">
        <f t="shared" si="9"/>
        <v>190000</v>
      </c>
      <c r="R107" s="13">
        <v>46065</v>
      </c>
      <c r="S107" s="25">
        <f t="shared" si="8"/>
        <v>13</v>
      </c>
      <c r="T107" s="11" t="s">
        <v>74</v>
      </c>
    </row>
    <row r="108" spans="1:20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5">
        <f t="shared" si="6"/>
        <v>9</v>
      </c>
      <c r="K108" s="32"/>
      <c r="L108" s="32"/>
      <c r="M108" s="5" t="s">
        <v>24</v>
      </c>
      <c r="N108" s="12" t="s">
        <v>84</v>
      </c>
      <c r="O108" s="15">
        <v>1000000</v>
      </c>
      <c r="P108" s="5">
        <v>231750</v>
      </c>
      <c r="Q108" s="17">
        <f t="shared" si="9"/>
        <v>1231750</v>
      </c>
      <c r="R108" s="13">
        <v>46065</v>
      </c>
      <c r="S108" s="25">
        <f t="shared" si="8"/>
        <v>10</v>
      </c>
      <c r="T108" s="11" t="s">
        <v>74</v>
      </c>
    </row>
    <row r="109" spans="1:20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5">
        <f t="shared" si="6"/>
        <v>8</v>
      </c>
      <c r="K109" s="32"/>
      <c r="L109" s="32"/>
      <c r="M109" s="5" t="s">
        <v>24</v>
      </c>
      <c r="N109" s="12" t="s">
        <v>34</v>
      </c>
      <c r="O109" s="15">
        <v>150000</v>
      </c>
      <c r="P109" s="15">
        <v>60000</v>
      </c>
      <c r="Q109" s="17">
        <f t="shared" si="9"/>
        <v>210000</v>
      </c>
      <c r="R109" s="13">
        <v>46065</v>
      </c>
      <c r="S109" s="25">
        <f t="shared" si="8"/>
        <v>9</v>
      </c>
      <c r="T109" s="11" t="s">
        <v>74</v>
      </c>
    </row>
    <row r="110" spans="1:20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5">
        <f t="shared" si="6"/>
        <v>27</v>
      </c>
      <c r="K110" s="32"/>
      <c r="L110" s="32"/>
      <c r="M110" s="11" t="s">
        <v>24</v>
      </c>
      <c r="N110" s="12" t="s">
        <v>54</v>
      </c>
      <c r="O110" s="20">
        <v>835588</v>
      </c>
      <c r="P110" s="20">
        <v>200000</v>
      </c>
      <c r="Q110" s="17">
        <f>P110+O110</f>
        <v>1035588</v>
      </c>
      <c r="R110" s="13">
        <v>46065</v>
      </c>
      <c r="S110" s="25">
        <f t="shared" si="8"/>
        <v>35</v>
      </c>
      <c r="T110" s="11" t="s">
        <v>74</v>
      </c>
    </row>
    <row r="111" spans="1:20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5">
        <f t="shared" si="6"/>
        <v>45</v>
      </c>
      <c r="K111" s="36"/>
      <c r="L111" s="36"/>
      <c r="M111" s="37" t="s">
        <v>24</v>
      </c>
      <c r="N111" s="12" t="s">
        <v>29</v>
      </c>
      <c r="O111" s="20">
        <v>1500000</v>
      </c>
      <c r="P111" s="20">
        <v>333527</v>
      </c>
      <c r="Q111" s="17">
        <f t="shared" ref="Q111:Q118" si="10">P111+O111</f>
        <v>1833527</v>
      </c>
      <c r="R111" s="38">
        <v>46066</v>
      </c>
      <c r="S111" s="25">
        <f t="shared" si="8"/>
        <v>47</v>
      </c>
      <c r="T111" s="11" t="s">
        <v>74</v>
      </c>
    </row>
    <row r="112" spans="1:20" x14ac:dyDescent="0.35">
      <c r="A112" s="11" t="s">
        <v>116</v>
      </c>
      <c r="B112" s="11" t="s">
        <v>19</v>
      </c>
      <c r="C112" s="23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5">
        <f t="shared" si="6"/>
        <v>13</v>
      </c>
      <c r="K112" s="32"/>
      <c r="L112" s="32"/>
      <c r="M112" s="11" t="s">
        <v>24</v>
      </c>
      <c r="N112" s="11" t="s">
        <v>119</v>
      </c>
      <c r="O112" s="17">
        <v>420853</v>
      </c>
      <c r="P112" s="17">
        <v>467395</v>
      </c>
      <c r="Q112" s="17">
        <f t="shared" si="10"/>
        <v>888248</v>
      </c>
      <c r="R112" s="38">
        <v>46066</v>
      </c>
      <c r="S112" s="25">
        <f t="shared" si="8"/>
        <v>14</v>
      </c>
      <c r="T112" s="11" t="s">
        <v>74</v>
      </c>
    </row>
    <row r="113" spans="1:20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5">
        <f t="shared" si="6"/>
        <v>26</v>
      </c>
      <c r="K113" s="32"/>
      <c r="L113" s="32"/>
      <c r="M113" s="11" t="s">
        <v>24</v>
      </c>
      <c r="N113" s="12" t="s">
        <v>29</v>
      </c>
      <c r="O113" s="20">
        <v>500000</v>
      </c>
      <c r="P113" s="20">
        <v>998817</v>
      </c>
      <c r="Q113" s="17">
        <f t="shared" si="10"/>
        <v>1498817</v>
      </c>
      <c r="R113" s="13">
        <v>46069</v>
      </c>
      <c r="S113" s="25">
        <f t="shared" si="8"/>
        <v>27</v>
      </c>
      <c r="T113" s="11" t="s">
        <v>122</v>
      </c>
    </row>
    <row r="114" spans="1:20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5">
        <f t="shared" si="6"/>
        <v>45</v>
      </c>
      <c r="K114" s="32"/>
      <c r="L114" s="32"/>
      <c r="M114" s="11" t="s">
        <v>24</v>
      </c>
      <c r="N114" s="12" t="s">
        <v>105</v>
      </c>
      <c r="O114" s="20">
        <v>700000</v>
      </c>
      <c r="P114" s="20">
        <v>497454</v>
      </c>
      <c r="Q114" s="17">
        <f t="shared" si="10"/>
        <v>1197454</v>
      </c>
      <c r="R114" s="13">
        <v>46069</v>
      </c>
      <c r="S114" s="25">
        <f t="shared" si="8"/>
        <v>60</v>
      </c>
      <c r="T114" s="11" t="s">
        <v>122</v>
      </c>
    </row>
    <row r="115" spans="1:20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5">
        <f t="shared" si="6"/>
        <v>23</v>
      </c>
      <c r="K115" s="32"/>
      <c r="L115" s="32"/>
      <c r="M115" s="11" t="s">
        <v>24</v>
      </c>
      <c r="N115" s="12" t="s">
        <v>54</v>
      </c>
      <c r="O115" s="20">
        <v>638483</v>
      </c>
      <c r="P115" s="20">
        <v>200000</v>
      </c>
      <c r="Q115" s="17">
        <f t="shared" si="10"/>
        <v>838483</v>
      </c>
      <c r="R115" s="13">
        <v>46069</v>
      </c>
      <c r="S115" s="25">
        <f t="shared" si="8"/>
        <v>37</v>
      </c>
      <c r="T115" s="11" t="s">
        <v>122</v>
      </c>
    </row>
    <row r="116" spans="1:20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5">
        <f t="shared" si="6"/>
        <v>13</v>
      </c>
      <c r="K116" s="32"/>
      <c r="L116" s="32"/>
      <c r="M116" s="11" t="s">
        <v>24</v>
      </c>
      <c r="N116" s="12" t="s">
        <v>129</v>
      </c>
      <c r="O116" s="20">
        <v>2000500</v>
      </c>
      <c r="P116" s="20">
        <v>557454</v>
      </c>
      <c r="Q116" s="17">
        <f t="shared" si="10"/>
        <v>2557954</v>
      </c>
      <c r="R116" s="13">
        <v>46070</v>
      </c>
      <c r="S116" s="25">
        <f t="shared" si="8"/>
        <v>13</v>
      </c>
      <c r="T116" s="11" t="s">
        <v>122</v>
      </c>
    </row>
    <row r="117" spans="1:20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5">
        <f t="shared" si="6"/>
        <v>17</v>
      </c>
      <c r="K117" s="32"/>
      <c r="L117" s="32"/>
      <c r="M117" s="11" t="s">
        <v>24</v>
      </c>
      <c r="N117" s="11" t="s">
        <v>34</v>
      </c>
      <c r="O117" s="17">
        <v>150000</v>
      </c>
      <c r="P117" s="17">
        <v>60000</v>
      </c>
      <c r="Q117" s="17">
        <f t="shared" si="10"/>
        <v>210000</v>
      </c>
      <c r="R117" s="13">
        <v>46070</v>
      </c>
      <c r="S117" s="25">
        <f t="shared" si="8"/>
        <v>19</v>
      </c>
      <c r="T117" s="11" t="s">
        <v>122</v>
      </c>
    </row>
    <row r="118" spans="1:20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5">
        <f t="shared" si="6"/>
        <v>11</v>
      </c>
      <c r="K118" s="32"/>
      <c r="L118" s="32"/>
      <c r="M118" s="11" t="s">
        <v>24</v>
      </c>
      <c r="N118" s="11" t="s">
        <v>84</v>
      </c>
      <c r="O118" s="17">
        <v>1000000</v>
      </c>
      <c r="P118" s="17">
        <v>231750</v>
      </c>
      <c r="Q118" s="17">
        <f t="shared" si="10"/>
        <v>1231750</v>
      </c>
      <c r="R118" s="13">
        <v>46070</v>
      </c>
      <c r="S118" s="25">
        <f t="shared" si="8"/>
        <v>12</v>
      </c>
      <c r="T118" s="11" t="s">
        <v>122</v>
      </c>
    </row>
    <row r="119" spans="1:20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4">
        <v>46063</v>
      </c>
      <c r="J119" s="25">
        <f t="shared" si="6"/>
        <v>14</v>
      </c>
      <c r="K119" s="32"/>
      <c r="L119" s="32"/>
      <c r="M119" s="11" t="s">
        <v>24</v>
      </c>
      <c r="N119" s="12" t="s">
        <v>54</v>
      </c>
      <c r="O119" s="17">
        <v>1474962</v>
      </c>
      <c r="P119" s="20">
        <v>0</v>
      </c>
      <c r="Q119" s="17">
        <f>P119+O119</f>
        <v>1474962</v>
      </c>
      <c r="R119" s="13">
        <v>46070</v>
      </c>
      <c r="S119" s="25">
        <f t="shared" si="8"/>
        <v>19</v>
      </c>
      <c r="T119" s="11" t="s">
        <v>122</v>
      </c>
    </row>
    <row r="120" spans="1:20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3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5">
        <f t="shared" si="6"/>
        <v>25</v>
      </c>
      <c r="K120" s="32"/>
      <c r="L120" s="32"/>
      <c r="M120" s="11" t="s">
        <v>48</v>
      </c>
      <c r="N120" s="11" t="s">
        <v>137</v>
      </c>
      <c r="O120" s="17">
        <v>2000000</v>
      </c>
      <c r="P120" s="17">
        <v>0</v>
      </c>
      <c r="Q120" s="17">
        <f>P120+O120</f>
        <v>2000000</v>
      </c>
      <c r="R120" s="13">
        <v>46071</v>
      </c>
      <c r="S120" s="25">
        <f t="shared" si="8"/>
        <v>27</v>
      </c>
      <c r="T120" s="11" t="s">
        <v>122</v>
      </c>
    </row>
    <row r="121" spans="1:20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5">
        <f t="shared" si="6"/>
        <v>25</v>
      </c>
      <c r="K121" s="32"/>
      <c r="L121" s="32"/>
      <c r="M121" s="11" t="s">
        <v>48</v>
      </c>
      <c r="N121" s="11" t="s">
        <v>137</v>
      </c>
      <c r="O121" s="17">
        <v>2000000</v>
      </c>
      <c r="P121" s="17">
        <v>0</v>
      </c>
      <c r="Q121" s="17">
        <f>P121+O121</f>
        <v>2000000</v>
      </c>
      <c r="R121" s="13">
        <v>46071</v>
      </c>
      <c r="S121" s="25">
        <f t="shared" si="8"/>
        <v>27</v>
      </c>
      <c r="T121" s="11" t="s">
        <v>122</v>
      </c>
    </row>
    <row r="122" spans="1:20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5">
        <f t="shared" si="6"/>
        <v>23</v>
      </c>
      <c r="K122" s="32"/>
      <c r="L122" s="32"/>
      <c r="M122" s="11" t="s">
        <v>24</v>
      </c>
      <c r="N122" s="12" t="s">
        <v>137</v>
      </c>
      <c r="O122" s="17">
        <v>2000000</v>
      </c>
      <c r="P122" s="20">
        <v>300000</v>
      </c>
      <c r="Q122" s="17">
        <f>P122+O122</f>
        <v>2300000</v>
      </c>
      <c r="R122" s="13">
        <v>46071</v>
      </c>
      <c r="S122" s="25">
        <f t="shared" si="8"/>
        <v>28</v>
      </c>
      <c r="T122" s="11" t="s">
        <v>122</v>
      </c>
    </row>
    <row r="123" spans="1:20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5">
        <f t="shared" si="6"/>
        <v>12</v>
      </c>
      <c r="K123" s="32"/>
      <c r="L123" s="32"/>
      <c r="M123" s="11" t="s">
        <v>24</v>
      </c>
      <c r="N123" s="12" t="s">
        <v>105</v>
      </c>
      <c r="O123" s="20">
        <v>1000000</v>
      </c>
      <c r="P123" s="20">
        <v>693500</v>
      </c>
      <c r="Q123" s="17">
        <f t="shared" ref="Q123:Q148" si="11">P123+O123</f>
        <v>1693500</v>
      </c>
      <c r="R123" s="13">
        <v>46072</v>
      </c>
      <c r="S123" s="25">
        <f t="shared" si="8"/>
        <v>14</v>
      </c>
      <c r="T123" s="11" t="s">
        <v>122</v>
      </c>
    </row>
    <row r="124" spans="1:20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5">
        <f t="shared" si="6"/>
        <v>7</v>
      </c>
      <c r="K124" s="32"/>
      <c r="L124" s="32"/>
      <c r="M124" s="11" t="s">
        <v>24</v>
      </c>
      <c r="N124" s="12" t="s">
        <v>148</v>
      </c>
      <c r="O124" s="17">
        <v>0</v>
      </c>
      <c r="P124" s="17">
        <v>0</v>
      </c>
      <c r="Q124" s="17">
        <f t="shared" si="11"/>
        <v>0</v>
      </c>
      <c r="R124" s="13">
        <v>46072</v>
      </c>
      <c r="S124" s="25">
        <f t="shared" si="8"/>
        <v>8</v>
      </c>
      <c r="T124" s="11" t="s">
        <v>122</v>
      </c>
    </row>
    <row r="125" spans="1:20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5">
        <f t="shared" si="6"/>
        <v>14</v>
      </c>
      <c r="K125" s="32"/>
      <c r="L125" s="32"/>
      <c r="M125" s="11" t="s">
        <v>24</v>
      </c>
      <c r="N125" s="12" t="s">
        <v>151</v>
      </c>
      <c r="O125" s="20">
        <v>150000</v>
      </c>
      <c r="P125" s="20">
        <v>443127</v>
      </c>
      <c r="Q125" s="17">
        <f t="shared" si="11"/>
        <v>593127</v>
      </c>
      <c r="R125" s="13">
        <v>46072</v>
      </c>
      <c r="S125" s="25">
        <f t="shared" si="8"/>
        <v>16</v>
      </c>
      <c r="T125" s="11" t="s">
        <v>122</v>
      </c>
    </row>
    <row r="126" spans="1:20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5">
        <f t="shared" si="6"/>
        <v>12</v>
      </c>
      <c r="K126" s="32"/>
      <c r="L126" s="32"/>
      <c r="M126" s="11" t="s">
        <v>24</v>
      </c>
      <c r="N126" s="12" t="s">
        <v>105</v>
      </c>
      <c r="O126" s="20">
        <v>1987902</v>
      </c>
      <c r="P126" s="20">
        <v>270000</v>
      </c>
      <c r="Q126" s="17">
        <f t="shared" si="11"/>
        <v>2257902</v>
      </c>
      <c r="R126" s="13">
        <v>46072</v>
      </c>
      <c r="S126" s="25">
        <f t="shared" si="8"/>
        <v>14</v>
      </c>
      <c r="T126" s="11" t="s">
        <v>122</v>
      </c>
    </row>
    <row r="127" spans="1:20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5">
        <f t="shared" si="6"/>
        <v>7</v>
      </c>
      <c r="K127" s="26" t="s">
        <v>303</v>
      </c>
      <c r="L127" s="11" t="s">
        <v>304</v>
      </c>
      <c r="M127" s="11" t="s">
        <v>24</v>
      </c>
      <c r="N127" s="12" t="s">
        <v>54</v>
      </c>
      <c r="O127" s="17">
        <v>1100000</v>
      </c>
      <c r="P127" s="20">
        <v>474962</v>
      </c>
      <c r="Q127" s="17">
        <f t="shared" si="11"/>
        <v>1574962</v>
      </c>
      <c r="R127" s="13">
        <v>46076</v>
      </c>
      <c r="S127" s="25">
        <f t="shared" si="8"/>
        <v>16</v>
      </c>
      <c r="T127" s="11" t="s">
        <v>314</v>
      </c>
    </row>
    <row r="128" spans="1:20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5">
        <f t="shared" si="6"/>
        <v>21</v>
      </c>
      <c r="K128" s="26" t="s">
        <v>303</v>
      </c>
      <c r="L128" s="11" t="s">
        <v>304</v>
      </c>
      <c r="M128" s="11" t="s">
        <v>24</v>
      </c>
      <c r="N128" s="12" t="s">
        <v>54</v>
      </c>
      <c r="O128" s="20">
        <v>1100000</v>
      </c>
      <c r="P128" s="20">
        <v>474962</v>
      </c>
      <c r="Q128" s="17">
        <f t="shared" si="11"/>
        <v>1574962</v>
      </c>
      <c r="R128" s="13">
        <v>46076</v>
      </c>
      <c r="S128" s="25">
        <f t="shared" si="8"/>
        <v>34</v>
      </c>
      <c r="T128" s="11" t="s">
        <v>314</v>
      </c>
    </row>
    <row r="129" spans="1:20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5">
        <f t="shared" si="6"/>
        <v>10</v>
      </c>
      <c r="K129" s="26" t="s">
        <v>303</v>
      </c>
      <c r="L129" s="11" t="s">
        <v>304</v>
      </c>
      <c r="M129" s="11" t="s">
        <v>24</v>
      </c>
      <c r="N129" s="12" t="s">
        <v>148</v>
      </c>
      <c r="O129" s="20">
        <v>0</v>
      </c>
      <c r="P129" s="20">
        <v>0</v>
      </c>
      <c r="Q129" s="17">
        <f t="shared" si="11"/>
        <v>0</v>
      </c>
      <c r="R129" s="13">
        <v>46077</v>
      </c>
      <c r="S129" s="25">
        <f t="shared" si="8"/>
        <v>11</v>
      </c>
      <c r="T129" s="11" t="s">
        <v>314</v>
      </c>
    </row>
    <row r="130" spans="1:20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5">
        <f t="shared" si="6"/>
        <v>15</v>
      </c>
      <c r="K130" s="26" t="s">
        <v>303</v>
      </c>
      <c r="L130" s="11" t="s">
        <v>304</v>
      </c>
      <c r="M130" s="11" t="s">
        <v>24</v>
      </c>
      <c r="N130" s="12" t="s">
        <v>57</v>
      </c>
      <c r="O130" s="20">
        <v>270000</v>
      </c>
      <c r="P130" s="20">
        <v>71435</v>
      </c>
      <c r="Q130" s="17">
        <f t="shared" si="11"/>
        <v>341435</v>
      </c>
      <c r="R130" s="13">
        <v>46077</v>
      </c>
      <c r="S130" s="25">
        <f t="shared" si="8"/>
        <v>15</v>
      </c>
      <c r="T130" s="11" t="s">
        <v>314</v>
      </c>
    </row>
    <row r="131" spans="1:20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5">
        <f t="shared" si="6"/>
        <v>69</v>
      </c>
      <c r="K131" s="26" t="s">
        <v>303</v>
      </c>
      <c r="L131" s="11" t="s">
        <v>310</v>
      </c>
      <c r="M131" s="11" t="s">
        <v>24</v>
      </c>
      <c r="N131" s="12" t="s">
        <v>57</v>
      </c>
      <c r="O131" s="20">
        <v>360000</v>
      </c>
      <c r="P131" s="20">
        <v>92495</v>
      </c>
      <c r="Q131" s="17">
        <f t="shared" si="11"/>
        <v>452495</v>
      </c>
      <c r="R131" s="13">
        <v>46077</v>
      </c>
      <c r="S131" s="25">
        <f t="shared" si="8"/>
        <v>76</v>
      </c>
      <c r="T131" s="11" t="s">
        <v>314</v>
      </c>
    </row>
    <row r="132" spans="1:20" s="27" customFormat="1" x14ac:dyDescent="0.35">
      <c r="A132" s="23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4">
        <v>46073</v>
      </c>
      <c r="J132" s="25">
        <f t="shared" si="6"/>
        <v>33</v>
      </c>
      <c r="K132" s="26" t="s">
        <v>303</v>
      </c>
      <c r="L132" s="11" t="s">
        <v>304</v>
      </c>
      <c r="M132" s="11" t="s">
        <v>24</v>
      </c>
      <c r="N132" s="12" t="s">
        <v>39</v>
      </c>
      <c r="O132" s="20">
        <v>500000</v>
      </c>
      <c r="P132" s="20">
        <v>1963000</v>
      </c>
      <c r="Q132" s="17">
        <f t="shared" si="11"/>
        <v>2463000</v>
      </c>
      <c r="R132" s="13">
        <v>46078</v>
      </c>
      <c r="S132" s="25">
        <f t="shared" si="8"/>
        <v>36</v>
      </c>
      <c r="T132" s="11" t="s">
        <v>314</v>
      </c>
    </row>
    <row r="133" spans="1:20" s="27" customFormat="1" x14ac:dyDescent="0.35">
      <c r="A133" s="12" t="s">
        <v>311</v>
      </c>
      <c r="B133" s="12" t="s">
        <v>44</v>
      </c>
      <c r="C133" s="28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4">
        <v>46073</v>
      </c>
      <c r="J133" s="25">
        <f t="shared" si="6"/>
        <v>64</v>
      </c>
      <c r="K133" s="26" t="s">
        <v>303</v>
      </c>
      <c r="L133" s="11" t="s">
        <v>310</v>
      </c>
      <c r="M133" s="11" t="s">
        <v>24</v>
      </c>
      <c r="N133" s="12" t="s">
        <v>54</v>
      </c>
      <c r="O133" s="20">
        <v>500000</v>
      </c>
      <c r="P133" s="20">
        <v>350000</v>
      </c>
      <c r="Q133" s="17">
        <f t="shared" si="11"/>
        <v>850000</v>
      </c>
      <c r="R133" s="13">
        <v>46078</v>
      </c>
      <c r="S133" s="25">
        <f t="shared" si="8"/>
        <v>67</v>
      </c>
      <c r="T133" s="11" t="s">
        <v>314</v>
      </c>
    </row>
    <row r="134" spans="1:20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5">
        <f t="shared" si="6"/>
        <v>19</v>
      </c>
      <c r="K134" s="26" t="s">
        <v>303</v>
      </c>
      <c r="L134" s="11" t="s">
        <v>304</v>
      </c>
      <c r="M134" s="11" t="s">
        <v>24</v>
      </c>
      <c r="N134" s="12" t="s">
        <v>73</v>
      </c>
      <c r="O134" s="20">
        <v>2000000</v>
      </c>
      <c r="P134" s="20">
        <v>3000000</v>
      </c>
      <c r="Q134" s="17">
        <f t="shared" si="11"/>
        <v>5000000</v>
      </c>
      <c r="R134" s="13">
        <v>46078</v>
      </c>
      <c r="S134" s="25">
        <f t="shared" si="8"/>
        <v>24</v>
      </c>
      <c r="T134" s="11" t="s">
        <v>314</v>
      </c>
    </row>
    <row r="135" spans="1:20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5">
        <f t="shared" si="6"/>
        <v>28</v>
      </c>
      <c r="K135" s="26" t="s">
        <v>303</v>
      </c>
      <c r="L135" s="11" t="s">
        <v>304</v>
      </c>
      <c r="M135" s="11" t="s">
        <v>48</v>
      </c>
      <c r="N135" s="11" t="s">
        <v>84</v>
      </c>
      <c r="O135" s="17">
        <v>400000</v>
      </c>
      <c r="P135" s="17">
        <v>0</v>
      </c>
      <c r="Q135" s="17">
        <f t="shared" si="11"/>
        <v>400000</v>
      </c>
      <c r="R135" s="13">
        <v>46079</v>
      </c>
      <c r="S135" s="25">
        <f t="shared" si="8"/>
        <v>29</v>
      </c>
      <c r="T135" s="11" t="s">
        <v>314</v>
      </c>
    </row>
    <row r="136" spans="1:20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5">
        <f t="shared" si="6"/>
        <v>10</v>
      </c>
      <c r="K136" s="26" t="s">
        <v>303</v>
      </c>
      <c r="L136" s="11" t="s">
        <v>304</v>
      </c>
      <c r="M136" s="11" t="s">
        <v>48</v>
      </c>
      <c r="N136" s="11" t="s">
        <v>34</v>
      </c>
      <c r="O136" s="17">
        <v>150000</v>
      </c>
      <c r="P136" s="17">
        <v>0</v>
      </c>
      <c r="Q136" s="17">
        <f t="shared" si="11"/>
        <v>150000</v>
      </c>
      <c r="R136" s="13">
        <v>46079</v>
      </c>
      <c r="S136" s="25">
        <f t="shared" si="8"/>
        <v>11</v>
      </c>
      <c r="T136" s="11" t="s">
        <v>314</v>
      </c>
    </row>
    <row r="137" spans="1:20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5">
        <f t="shared" si="6"/>
        <v>10</v>
      </c>
      <c r="K137" s="26" t="s">
        <v>303</v>
      </c>
      <c r="L137" s="11" t="s">
        <v>304</v>
      </c>
      <c r="M137" s="11" t="s">
        <v>48</v>
      </c>
      <c r="N137" s="11" t="s">
        <v>84</v>
      </c>
      <c r="O137" s="17">
        <v>1000000</v>
      </c>
      <c r="P137" s="17">
        <v>0</v>
      </c>
      <c r="Q137" s="17">
        <f t="shared" si="11"/>
        <v>1000000</v>
      </c>
      <c r="R137" s="13">
        <v>46079</v>
      </c>
      <c r="S137" s="25">
        <f t="shared" si="8"/>
        <v>11</v>
      </c>
      <c r="T137" s="11" t="s">
        <v>314</v>
      </c>
    </row>
    <row r="138" spans="1:20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5">
        <f t="shared" si="6"/>
        <v>11</v>
      </c>
      <c r="K138" s="26" t="s">
        <v>303</v>
      </c>
      <c r="L138" s="11" t="s">
        <v>304</v>
      </c>
      <c r="M138" s="11" t="s">
        <v>48</v>
      </c>
      <c r="N138" s="11" t="s">
        <v>84</v>
      </c>
      <c r="O138" s="17">
        <v>1000000</v>
      </c>
      <c r="P138" s="17">
        <v>0</v>
      </c>
      <c r="Q138" s="17">
        <f t="shared" si="11"/>
        <v>1000000</v>
      </c>
      <c r="R138" s="13">
        <v>46079</v>
      </c>
      <c r="S138" s="25">
        <f t="shared" si="8"/>
        <v>12</v>
      </c>
      <c r="T138" s="11" t="s">
        <v>314</v>
      </c>
    </row>
    <row r="139" spans="1:20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5">
        <f t="shared" si="6"/>
        <v>75</v>
      </c>
      <c r="K139" s="26" t="s">
        <v>303</v>
      </c>
      <c r="L139" s="11" t="s">
        <v>304</v>
      </c>
      <c r="M139" s="11" t="s">
        <v>48</v>
      </c>
      <c r="N139" s="11" t="s">
        <v>34</v>
      </c>
      <c r="O139" s="17">
        <v>108000</v>
      </c>
      <c r="P139" s="17">
        <v>0</v>
      </c>
      <c r="Q139" s="17">
        <f t="shared" si="11"/>
        <v>108000</v>
      </c>
      <c r="R139" s="13">
        <v>46079</v>
      </c>
      <c r="S139" s="25">
        <f t="shared" si="8"/>
        <v>76</v>
      </c>
      <c r="T139" s="11" t="s">
        <v>314</v>
      </c>
    </row>
    <row r="140" spans="1:20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5">
        <f t="shared" si="6"/>
        <v>16</v>
      </c>
      <c r="K140" s="26" t="s">
        <v>303</v>
      </c>
      <c r="L140" s="11" t="s">
        <v>310</v>
      </c>
      <c r="M140" s="11" t="s">
        <v>24</v>
      </c>
      <c r="N140" s="11" t="s">
        <v>57</v>
      </c>
      <c r="O140" s="17">
        <v>270000</v>
      </c>
      <c r="P140" s="17">
        <v>71435</v>
      </c>
      <c r="Q140" s="17">
        <f t="shared" si="11"/>
        <v>341435</v>
      </c>
      <c r="R140" s="13">
        <v>46079</v>
      </c>
      <c r="S140" s="25">
        <f t="shared" si="8"/>
        <v>16</v>
      </c>
      <c r="T140" s="11" t="s">
        <v>314</v>
      </c>
    </row>
    <row r="141" spans="1:20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5">
        <f t="shared" ref="J141:J148" si="12">+NETWORKDAYS(H141,I141)</f>
        <v>261</v>
      </c>
      <c r="K141" s="26" t="s">
        <v>303</v>
      </c>
      <c r="L141" s="11" t="s">
        <v>327</v>
      </c>
      <c r="M141" s="11" t="s">
        <v>24</v>
      </c>
      <c r="N141" s="11" t="s">
        <v>84</v>
      </c>
      <c r="O141" s="17">
        <v>3000000</v>
      </c>
      <c r="P141" s="17">
        <v>139050</v>
      </c>
      <c r="Q141" s="17">
        <f t="shared" si="11"/>
        <v>3139050</v>
      </c>
      <c r="R141" s="13">
        <v>46079</v>
      </c>
      <c r="S141" s="25">
        <f t="shared" ref="S141:S148" si="13">NETWORKDAYS(H141,R141)</f>
        <v>261</v>
      </c>
      <c r="T141" s="11" t="s">
        <v>314</v>
      </c>
    </row>
    <row r="142" spans="1:20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5">
        <f t="shared" si="12"/>
        <v>23</v>
      </c>
      <c r="K142" s="26" t="s">
        <v>303</v>
      </c>
      <c r="L142" s="11" t="s">
        <v>304</v>
      </c>
      <c r="M142" s="11" t="s">
        <v>24</v>
      </c>
      <c r="N142" s="12" t="s">
        <v>105</v>
      </c>
      <c r="O142" s="20">
        <v>350000</v>
      </c>
      <c r="P142" s="20">
        <v>197989</v>
      </c>
      <c r="Q142" s="17">
        <f t="shared" si="11"/>
        <v>547989</v>
      </c>
      <c r="R142" s="13">
        <v>46079</v>
      </c>
      <c r="S142" s="25">
        <f t="shared" si="13"/>
        <v>27</v>
      </c>
      <c r="T142" s="11" t="s">
        <v>314</v>
      </c>
    </row>
    <row r="143" spans="1:20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5">
        <f t="shared" si="12"/>
        <v>14</v>
      </c>
      <c r="K143" s="26" t="s">
        <v>303</v>
      </c>
      <c r="L143" s="11" t="s">
        <v>304</v>
      </c>
      <c r="M143" s="11" t="s">
        <v>157</v>
      </c>
      <c r="N143" s="11" t="s">
        <v>39</v>
      </c>
      <c r="O143" s="17">
        <v>842820</v>
      </c>
      <c r="P143" s="17">
        <v>0</v>
      </c>
      <c r="Q143" s="17">
        <f t="shared" si="11"/>
        <v>842820</v>
      </c>
      <c r="R143" s="13">
        <v>46080</v>
      </c>
      <c r="S143" s="25">
        <f t="shared" si="13"/>
        <v>15</v>
      </c>
      <c r="T143" s="11" t="s">
        <v>314</v>
      </c>
    </row>
    <row r="144" spans="1:20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5">
        <f t="shared" si="12"/>
        <v>9</v>
      </c>
      <c r="K144" s="26" t="s">
        <v>303</v>
      </c>
      <c r="L144" s="11" t="s">
        <v>304</v>
      </c>
      <c r="M144" s="11" t="s">
        <v>24</v>
      </c>
      <c r="N144" s="12" t="s">
        <v>197</v>
      </c>
      <c r="O144" s="20">
        <v>3986938</v>
      </c>
      <c r="P144" s="20">
        <v>400908</v>
      </c>
      <c r="Q144" s="17">
        <f t="shared" si="11"/>
        <v>4387846</v>
      </c>
      <c r="R144" s="13">
        <v>46080</v>
      </c>
      <c r="S144" s="25">
        <f t="shared" si="13"/>
        <v>12</v>
      </c>
      <c r="T144" s="11" t="s">
        <v>314</v>
      </c>
    </row>
    <row r="145" spans="1:20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5">
        <f t="shared" si="12"/>
        <v>20</v>
      </c>
      <c r="K145" s="26" t="s">
        <v>303</v>
      </c>
      <c r="L145" s="11" t="s">
        <v>304</v>
      </c>
      <c r="M145" s="11" t="s">
        <v>24</v>
      </c>
      <c r="N145" s="12" t="s">
        <v>61</v>
      </c>
      <c r="O145" s="20">
        <v>250000</v>
      </c>
      <c r="P145" s="20">
        <v>370000</v>
      </c>
      <c r="Q145" s="17">
        <f t="shared" si="11"/>
        <v>620000</v>
      </c>
      <c r="R145" s="13">
        <v>46080</v>
      </c>
      <c r="S145" s="25">
        <f t="shared" si="13"/>
        <v>79</v>
      </c>
      <c r="T145" s="11" t="s">
        <v>314</v>
      </c>
    </row>
    <row r="146" spans="1:20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5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20">
        <v>1000000</v>
      </c>
      <c r="P146" s="20">
        <v>965500</v>
      </c>
      <c r="Q146" s="17">
        <f t="shared" si="11"/>
        <v>1965500</v>
      </c>
      <c r="R146" s="13">
        <v>46080</v>
      </c>
      <c r="S146" s="25">
        <f t="shared" si="13"/>
        <v>34</v>
      </c>
      <c r="T146" s="11" t="s">
        <v>314</v>
      </c>
    </row>
    <row r="147" spans="1:20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5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20">
        <v>2000000</v>
      </c>
      <c r="P147" s="20">
        <v>300000</v>
      </c>
      <c r="Q147" s="17">
        <f t="shared" si="11"/>
        <v>2300000</v>
      </c>
      <c r="R147" s="13">
        <v>46080</v>
      </c>
      <c r="S147" s="25">
        <f t="shared" si="13"/>
        <v>34</v>
      </c>
      <c r="T147" s="11" t="s">
        <v>314</v>
      </c>
    </row>
    <row r="148" spans="1:20" x14ac:dyDescent="0.35">
      <c r="A148" s="23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5">
        <f t="shared" si="12"/>
        <v>65</v>
      </c>
      <c r="K148" s="26" t="s">
        <v>303</v>
      </c>
      <c r="L148" s="11" t="s">
        <v>327</v>
      </c>
      <c r="M148" s="11" t="s">
        <v>24</v>
      </c>
      <c r="N148" s="12" t="s">
        <v>54</v>
      </c>
      <c r="O148" s="12">
        <v>0</v>
      </c>
      <c r="P148" s="12">
        <v>0</v>
      </c>
      <c r="Q148" s="17">
        <f t="shared" si="11"/>
        <v>0</v>
      </c>
      <c r="R148" s="13">
        <v>46081</v>
      </c>
      <c r="S148" s="25">
        <f t="shared" si="13"/>
        <v>69</v>
      </c>
      <c r="T148" s="11" t="s">
        <v>314</v>
      </c>
    </row>
  </sheetData>
  <autoFilter ref="A1:T148" xr:uid="{00000000-0001-0000-0000-000000000000}"/>
  <conditionalFormatting sqref="C1">
    <cfRule type="duplicateValues" dxfId="53" priority="49"/>
    <cfRule type="duplicateValues" dxfId="52" priority="47"/>
    <cfRule type="duplicateValues" dxfId="51" priority="50"/>
    <cfRule type="duplicateValues" dxfId="50" priority="53"/>
    <cfRule type="duplicateValues" dxfId="49" priority="52"/>
    <cfRule type="duplicateValues" dxfId="48" priority="51"/>
  </conditionalFormatting>
  <conditionalFormatting sqref="C2:C15 C17:C31">
    <cfRule type="duplicateValues" dxfId="47" priority="28"/>
    <cfRule type="duplicateValues" dxfId="46" priority="27"/>
  </conditionalFormatting>
  <conditionalFormatting sqref="C2:C58">
    <cfRule type="duplicateValues" dxfId="45" priority="7"/>
    <cfRule type="duplicateValues" dxfId="44" priority="8"/>
  </conditionalFormatting>
  <conditionalFormatting sqref="C2:C70">
    <cfRule type="duplicateValues" dxfId="43" priority="5"/>
  </conditionalFormatting>
  <conditionalFormatting sqref="C8">
    <cfRule type="duplicateValues" dxfId="42" priority="25"/>
    <cfRule type="duplicateValues" dxfId="41" priority="26"/>
  </conditionalFormatting>
  <conditionalFormatting sqref="C9">
    <cfRule type="duplicateValues" dxfId="40" priority="24"/>
  </conditionalFormatting>
  <conditionalFormatting sqref="C10">
    <cfRule type="duplicateValues" dxfId="39" priority="23"/>
  </conditionalFormatting>
  <conditionalFormatting sqref="C12">
    <cfRule type="duplicateValues" dxfId="38" priority="22"/>
  </conditionalFormatting>
  <conditionalFormatting sqref="C15">
    <cfRule type="duplicateValues" dxfId="37" priority="21"/>
  </conditionalFormatting>
  <conditionalFormatting sqref="C16">
    <cfRule type="duplicateValues" dxfId="36" priority="13"/>
  </conditionalFormatting>
  <conditionalFormatting sqref="C20:C31">
    <cfRule type="duplicateValues" dxfId="35" priority="20"/>
  </conditionalFormatting>
  <conditionalFormatting sqref="C32">
    <cfRule type="duplicateValues" dxfId="34" priority="18"/>
  </conditionalFormatting>
  <conditionalFormatting sqref="C33:C37">
    <cfRule type="duplicateValues" dxfId="33" priority="17"/>
  </conditionalFormatting>
  <conditionalFormatting sqref="C39">
    <cfRule type="duplicateValues" dxfId="32" priority="15"/>
  </conditionalFormatting>
  <conditionalFormatting sqref="C40">
    <cfRule type="duplicateValues" dxfId="31" priority="14"/>
  </conditionalFormatting>
  <conditionalFormatting sqref="C47">
    <cfRule type="duplicateValues" dxfId="30" priority="11"/>
  </conditionalFormatting>
  <conditionalFormatting sqref="C59:C66">
    <cfRule type="duplicateValues" dxfId="29" priority="6"/>
  </conditionalFormatting>
  <conditionalFormatting sqref="C73">
    <cfRule type="duplicateValues" dxfId="28" priority="4"/>
  </conditionalFormatting>
  <conditionalFormatting sqref="C75">
    <cfRule type="duplicateValues" dxfId="27" priority="3"/>
  </conditionalFormatting>
  <conditionalFormatting sqref="C77">
    <cfRule type="duplicateValues" dxfId="26" priority="46"/>
  </conditionalFormatting>
  <conditionalFormatting sqref="C77:C109 C1">
    <cfRule type="duplicateValues" dxfId="25" priority="55"/>
  </conditionalFormatting>
  <conditionalFormatting sqref="C78">
    <cfRule type="duplicateValues" dxfId="24" priority="45"/>
  </conditionalFormatting>
  <conditionalFormatting sqref="C80:C81">
    <cfRule type="duplicateValues" dxfId="23" priority="44"/>
  </conditionalFormatting>
  <conditionalFormatting sqref="C85">
    <cfRule type="duplicateValues" dxfId="22" priority="43"/>
    <cfRule type="duplicateValues" dxfId="21" priority="42"/>
  </conditionalFormatting>
  <conditionalFormatting sqref="C92">
    <cfRule type="duplicateValues" dxfId="20" priority="41"/>
  </conditionalFormatting>
  <conditionalFormatting sqref="C93">
    <cfRule type="duplicateValues" dxfId="19" priority="40"/>
  </conditionalFormatting>
  <conditionalFormatting sqref="C98">
    <cfRule type="duplicateValues" dxfId="18" priority="38"/>
  </conditionalFormatting>
  <conditionalFormatting sqref="C101">
    <cfRule type="duplicateValues" dxfId="17" priority="37"/>
  </conditionalFormatting>
  <conditionalFormatting sqref="C102">
    <cfRule type="duplicateValues" dxfId="16" priority="35"/>
    <cfRule type="duplicateValues" dxfId="15" priority="36"/>
  </conditionalFormatting>
  <conditionalFormatting sqref="C103:C109">
    <cfRule type="duplicateValues" dxfId="14" priority="34"/>
  </conditionalFormatting>
  <conditionalFormatting sqref="C114">
    <cfRule type="duplicateValues" dxfId="13" priority="32"/>
  </conditionalFormatting>
  <conditionalFormatting sqref="C115">
    <cfRule type="duplicateValues" dxfId="12" priority="31"/>
  </conditionalFormatting>
  <conditionalFormatting sqref="C145">
    <cfRule type="duplicateValues" dxfId="11" priority="2"/>
    <cfRule type="duplicateValues" dxfId="10" priority="1"/>
  </conditionalFormatting>
  <conditionalFormatting sqref="E1">
    <cfRule type="duplicateValues" dxfId="9" priority="48"/>
    <cfRule type="duplicateValues" dxfId="8" priority="54"/>
  </conditionalFormatting>
  <conditionalFormatting sqref="E2:E15 E17:E31">
    <cfRule type="duplicateValues" dxfId="7" priority="30"/>
  </conditionalFormatting>
  <conditionalFormatting sqref="E16">
    <cfRule type="duplicateValues" dxfId="6" priority="12"/>
  </conditionalFormatting>
  <conditionalFormatting sqref="E20:E31">
    <cfRule type="duplicateValues" dxfId="5" priority="19"/>
  </conditionalFormatting>
  <conditionalFormatting sqref="E33">
    <cfRule type="duplicateValues" dxfId="4" priority="16"/>
  </conditionalFormatting>
  <conditionalFormatting sqref="E47">
    <cfRule type="duplicateValues" dxfId="3" priority="10"/>
  </conditionalFormatting>
  <conditionalFormatting sqref="E53">
    <cfRule type="duplicateValues" dxfId="2" priority="9"/>
  </conditionalFormatting>
  <conditionalFormatting sqref="E58">
    <cfRule type="duplicateValues" dxfId="1" priority="29"/>
  </conditionalFormatting>
  <conditionalFormatting sqref="E77:E97 E1">
    <cfRule type="duplicateValues" dxfId="0" priority="57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2026-03-02T09:24:10Z</dcterms:modified>
</cp:coreProperties>
</file>