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79" documentId="8_{A229127E-4F00-4A53-B430-1D5D94EE020C}" xr6:coauthVersionLast="47" xr6:coauthVersionMax="47" xr10:uidLastSave="{6A7B268D-3E04-454E-9EEB-E3402EC02DA7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1" i="1" l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<sst xmlns="http://schemas.openxmlformats.org/spreadsheetml/2006/main" count="5374" uniqueCount="892">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</sst>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7"/>
  <sheetViews>
    <sheetView tabSelected="1" topLeftCell="H1" workbookViewId="0">
      <selection activeCell="S472" sqref="S472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 x14ac:dyDescent="0.35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 x14ac:dyDescent="0.35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 x14ac:dyDescent="0.35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 x14ac:dyDescent="0.35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 x14ac:dyDescent="0.35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 x14ac:dyDescent="0.35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 x14ac:dyDescent="0.35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 x14ac:dyDescent="0.35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 x14ac:dyDescent="0.35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 x14ac:dyDescent="0.35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 x14ac:dyDescent="0.35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 x14ac:dyDescent="0.35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 x14ac:dyDescent="0.35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 x14ac:dyDescent="0.35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 x14ac:dyDescent="0.35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 x14ac:dyDescent="0.35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 x14ac:dyDescent="0.35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 x14ac:dyDescent="0.35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 x14ac:dyDescent="0.35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 x14ac:dyDescent="0.35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 x14ac:dyDescent="0.35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 x14ac:dyDescent="0.35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 x14ac:dyDescent="0.35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 x14ac:dyDescent="0.35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 x14ac:dyDescent="0.35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x14ac:dyDescent="0.35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x14ac:dyDescent="0.35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x14ac:dyDescent="0.35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 x14ac:dyDescent="0.35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x14ac:dyDescent="0.35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x14ac:dyDescent="0.35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x14ac:dyDescent="0.35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x14ac:dyDescent="0.35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.5" x14ac:dyDescent="0.35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x14ac:dyDescent="0.35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x14ac:dyDescent="0.35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x14ac:dyDescent="0.35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x14ac:dyDescent="0.35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x14ac:dyDescent="0.35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x14ac:dyDescent="0.35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x14ac:dyDescent="0.35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x14ac:dyDescent="0.35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x14ac:dyDescent="0.35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x14ac:dyDescent="0.35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x14ac:dyDescent="0.35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x14ac:dyDescent="0.35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x14ac:dyDescent="0.35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x14ac:dyDescent="0.35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x14ac:dyDescent="0.35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x14ac:dyDescent="0.35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x14ac:dyDescent="0.35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x14ac:dyDescent="0.35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x14ac:dyDescent="0.35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x14ac:dyDescent="0.35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x14ac:dyDescent="0.35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x14ac:dyDescent="0.35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x14ac:dyDescent="0.35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x14ac:dyDescent="0.35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x14ac:dyDescent="0.35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x14ac:dyDescent="0.35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x14ac:dyDescent="0.35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x14ac:dyDescent="0.35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x14ac:dyDescent="0.35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 x14ac:dyDescent="0.35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x14ac:dyDescent="0.35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x14ac:dyDescent="0.35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x14ac:dyDescent="0.35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x14ac:dyDescent="0.35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x14ac:dyDescent="0.35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x14ac:dyDescent="0.35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x14ac:dyDescent="0.35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x14ac:dyDescent="0.35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x14ac:dyDescent="0.35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x14ac:dyDescent="0.35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x14ac:dyDescent="0.35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x14ac:dyDescent="0.35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x14ac:dyDescent="0.35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x14ac:dyDescent="0.35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x14ac:dyDescent="0.35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x14ac:dyDescent="0.35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x14ac:dyDescent="0.35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x14ac:dyDescent="0.35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x14ac:dyDescent="0.35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x14ac:dyDescent="0.35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x14ac:dyDescent="0.35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x14ac:dyDescent="0.35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x14ac:dyDescent="0.35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x14ac:dyDescent="0.35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x14ac:dyDescent="0.35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x14ac:dyDescent="0.35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x14ac:dyDescent="0.35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x14ac:dyDescent="0.35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x14ac:dyDescent="0.35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x14ac:dyDescent="0.35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x14ac:dyDescent="0.35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 x14ac:dyDescent="0.35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 x14ac:dyDescent="0.35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x14ac:dyDescent="0.35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x14ac:dyDescent="0.35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x14ac:dyDescent="0.35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x14ac:dyDescent="0.35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x14ac:dyDescent="0.35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x14ac:dyDescent="0.35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x14ac:dyDescent="0.35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x14ac:dyDescent="0.35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x14ac:dyDescent="0.35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x14ac:dyDescent="0.35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x14ac:dyDescent="0.35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x14ac:dyDescent="0.35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x14ac:dyDescent="0.35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x14ac:dyDescent="0.35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x14ac:dyDescent="0.35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x14ac:dyDescent="0.35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x14ac:dyDescent="0.35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x14ac:dyDescent="0.35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x14ac:dyDescent="0.35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x14ac:dyDescent="0.35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x14ac:dyDescent="0.35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x14ac:dyDescent="0.35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x14ac:dyDescent="0.35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x14ac:dyDescent="0.35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x14ac:dyDescent="0.35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x14ac:dyDescent="0.35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x14ac:dyDescent="0.35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x14ac:dyDescent="0.35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x14ac:dyDescent="0.35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x14ac:dyDescent="0.35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x14ac:dyDescent="0.35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x14ac:dyDescent="0.35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x14ac:dyDescent="0.35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x14ac:dyDescent="0.35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x14ac:dyDescent="0.35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x14ac:dyDescent="0.35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x14ac:dyDescent="0.35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x14ac:dyDescent="0.35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x14ac:dyDescent="0.35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x14ac:dyDescent="0.35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x14ac:dyDescent="0.35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x14ac:dyDescent="0.35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x14ac:dyDescent="0.35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x14ac:dyDescent="0.35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x14ac:dyDescent="0.35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x14ac:dyDescent="0.35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x14ac:dyDescent="0.35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x14ac:dyDescent="0.35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x14ac:dyDescent="0.35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x14ac:dyDescent="0.35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x14ac:dyDescent="0.35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x14ac:dyDescent="0.35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x14ac:dyDescent="0.35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x14ac:dyDescent="0.35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x14ac:dyDescent="0.35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x14ac:dyDescent="0.35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x14ac:dyDescent="0.35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x14ac:dyDescent="0.35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x14ac:dyDescent="0.35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x14ac:dyDescent="0.35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x14ac:dyDescent="0.35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x14ac:dyDescent="0.35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x14ac:dyDescent="0.35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x14ac:dyDescent="0.35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x14ac:dyDescent="0.35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x14ac:dyDescent="0.35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x14ac:dyDescent="0.35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x14ac:dyDescent="0.35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x14ac:dyDescent="0.35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x14ac:dyDescent="0.35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x14ac:dyDescent="0.35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x14ac:dyDescent="0.35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 x14ac:dyDescent="0.3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 x14ac:dyDescent="0.3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 x14ac:dyDescent="0.3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 x14ac:dyDescent="0.3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 x14ac:dyDescent="0.3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 x14ac:dyDescent="0.3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 x14ac:dyDescent="0.3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 x14ac:dyDescent="0.3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 x14ac:dyDescent="0.3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 x14ac:dyDescent="0.3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 x14ac:dyDescent="0.3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 x14ac:dyDescent="0.3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 x14ac:dyDescent="0.3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x14ac:dyDescent="0.35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x14ac:dyDescent="0.35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x14ac:dyDescent="0.35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x14ac:dyDescent="0.35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x14ac:dyDescent="0.35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x14ac:dyDescent="0.35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x14ac:dyDescent="0.35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x14ac:dyDescent="0.35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x14ac:dyDescent="0.35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x14ac:dyDescent="0.35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x14ac:dyDescent="0.35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x14ac:dyDescent="0.35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x14ac:dyDescent="0.35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x14ac:dyDescent="0.35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x14ac:dyDescent="0.35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x14ac:dyDescent="0.35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x14ac:dyDescent="0.35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x14ac:dyDescent="0.35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x14ac:dyDescent="0.35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x14ac:dyDescent="0.35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x14ac:dyDescent="0.35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x14ac:dyDescent="0.35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x14ac:dyDescent="0.35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x14ac:dyDescent="0.35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x14ac:dyDescent="0.35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x14ac:dyDescent="0.35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x14ac:dyDescent="0.35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x14ac:dyDescent="0.35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x14ac:dyDescent="0.35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x14ac:dyDescent="0.35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x14ac:dyDescent="0.35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x14ac:dyDescent="0.35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x14ac:dyDescent="0.35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x14ac:dyDescent="0.35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x14ac:dyDescent="0.35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x14ac:dyDescent="0.35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x14ac:dyDescent="0.35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x14ac:dyDescent="0.35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x14ac:dyDescent="0.35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x14ac:dyDescent="0.35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x14ac:dyDescent="0.35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x14ac:dyDescent="0.35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x14ac:dyDescent="0.35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x14ac:dyDescent="0.35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x14ac:dyDescent="0.35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x14ac:dyDescent="0.35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x14ac:dyDescent="0.35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x14ac:dyDescent="0.35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x14ac:dyDescent="0.35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x14ac:dyDescent="0.35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x14ac:dyDescent="0.35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x14ac:dyDescent="0.35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x14ac:dyDescent="0.35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x14ac:dyDescent="0.35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x14ac:dyDescent="0.35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x14ac:dyDescent="0.35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x14ac:dyDescent="0.35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x14ac:dyDescent="0.35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x14ac:dyDescent="0.35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x14ac:dyDescent="0.35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x14ac:dyDescent="0.35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x14ac:dyDescent="0.35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x14ac:dyDescent="0.35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x14ac:dyDescent="0.35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x14ac:dyDescent="0.35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x14ac:dyDescent="0.35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x14ac:dyDescent="0.35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x14ac:dyDescent="0.35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x14ac:dyDescent="0.35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x14ac:dyDescent="0.35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x14ac:dyDescent="0.35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x14ac:dyDescent="0.35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x14ac:dyDescent="0.35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x14ac:dyDescent="0.35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x14ac:dyDescent="0.35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x14ac:dyDescent="0.35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x14ac:dyDescent="0.35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x14ac:dyDescent="0.35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x14ac:dyDescent="0.35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x14ac:dyDescent="0.35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x14ac:dyDescent="0.35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x14ac:dyDescent="0.35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x14ac:dyDescent="0.35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x14ac:dyDescent="0.35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x14ac:dyDescent="0.35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x14ac:dyDescent="0.35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x14ac:dyDescent="0.35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x14ac:dyDescent="0.35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x14ac:dyDescent="0.35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x14ac:dyDescent="0.35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x14ac:dyDescent="0.35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x14ac:dyDescent="0.35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x14ac:dyDescent="0.35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x14ac:dyDescent="0.35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x14ac:dyDescent="0.35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x14ac:dyDescent="0.35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x14ac:dyDescent="0.35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x14ac:dyDescent="0.35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x14ac:dyDescent="0.35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9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9" si="24">NETWORKDAYS(H386,R386)</f>
        <v>19</v>
      </c>
      <c r="T386" s="5" t="s">
        <v>787</v>
      </c>
      <c r="U386" s="34" t="s">
        <v>432</v>
      </c>
    </row>
    <row r="387" spans="1:21" s="18" customFormat="1" x14ac:dyDescent="0.35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x14ac:dyDescent="0.35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x14ac:dyDescent="0.35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 x14ac:dyDescent="0.35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x14ac:dyDescent="0.35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x14ac:dyDescent="0.35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x14ac:dyDescent="0.35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x14ac:dyDescent="0.35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x14ac:dyDescent="0.35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x14ac:dyDescent="0.35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x14ac:dyDescent="0.35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36" x14ac:dyDescent="0.35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x14ac:dyDescent="0.35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x14ac:dyDescent="0.35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x14ac:dyDescent="0.35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x14ac:dyDescent="0.35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x14ac:dyDescent="0.35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x14ac:dyDescent="0.35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x14ac:dyDescent="0.35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x14ac:dyDescent="0.35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x14ac:dyDescent="0.35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x14ac:dyDescent="0.35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x14ac:dyDescent="0.35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x14ac:dyDescent="0.35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x14ac:dyDescent="0.35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x14ac:dyDescent="0.35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 x14ac:dyDescent="0.35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 x14ac:dyDescent="0.35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 x14ac:dyDescent="0.35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x14ac:dyDescent="0.35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x14ac:dyDescent="0.35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x14ac:dyDescent="0.35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x14ac:dyDescent="0.35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x14ac:dyDescent="0.35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x14ac:dyDescent="0.35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x14ac:dyDescent="0.35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x14ac:dyDescent="0.35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x14ac:dyDescent="0.35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x14ac:dyDescent="0.35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x14ac:dyDescent="0.35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 x14ac:dyDescent="0.3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 x14ac:dyDescent="0.3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 x14ac:dyDescent="0.3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 x14ac:dyDescent="0.3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 x14ac:dyDescent="0.3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36" x14ac:dyDescent="0.3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 x14ac:dyDescent="0.3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 x14ac:dyDescent="0.3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  <row r="444" spans="1:21" x14ac:dyDescent="0.35">
      <c r="A444" s="6" t="s">
        <v>852</v>
      </c>
      <c r="B444" s="55" t="s">
        <v>19</v>
      </c>
      <c r="C444" s="55">
        <v>64705620</v>
      </c>
      <c r="D444" s="55" t="s">
        <v>20</v>
      </c>
      <c r="E444" s="55" t="s">
        <v>853</v>
      </c>
      <c r="F444" s="55" t="s">
        <v>46</v>
      </c>
      <c r="G444" s="55" t="s">
        <v>23</v>
      </c>
      <c r="H444" s="56">
        <v>46184</v>
      </c>
      <c r="I444" s="56">
        <v>46191</v>
      </c>
      <c r="J444" s="16">
        <f t="shared" si="23"/>
        <v>6</v>
      </c>
      <c r="K444" s="55" t="s">
        <v>295</v>
      </c>
      <c r="L444" s="55" t="s">
        <v>296</v>
      </c>
      <c r="M444" s="55" t="s">
        <v>24</v>
      </c>
      <c r="N444" s="55" t="s">
        <v>857</v>
      </c>
      <c r="O444" s="55">
        <v>0</v>
      </c>
      <c r="P444" s="55">
        <v>0</v>
      </c>
      <c r="Q444" s="59">
        <v>0</v>
      </c>
      <c r="R444" s="56">
        <v>46195</v>
      </c>
      <c r="S444" s="16">
        <f t="shared" si="24"/>
        <v>8</v>
      </c>
      <c r="T444" s="55" t="s">
        <v>858</v>
      </c>
      <c r="U444" s="55" t="s">
        <v>433</v>
      </c>
    </row>
    <row r="445" spans="1:21" x14ac:dyDescent="0.35">
      <c r="A445" s="6" t="s">
        <v>852</v>
      </c>
      <c r="B445" s="55" t="s">
        <v>19</v>
      </c>
      <c r="C445" s="55">
        <v>64681816</v>
      </c>
      <c r="D445" s="55" t="s">
        <v>20</v>
      </c>
      <c r="E445" s="55" t="s">
        <v>854</v>
      </c>
      <c r="F445" s="55" t="s">
        <v>46</v>
      </c>
      <c r="G445" s="55" t="s">
        <v>23</v>
      </c>
      <c r="H445" s="56">
        <v>46183</v>
      </c>
      <c r="I445" s="56">
        <v>46191</v>
      </c>
      <c r="J445" s="16">
        <f t="shared" si="23"/>
        <v>7</v>
      </c>
      <c r="K445" s="55" t="s">
        <v>295</v>
      </c>
      <c r="L445" s="55" t="s">
        <v>296</v>
      </c>
      <c r="M445" s="55" t="s">
        <v>24</v>
      </c>
      <c r="N445" s="55" t="s">
        <v>103</v>
      </c>
      <c r="O445" s="55">
        <v>0</v>
      </c>
      <c r="P445" s="55">
        <v>0</v>
      </c>
      <c r="Q445" s="59">
        <v>0</v>
      </c>
      <c r="R445" s="56">
        <v>46195</v>
      </c>
      <c r="S445" s="16">
        <f t="shared" si="24"/>
        <v>9</v>
      </c>
      <c r="T445" s="55" t="s">
        <v>858</v>
      </c>
      <c r="U445" s="55" t="s">
        <v>433</v>
      </c>
    </row>
    <row r="446" spans="1:21" x14ac:dyDescent="0.35">
      <c r="A446" s="6" t="s">
        <v>852</v>
      </c>
      <c r="B446" s="55" t="s">
        <v>19</v>
      </c>
      <c r="C446" s="55">
        <v>64682728</v>
      </c>
      <c r="D446" s="55" t="s">
        <v>20</v>
      </c>
      <c r="E446" s="55" t="s">
        <v>855</v>
      </c>
      <c r="F446" s="55" t="s">
        <v>46</v>
      </c>
      <c r="G446" s="55" t="s">
        <v>23</v>
      </c>
      <c r="H446" s="56">
        <v>46183</v>
      </c>
      <c r="I446" s="56">
        <v>46191</v>
      </c>
      <c r="J446" s="16">
        <f t="shared" si="23"/>
        <v>7</v>
      </c>
      <c r="K446" s="55" t="s">
        <v>295</v>
      </c>
      <c r="L446" s="55" t="s">
        <v>296</v>
      </c>
      <c r="M446" s="55" t="s">
        <v>24</v>
      </c>
      <c r="N446" s="55" t="s">
        <v>28</v>
      </c>
      <c r="O446" s="55">
        <v>0</v>
      </c>
      <c r="P446" s="55">
        <v>0</v>
      </c>
      <c r="Q446" s="59">
        <v>0</v>
      </c>
      <c r="R446" s="56">
        <v>46195</v>
      </c>
      <c r="S446" s="16">
        <f t="shared" si="24"/>
        <v>9</v>
      </c>
      <c r="T446" s="55" t="s">
        <v>858</v>
      </c>
      <c r="U446" s="55" t="s">
        <v>433</v>
      </c>
    </row>
    <row r="447" spans="1:21" x14ac:dyDescent="0.35">
      <c r="A447" s="6" t="s">
        <v>852</v>
      </c>
      <c r="B447" s="55" t="s">
        <v>19</v>
      </c>
      <c r="C447" s="55">
        <v>64726631</v>
      </c>
      <c r="D447" s="55" t="s">
        <v>20</v>
      </c>
      <c r="E447" s="55" t="s">
        <v>856</v>
      </c>
      <c r="F447" s="55" t="s">
        <v>46</v>
      </c>
      <c r="G447" s="55" t="s">
        <v>23</v>
      </c>
      <c r="H447" s="56">
        <v>46184</v>
      </c>
      <c r="I447" s="56">
        <v>46191</v>
      </c>
      <c r="J447" s="16">
        <f t="shared" si="23"/>
        <v>6</v>
      </c>
      <c r="K447" s="55" t="s">
        <v>295</v>
      </c>
      <c r="L447" s="55" t="s">
        <v>296</v>
      </c>
      <c r="M447" s="55" t="s">
        <v>24</v>
      </c>
      <c r="N447" s="55" t="s">
        <v>92</v>
      </c>
      <c r="O447" s="55">
        <v>0</v>
      </c>
      <c r="P447" s="55">
        <v>0</v>
      </c>
      <c r="Q447" s="59">
        <v>0</v>
      </c>
      <c r="R447" s="56">
        <v>46195</v>
      </c>
      <c r="S447" s="16">
        <f t="shared" si="24"/>
        <v>8</v>
      </c>
      <c r="T447" s="55" t="s">
        <v>858</v>
      </c>
      <c r="U447" s="55" t="s">
        <v>433</v>
      </c>
    </row>
    <row r="448" spans="1:21" x14ac:dyDescent="0.35">
      <c r="A448" s="6" t="s">
        <v>561</v>
      </c>
      <c r="B448" s="6" t="s">
        <v>43</v>
      </c>
      <c r="C448" s="6">
        <v>58635645</v>
      </c>
      <c r="D448" s="6" t="s">
        <v>35</v>
      </c>
      <c r="E448" s="6" t="s">
        <v>859</v>
      </c>
      <c r="F448" s="6" t="s">
        <v>498</v>
      </c>
      <c r="G448" s="6" t="s">
        <v>37</v>
      </c>
      <c r="H448" s="8">
        <v>46077</v>
      </c>
      <c r="I448" s="8">
        <v>46125</v>
      </c>
      <c r="J448" s="16">
        <f t="shared" si="23"/>
        <v>35</v>
      </c>
      <c r="K448" s="6" t="s">
        <v>295</v>
      </c>
      <c r="L448" s="6" t="s">
        <v>296</v>
      </c>
      <c r="M448" s="6" t="s">
        <v>24</v>
      </c>
      <c r="N448" s="6" t="s">
        <v>191</v>
      </c>
      <c r="O448" s="6">
        <v>500000</v>
      </c>
      <c r="P448" s="6">
        <v>101296</v>
      </c>
      <c r="Q448" s="12">
        <v>601296</v>
      </c>
      <c r="R448" s="8">
        <v>46195</v>
      </c>
      <c r="S448" s="16">
        <f t="shared" si="24"/>
        <v>85</v>
      </c>
      <c r="T448" s="6" t="s">
        <v>858</v>
      </c>
      <c r="U448" s="6" t="s">
        <v>537</v>
      </c>
    </row>
    <row r="449" spans="1:21" x14ac:dyDescent="0.35">
      <c r="A449" s="6" t="s">
        <v>561</v>
      </c>
      <c r="B449" s="6" t="s">
        <v>43</v>
      </c>
      <c r="C449" s="6">
        <v>61644382</v>
      </c>
      <c r="D449" s="6" t="s">
        <v>860</v>
      </c>
      <c r="E449" s="6" t="s">
        <v>861</v>
      </c>
      <c r="F449" s="6" t="s">
        <v>22</v>
      </c>
      <c r="G449" s="6" t="s">
        <v>23</v>
      </c>
      <c r="H449" s="8">
        <v>46127</v>
      </c>
      <c r="I449" s="8">
        <v>46133</v>
      </c>
      <c r="J449" s="16">
        <f t="shared" si="23"/>
        <v>5</v>
      </c>
      <c r="K449" s="6" t="s">
        <v>295</v>
      </c>
      <c r="L449" s="6" t="s">
        <v>296</v>
      </c>
      <c r="M449" s="6" t="s">
        <v>24</v>
      </c>
      <c r="N449" s="6" t="s">
        <v>191</v>
      </c>
      <c r="O449" s="6">
        <v>1680307</v>
      </c>
      <c r="P449" s="6">
        <v>337653</v>
      </c>
      <c r="Q449" s="12">
        <v>2017960</v>
      </c>
      <c r="R449" s="8">
        <v>46195</v>
      </c>
      <c r="S449" s="16">
        <f t="shared" si="24"/>
        <v>49</v>
      </c>
      <c r="T449" s="6" t="s">
        <v>858</v>
      </c>
      <c r="U449" s="6" t="s">
        <v>537</v>
      </c>
    </row>
    <row r="450" spans="1:21" x14ac:dyDescent="0.35">
      <c r="A450" s="6" t="s">
        <v>561</v>
      </c>
      <c r="B450" s="6" t="s">
        <v>43</v>
      </c>
      <c r="C450" s="6">
        <v>58635674</v>
      </c>
      <c r="D450" s="6" t="s">
        <v>35</v>
      </c>
      <c r="E450" s="6" t="s">
        <v>862</v>
      </c>
      <c r="F450" s="6" t="s">
        <v>22</v>
      </c>
      <c r="G450" s="6" t="s">
        <v>40</v>
      </c>
      <c r="H450" s="8">
        <v>46077</v>
      </c>
      <c r="I450" s="8">
        <v>46133</v>
      </c>
      <c r="J450" s="16">
        <f t="shared" ref="J450:J467" si="26">+NETWORKDAYS(H450,I450)</f>
        <v>41</v>
      </c>
      <c r="K450" s="6" t="s">
        <v>295</v>
      </c>
      <c r="L450" s="6" t="s">
        <v>296</v>
      </c>
      <c r="M450" s="6" t="s">
        <v>24</v>
      </c>
      <c r="N450" s="6" t="s">
        <v>191</v>
      </c>
      <c r="O450" s="6">
        <v>1680307</v>
      </c>
      <c r="P450" s="6">
        <v>337653</v>
      </c>
      <c r="Q450" s="12">
        <v>2017960</v>
      </c>
      <c r="R450" s="8">
        <v>46195</v>
      </c>
      <c r="S450" s="16">
        <f t="shared" ref="S450:S467" si="27">NETWORKDAYS(H450,R450)</f>
        <v>85</v>
      </c>
      <c r="T450" s="6" t="s">
        <v>858</v>
      </c>
      <c r="U450" s="6" t="s">
        <v>537</v>
      </c>
    </row>
    <row r="451" spans="1:21" x14ac:dyDescent="0.35">
      <c r="A451" s="6" t="s">
        <v>863</v>
      </c>
      <c r="B451" s="6" t="s">
        <v>30</v>
      </c>
      <c r="C451" s="6">
        <v>62722805</v>
      </c>
      <c r="D451" s="6" t="s">
        <v>20</v>
      </c>
      <c r="E451" s="6">
        <v>2722484520</v>
      </c>
      <c r="F451" s="6" t="s">
        <v>32</v>
      </c>
      <c r="G451" s="6" t="s">
        <v>23</v>
      </c>
      <c r="H451" s="8">
        <v>46146</v>
      </c>
      <c r="I451" s="8">
        <v>46195</v>
      </c>
      <c r="J451" s="16">
        <f t="shared" si="26"/>
        <v>36</v>
      </c>
      <c r="K451" s="6" t="s">
        <v>295</v>
      </c>
      <c r="L451" s="6" t="s">
        <v>302</v>
      </c>
      <c r="M451" s="6" t="s">
        <v>24</v>
      </c>
      <c r="N451" s="6" t="s">
        <v>33</v>
      </c>
      <c r="O451" s="6">
        <v>150000</v>
      </c>
      <c r="P451" s="6">
        <v>40000</v>
      </c>
      <c r="Q451" s="12">
        <v>190000</v>
      </c>
      <c r="R451" s="8">
        <v>46195</v>
      </c>
      <c r="S451" s="16">
        <f t="shared" si="27"/>
        <v>36</v>
      </c>
      <c r="T451" s="6" t="s">
        <v>858</v>
      </c>
      <c r="U451" s="6" t="s">
        <v>537</v>
      </c>
    </row>
    <row r="452" spans="1:21" x14ac:dyDescent="0.35">
      <c r="A452" s="6" t="s">
        <v>852</v>
      </c>
      <c r="B452" s="6" t="s">
        <v>19</v>
      </c>
      <c r="C452" s="6">
        <v>64705061</v>
      </c>
      <c r="D452" s="6" t="s">
        <v>20</v>
      </c>
      <c r="E452" s="6" t="s">
        <v>864</v>
      </c>
      <c r="F452" s="6" t="s">
        <v>22</v>
      </c>
      <c r="G452" s="6" t="s">
        <v>23</v>
      </c>
      <c r="H452" s="8">
        <v>46184</v>
      </c>
      <c r="I452" s="8">
        <v>46192</v>
      </c>
      <c r="J452" s="16">
        <f t="shared" si="26"/>
        <v>7</v>
      </c>
      <c r="K452" s="6" t="s">
        <v>295</v>
      </c>
      <c r="L452" s="6" t="s">
        <v>296</v>
      </c>
      <c r="M452" s="6" t="s">
        <v>24</v>
      </c>
      <c r="N452" s="6" t="s">
        <v>146</v>
      </c>
      <c r="O452" s="6">
        <v>0</v>
      </c>
      <c r="P452" s="6">
        <v>0</v>
      </c>
      <c r="Q452" s="12">
        <v>0</v>
      </c>
      <c r="R452" s="8">
        <v>46195</v>
      </c>
      <c r="S452" s="16">
        <f t="shared" si="27"/>
        <v>8</v>
      </c>
      <c r="T452" s="6" t="s">
        <v>858</v>
      </c>
      <c r="U452" s="6" t="s">
        <v>433</v>
      </c>
    </row>
    <row r="453" spans="1:21" x14ac:dyDescent="0.35">
      <c r="A453" s="6" t="s">
        <v>852</v>
      </c>
      <c r="B453" s="6" t="s">
        <v>19</v>
      </c>
      <c r="C453" s="6">
        <v>64704377</v>
      </c>
      <c r="D453" s="6" t="s">
        <v>20</v>
      </c>
      <c r="E453" s="6" t="s">
        <v>865</v>
      </c>
      <c r="F453" s="6" t="s">
        <v>22</v>
      </c>
      <c r="G453" s="6" t="s">
        <v>23</v>
      </c>
      <c r="H453" s="8">
        <v>46184</v>
      </c>
      <c r="I453" s="8">
        <v>46195</v>
      </c>
      <c r="J453" s="16">
        <f t="shared" si="26"/>
        <v>8</v>
      </c>
      <c r="K453" s="6" t="s">
        <v>295</v>
      </c>
      <c r="L453" s="6" t="s">
        <v>296</v>
      </c>
      <c r="M453" s="6" t="s">
        <v>24</v>
      </c>
      <c r="N453" s="6" t="s">
        <v>875</v>
      </c>
      <c r="O453" s="6">
        <v>0</v>
      </c>
      <c r="P453" s="6">
        <v>0</v>
      </c>
      <c r="Q453" s="12">
        <v>0</v>
      </c>
      <c r="R453" s="8">
        <v>46196</v>
      </c>
      <c r="S453" s="16">
        <f t="shared" si="27"/>
        <v>9</v>
      </c>
      <c r="T453" s="6" t="s">
        <v>858</v>
      </c>
      <c r="U453" s="6" t="s">
        <v>433</v>
      </c>
    </row>
    <row r="454" spans="1:21" x14ac:dyDescent="0.35">
      <c r="A454" s="6" t="s">
        <v>866</v>
      </c>
      <c r="B454" s="6" t="s">
        <v>19</v>
      </c>
      <c r="C454" s="6">
        <v>64667196</v>
      </c>
      <c r="D454" s="6" t="s">
        <v>867</v>
      </c>
      <c r="E454" s="6" t="s">
        <v>868</v>
      </c>
      <c r="F454" s="6" t="s">
        <v>46</v>
      </c>
      <c r="G454" s="6" t="s">
        <v>23</v>
      </c>
      <c r="H454" s="8">
        <v>46183</v>
      </c>
      <c r="I454" s="8">
        <v>46196</v>
      </c>
      <c r="J454" s="16">
        <f t="shared" si="26"/>
        <v>10</v>
      </c>
      <c r="K454" s="6" t="s">
        <v>295</v>
      </c>
      <c r="L454" s="6" t="s">
        <v>296</v>
      </c>
      <c r="M454" s="6" t="s">
        <v>24</v>
      </c>
      <c r="N454" s="6" t="s">
        <v>103</v>
      </c>
      <c r="O454" s="6">
        <v>1000000</v>
      </c>
      <c r="P454" s="6">
        <v>500000</v>
      </c>
      <c r="Q454" s="12">
        <v>1500000</v>
      </c>
      <c r="R454" s="8">
        <v>46196</v>
      </c>
      <c r="S454" s="16">
        <f t="shared" si="27"/>
        <v>10</v>
      </c>
      <c r="T454" s="6" t="s">
        <v>858</v>
      </c>
      <c r="U454" s="6" t="s">
        <v>537</v>
      </c>
    </row>
    <row r="455" spans="1:21" x14ac:dyDescent="0.35">
      <c r="A455" s="6" t="s">
        <v>852</v>
      </c>
      <c r="B455" s="6" t="s">
        <v>19</v>
      </c>
      <c r="C455" s="6">
        <v>64704719</v>
      </c>
      <c r="D455" s="6" t="s">
        <v>20</v>
      </c>
      <c r="E455" s="6" t="s">
        <v>869</v>
      </c>
      <c r="F455" s="6" t="s">
        <v>22</v>
      </c>
      <c r="G455" s="6" t="s">
        <v>23</v>
      </c>
      <c r="H455" s="8">
        <v>46184</v>
      </c>
      <c r="I455" s="8">
        <v>46197</v>
      </c>
      <c r="J455" s="16">
        <f t="shared" si="26"/>
        <v>10</v>
      </c>
      <c r="K455" s="6" t="s">
        <v>295</v>
      </c>
      <c r="L455" s="6" t="s">
        <v>296</v>
      </c>
      <c r="M455" s="6" t="s">
        <v>24</v>
      </c>
      <c r="N455" s="6" t="s">
        <v>876</v>
      </c>
      <c r="O455" s="6">
        <v>0</v>
      </c>
      <c r="P455" s="6">
        <v>0</v>
      </c>
      <c r="Q455" s="12">
        <v>0</v>
      </c>
      <c r="R455" s="8">
        <v>46197</v>
      </c>
      <c r="S455" s="16">
        <f t="shared" si="27"/>
        <v>10</v>
      </c>
      <c r="T455" s="6" t="s">
        <v>858</v>
      </c>
      <c r="U455" s="6" t="s">
        <v>433</v>
      </c>
    </row>
    <row r="456" spans="1:21" x14ac:dyDescent="0.35">
      <c r="A456" s="6" t="s">
        <v>852</v>
      </c>
      <c r="B456" s="6" t="s">
        <v>19</v>
      </c>
      <c r="C456" s="6">
        <v>64710582</v>
      </c>
      <c r="D456" s="6" t="s">
        <v>20</v>
      </c>
      <c r="E456" s="6" t="s">
        <v>870</v>
      </c>
      <c r="F456" s="6" t="s">
        <v>46</v>
      </c>
      <c r="G456" s="6" t="s">
        <v>23</v>
      </c>
      <c r="H456" s="8">
        <v>46183</v>
      </c>
      <c r="I456" s="8">
        <v>46191</v>
      </c>
      <c r="J456" s="16">
        <f t="shared" si="26"/>
        <v>7</v>
      </c>
      <c r="K456" s="6" t="s">
        <v>295</v>
      </c>
      <c r="L456" s="6" t="s">
        <v>296</v>
      </c>
      <c r="M456" s="6" t="s">
        <v>24</v>
      </c>
      <c r="N456" s="6" t="s">
        <v>169</v>
      </c>
      <c r="O456" s="6">
        <v>0</v>
      </c>
      <c r="P456" s="6">
        <v>0</v>
      </c>
      <c r="Q456" s="12">
        <v>0</v>
      </c>
      <c r="R456" s="8">
        <v>46197</v>
      </c>
      <c r="S456" s="16">
        <f t="shared" si="27"/>
        <v>11</v>
      </c>
      <c r="T456" s="6" t="s">
        <v>858</v>
      </c>
      <c r="U456" s="6" t="s">
        <v>433</v>
      </c>
    </row>
    <row r="457" spans="1:21" x14ac:dyDescent="0.35">
      <c r="A457" s="6" t="s">
        <v>871</v>
      </c>
      <c r="B457" s="6" t="s">
        <v>19</v>
      </c>
      <c r="C457" s="6">
        <v>63462158</v>
      </c>
      <c r="D457" s="6" t="s">
        <v>872</v>
      </c>
      <c r="E457" s="6" t="s">
        <v>873</v>
      </c>
      <c r="F457" s="6" t="s">
        <v>190</v>
      </c>
      <c r="G457" s="6" t="s">
        <v>23</v>
      </c>
      <c r="H457" s="8">
        <v>46160</v>
      </c>
      <c r="I457" s="8">
        <v>46195</v>
      </c>
      <c r="J457" s="16">
        <f t="shared" si="26"/>
        <v>26</v>
      </c>
      <c r="K457" s="6" t="s">
        <v>295</v>
      </c>
      <c r="L457" s="6" t="s">
        <v>296</v>
      </c>
      <c r="M457" s="6" t="s">
        <v>24</v>
      </c>
      <c r="N457" s="6" t="s">
        <v>103</v>
      </c>
      <c r="O457" s="6">
        <v>518450</v>
      </c>
      <c r="P457" s="6">
        <v>452727</v>
      </c>
      <c r="Q457" s="12">
        <v>971177</v>
      </c>
      <c r="R457" s="8">
        <v>46197</v>
      </c>
      <c r="S457" s="16">
        <f t="shared" si="27"/>
        <v>28</v>
      </c>
      <c r="T457" s="6" t="s">
        <v>858</v>
      </c>
      <c r="U457" s="6" t="s">
        <v>537</v>
      </c>
    </row>
    <row r="458" spans="1:21" x14ac:dyDescent="0.35">
      <c r="A458" s="6" t="s">
        <v>852</v>
      </c>
      <c r="B458" s="6" t="s">
        <v>19</v>
      </c>
      <c r="C458" s="6">
        <v>64727926</v>
      </c>
      <c r="D458" s="6" t="s">
        <v>20</v>
      </c>
      <c r="E458" s="6" t="s">
        <v>874</v>
      </c>
      <c r="F458" s="6" t="s">
        <v>22</v>
      </c>
      <c r="G458" s="6" t="s">
        <v>23</v>
      </c>
      <c r="H458" s="8">
        <v>46184</v>
      </c>
      <c r="I458" s="8">
        <v>46195</v>
      </c>
      <c r="J458" s="16">
        <f t="shared" si="26"/>
        <v>8</v>
      </c>
      <c r="K458" s="6" t="s">
        <v>295</v>
      </c>
      <c r="L458" s="6" t="s">
        <v>296</v>
      </c>
      <c r="M458" s="6" t="s">
        <v>24</v>
      </c>
      <c r="N458" s="6" t="s">
        <v>254</v>
      </c>
      <c r="O458" s="6">
        <v>0</v>
      </c>
      <c r="P458" s="6">
        <v>0</v>
      </c>
      <c r="Q458" s="12">
        <v>0</v>
      </c>
      <c r="R458" s="8">
        <v>46197</v>
      </c>
      <c r="S458" s="16">
        <f t="shared" si="27"/>
        <v>10</v>
      </c>
      <c r="T458" s="6" t="s">
        <v>858</v>
      </c>
      <c r="U458" s="6" t="s">
        <v>433</v>
      </c>
    </row>
    <row r="459" spans="1:21" x14ac:dyDescent="0.35">
      <c r="A459" s="6" t="s">
        <v>877</v>
      </c>
      <c r="B459" s="55" t="s">
        <v>19</v>
      </c>
      <c r="C459" s="55">
        <v>64298334</v>
      </c>
      <c r="D459" s="55" t="s">
        <v>35</v>
      </c>
      <c r="E459" s="55" t="s">
        <v>878</v>
      </c>
      <c r="F459" s="55" t="s">
        <v>22</v>
      </c>
      <c r="G459" s="55" t="s">
        <v>23</v>
      </c>
      <c r="H459" s="56">
        <v>46176</v>
      </c>
      <c r="I459" s="56">
        <v>46195</v>
      </c>
      <c r="J459" s="16">
        <f t="shared" si="26"/>
        <v>14</v>
      </c>
      <c r="K459" s="6" t="s">
        <v>295</v>
      </c>
      <c r="L459" s="6" t="s">
        <v>296</v>
      </c>
      <c r="M459" s="6" t="s">
        <v>24</v>
      </c>
      <c r="N459" s="6" t="s">
        <v>191</v>
      </c>
      <c r="O459" s="6">
        <v>1000000</v>
      </c>
      <c r="P459" s="6">
        <v>300000</v>
      </c>
      <c r="Q459" s="12">
        <v>1300000</v>
      </c>
      <c r="R459" s="8">
        <v>46197</v>
      </c>
      <c r="S459" s="16">
        <f t="shared" si="27"/>
        <v>16</v>
      </c>
      <c r="T459" s="55" t="s">
        <v>858</v>
      </c>
      <c r="U459" s="55" t="s">
        <v>537</v>
      </c>
    </row>
    <row r="460" spans="1:21" x14ac:dyDescent="0.35">
      <c r="A460" s="6" t="s">
        <v>879</v>
      </c>
      <c r="B460" s="55" t="s">
        <v>30</v>
      </c>
      <c r="C460" s="55">
        <v>64159836</v>
      </c>
      <c r="D460" s="55" t="s">
        <v>880</v>
      </c>
      <c r="E460" s="55">
        <v>2722220380</v>
      </c>
      <c r="F460" s="55" t="s">
        <v>32</v>
      </c>
      <c r="G460" s="55" t="s">
        <v>23</v>
      </c>
      <c r="H460" s="56">
        <v>46174</v>
      </c>
      <c r="I460" s="56">
        <v>46191</v>
      </c>
      <c r="J460" s="16">
        <f t="shared" si="26"/>
        <v>14</v>
      </c>
      <c r="K460" s="6" t="s">
        <v>295</v>
      </c>
      <c r="L460" s="6" t="s">
        <v>296</v>
      </c>
      <c r="M460" s="6" t="s">
        <v>24</v>
      </c>
      <c r="N460" s="6" t="s">
        <v>33</v>
      </c>
      <c r="O460" s="6">
        <v>150000</v>
      </c>
      <c r="P460" s="6">
        <v>40000</v>
      </c>
      <c r="Q460" s="12">
        <v>190000</v>
      </c>
      <c r="R460" s="8">
        <v>46197</v>
      </c>
      <c r="S460" s="16">
        <f t="shared" si="27"/>
        <v>18</v>
      </c>
      <c r="T460" s="55" t="s">
        <v>858</v>
      </c>
      <c r="U460" s="55" t="s">
        <v>537</v>
      </c>
    </row>
    <row r="461" spans="1:21" x14ac:dyDescent="0.35">
      <c r="A461" s="6" t="s">
        <v>881</v>
      </c>
      <c r="B461" s="55" t="s">
        <v>19</v>
      </c>
      <c r="C461" s="55">
        <v>65429104</v>
      </c>
      <c r="D461" s="55" t="s">
        <v>20</v>
      </c>
      <c r="E461" s="55" t="s">
        <v>882</v>
      </c>
      <c r="F461" s="55" t="s">
        <v>46</v>
      </c>
      <c r="G461" s="55" t="s">
        <v>23</v>
      </c>
      <c r="H461" s="56">
        <v>46197</v>
      </c>
      <c r="I461" s="56">
        <v>46198</v>
      </c>
      <c r="J461" s="16">
        <f t="shared" si="26"/>
        <v>2</v>
      </c>
      <c r="K461" s="6" t="s">
        <v>295</v>
      </c>
      <c r="L461" s="6" t="s">
        <v>296</v>
      </c>
      <c r="M461" s="6" t="s">
        <v>24</v>
      </c>
      <c r="N461" s="6" t="s">
        <v>28</v>
      </c>
      <c r="O461" s="6">
        <v>2800000</v>
      </c>
      <c r="P461" s="6">
        <v>0</v>
      </c>
      <c r="Q461" s="12">
        <v>2800000</v>
      </c>
      <c r="R461" s="8">
        <v>46198</v>
      </c>
      <c r="S461" s="16">
        <f t="shared" si="27"/>
        <v>2</v>
      </c>
      <c r="T461" s="6" t="s">
        <v>858</v>
      </c>
      <c r="U461" s="6" t="s">
        <v>537</v>
      </c>
    </row>
    <row r="462" spans="1:21" x14ac:dyDescent="0.35">
      <c r="A462" s="6" t="s">
        <v>852</v>
      </c>
      <c r="B462" s="55" t="s">
        <v>19</v>
      </c>
      <c r="C462" s="55">
        <v>64710297</v>
      </c>
      <c r="D462" s="55" t="s">
        <v>20</v>
      </c>
      <c r="E462" s="55" t="s">
        <v>883</v>
      </c>
      <c r="F462" s="55" t="s">
        <v>46</v>
      </c>
      <c r="G462" s="55" t="s">
        <v>23</v>
      </c>
      <c r="H462" s="56">
        <v>46184</v>
      </c>
      <c r="I462" s="56">
        <v>46192</v>
      </c>
      <c r="J462" s="16">
        <f t="shared" si="26"/>
        <v>7</v>
      </c>
      <c r="K462" s="6" t="s">
        <v>295</v>
      </c>
      <c r="L462" s="6" t="s">
        <v>296</v>
      </c>
      <c r="M462" s="6" t="s">
        <v>24</v>
      </c>
      <c r="N462" s="6" t="s">
        <v>38</v>
      </c>
      <c r="O462" s="6">
        <v>0</v>
      </c>
      <c r="P462" s="6">
        <v>0</v>
      </c>
      <c r="Q462" s="12">
        <v>0</v>
      </c>
      <c r="R462" s="8">
        <v>46198</v>
      </c>
      <c r="S462" s="16">
        <f t="shared" si="27"/>
        <v>11</v>
      </c>
      <c r="T462" s="6" t="s">
        <v>858</v>
      </c>
      <c r="U462" s="6" t="s">
        <v>433</v>
      </c>
    </row>
    <row r="463" spans="1:21" x14ac:dyDescent="0.35">
      <c r="A463" s="6" t="s">
        <v>884</v>
      </c>
      <c r="B463" s="55" t="s">
        <v>30</v>
      </c>
      <c r="C463" s="55">
        <v>62551370</v>
      </c>
      <c r="D463" s="55" t="s">
        <v>885</v>
      </c>
      <c r="E463" s="55">
        <v>2722560050</v>
      </c>
      <c r="F463" s="55" t="s">
        <v>32</v>
      </c>
      <c r="G463" s="55" t="s">
        <v>23</v>
      </c>
      <c r="H463" s="56">
        <v>46142</v>
      </c>
      <c r="I463" s="56">
        <v>46154</v>
      </c>
      <c r="J463" s="16">
        <f t="shared" si="26"/>
        <v>9</v>
      </c>
      <c r="K463" s="6" t="s">
        <v>295</v>
      </c>
      <c r="L463" s="6" t="s">
        <v>296</v>
      </c>
      <c r="M463" s="6" t="s">
        <v>24</v>
      </c>
      <c r="N463" s="6" t="s">
        <v>56</v>
      </c>
      <c r="O463" s="6">
        <v>270000</v>
      </c>
      <c r="P463" s="6">
        <v>71435</v>
      </c>
      <c r="Q463" s="12">
        <v>341435</v>
      </c>
      <c r="R463" s="8">
        <v>46198</v>
      </c>
      <c r="S463" s="16">
        <f t="shared" si="27"/>
        <v>41</v>
      </c>
      <c r="T463" s="6" t="s">
        <v>858</v>
      </c>
      <c r="U463" s="6" t="s">
        <v>537</v>
      </c>
    </row>
    <row r="464" spans="1:21" x14ac:dyDescent="0.35">
      <c r="A464" s="6" t="s">
        <v>886</v>
      </c>
      <c r="B464" s="55" t="s">
        <v>30</v>
      </c>
      <c r="C464" s="55">
        <v>62760027</v>
      </c>
      <c r="D464" s="55" t="s">
        <v>49</v>
      </c>
      <c r="E464" s="55">
        <v>2721275342</v>
      </c>
      <c r="F464" s="55" t="s">
        <v>32</v>
      </c>
      <c r="G464" s="55" t="s">
        <v>23</v>
      </c>
      <c r="H464" s="56">
        <v>46147</v>
      </c>
      <c r="I464" s="56">
        <v>46187</v>
      </c>
      <c r="J464" s="16">
        <f t="shared" si="26"/>
        <v>29</v>
      </c>
      <c r="K464" s="6" t="s">
        <v>295</v>
      </c>
      <c r="L464" s="6" t="s">
        <v>302</v>
      </c>
      <c r="M464" s="6" t="s">
        <v>24</v>
      </c>
      <c r="N464" s="6" t="s">
        <v>33</v>
      </c>
      <c r="O464" s="6">
        <v>150000</v>
      </c>
      <c r="P464" s="6">
        <v>40000</v>
      </c>
      <c r="Q464" s="12">
        <v>190000</v>
      </c>
      <c r="R464" s="8">
        <v>46198</v>
      </c>
      <c r="S464" s="16">
        <f t="shared" si="27"/>
        <v>38</v>
      </c>
      <c r="T464" s="6" t="s">
        <v>858</v>
      </c>
      <c r="U464" s="6" t="s">
        <v>537</v>
      </c>
    </row>
    <row r="465" spans="1:21" x14ac:dyDescent="0.35">
      <c r="A465" s="6" t="s">
        <v>887</v>
      </c>
      <c r="B465" s="55" t="s">
        <v>43</v>
      </c>
      <c r="C465" s="55">
        <v>64775393</v>
      </c>
      <c r="D465" s="55" t="s">
        <v>20</v>
      </c>
      <c r="E465" s="55" t="s">
        <v>888</v>
      </c>
      <c r="F465" s="55" t="s">
        <v>22</v>
      </c>
      <c r="G465" s="55" t="s">
        <v>40</v>
      </c>
      <c r="H465" s="56">
        <v>46185</v>
      </c>
      <c r="I465" s="56">
        <v>46199</v>
      </c>
      <c r="J465" s="16">
        <f t="shared" si="26"/>
        <v>11</v>
      </c>
      <c r="K465" s="6" t="s">
        <v>295</v>
      </c>
      <c r="L465" s="6" t="s">
        <v>296</v>
      </c>
      <c r="M465" s="6" t="s">
        <v>24</v>
      </c>
      <c r="N465" s="6" t="s">
        <v>146</v>
      </c>
      <c r="O465" s="6">
        <v>0</v>
      </c>
      <c r="P465" s="6">
        <v>0</v>
      </c>
      <c r="Q465" s="12">
        <v>0</v>
      </c>
      <c r="R465" s="8">
        <v>46199</v>
      </c>
      <c r="S465" s="16">
        <f t="shared" si="27"/>
        <v>11</v>
      </c>
      <c r="T465" s="6" t="s">
        <v>858</v>
      </c>
      <c r="U465" s="6" t="s">
        <v>537</v>
      </c>
    </row>
    <row r="466" spans="1:21" x14ac:dyDescent="0.35">
      <c r="A466" s="6" t="s">
        <v>889</v>
      </c>
      <c r="B466" s="55" t="s">
        <v>30</v>
      </c>
      <c r="C466" s="55">
        <v>63477655</v>
      </c>
      <c r="D466" s="55" t="s">
        <v>890</v>
      </c>
      <c r="E466" s="55">
        <v>2721712160</v>
      </c>
      <c r="F466" s="55" t="s">
        <v>32</v>
      </c>
      <c r="G466" s="55" t="s">
        <v>23</v>
      </c>
      <c r="H466" s="56">
        <v>46160</v>
      </c>
      <c r="I466" s="56">
        <v>46199</v>
      </c>
      <c r="J466" s="16">
        <f t="shared" si="26"/>
        <v>30</v>
      </c>
      <c r="K466" s="6" t="s">
        <v>295</v>
      </c>
      <c r="L466" s="6" t="s">
        <v>296</v>
      </c>
      <c r="M466" s="6" t="s">
        <v>24</v>
      </c>
      <c r="N466" s="6" t="s">
        <v>56</v>
      </c>
      <c r="O466" s="6">
        <v>270000</v>
      </c>
      <c r="P466" s="6">
        <v>111435</v>
      </c>
      <c r="Q466" s="12">
        <v>381435</v>
      </c>
      <c r="R466" s="8">
        <v>46199</v>
      </c>
      <c r="S466" s="16">
        <f t="shared" si="27"/>
        <v>30</v>
      </c>
      <c r="T466" s="6" t="s">
        <v>858</v>
      </c>
      <c r="U466" s="6" t="s">
        <v>537</v>
      </c>
    </row>
    <row r="467" spans="1:21" x14ac:dyDescent="0.35">
      <c r="A467" s="6" t="s">
        <v>891</v>
      </c>
      <c r="B467" s="55" t="s">
        <v>30</v>
      </c>
      <c r="C467" s="55">
        <v>44970444</v>
      </c>
      <c r="D467" s="55" t="s">
        <v>342</v>
      </c>
      <c r="E467" s="55">
        <v>2723489300</v>
      </c>
      <c r="F467" s="55" t="s">
        <v>32</v>
      </c>
      <c r="G467" s="55" t="s">
        <v>23</v>
      </c>
      <c r="H467" s="56">
        <v>45798</v>
      </c>
      <c r="I467" s="56">
        <v>46043</v>
      </c>
      <c r="J467" s="16">
        <f t="shared" si="26"/>
        <v>176</v>
      </c>
      <c r="K467" s="6" t="s">
        <v>295</v>
      </c>
      <c r="L467" s="6" t="s">
        <v>318</v>
      </c>
      <c r="M467" s="6" t="s">
        <v>24</v>
      </c>
      <c r="N467" s="6" t="s">
        <v>33</v>
      </c>
      <c r="O467" s="6">
        <v>150000</v>
      </c>
      <c r="P467" s="6">
        <v>60000</v>
      </c>
      <c r="Q467" s="12">
        <v>210000</v>
      </c>
      <c r="R467" s="8">
        <v>46199</v>
      </c>
      <c r="S467" s="16">
        <f t="shared" si="27"/>
        <v>288</v>
      </c>
      <c r="T467" s="6" t="s">
        <v>858</v>
      </c>
      <c r="U467" s="6" t="s">
        <v>537</v>
      </c>
    </row>
  </sheetData>
  <autoFilter ref="A1:U467" xr:uid="{00000000-0001-0000-0000-000000000000}"/>
  <conditionalFormatting sqref="C1">
    <cfRule type="duplicateValues" dxfId="93" priority="92"/>
    <cfRule type="duplicateValues" dxfId="92" priority="93"/>
    <cfRule type="duplicateValues" dxfId="91" priority="88"/>
    <cfRule type="duplicateValues" dxfId="90" priority="90"/>
    <cfRule type="duplicateValues" dxfId="89" priority="91"/>
    <cfRule type="duplicateValues" dxfId="88" priority="94"/>
  </conditionalFormatting>
  <conditionalFormatting sqref="C1:C435 C444:C1048576">
    <cfRule type="duplicateValues" dxfId="87" priority="2"/>
  </conditionalFormatting>
  <conditionalFormatting sqref="C1:C1048576">
    <cfRule type="duplicateValues" dxfId="86" priority="1"/>
  </conditionalFormatting>
  <conditionalFormatting sqref="C2:C15 C17:C31">
    <cfRule type="duplicateValues" dxfId="85" priority="69"/>
    <cfRule type="duplicateValues" dxfId="84" priority="68"/>
  </conditionalFormatting>
  <conditionalFormatting sqref="C2:C58">
    <cfRule type="duplicateValues" dxfId="83" priority="48"/>
    <cfRule type="duplicateValues" dxfId="82" priority="49"/>
  </conditionalFormatting>
  <conditionalFormatting sqref="C2:C70">
    <cfRule type="duplicateValues" dxfId="81" priority="46"/>
  </conditionalFormatting>
  <conditionalFormatting sqref="C8">
    <cfRule type="duplicateValues" dxfId="80" priority="67"/>
    <cfRule type="duplicateValues" dxfId="79" priority="66"/>
  </conditionalFormatting>
  <conditionalFormatting sqref="C9">
    <cfRule type="duplicateValues" dxfId="78" priority="65"/>
  </conditionalFormatting>
  <conditionalFormatting sqref="C10">
    <cfRule type="duplicateValues" dxfId="77" priority="64"/>
  </conditionalFormatting>
  <conditionalFormatting sqref="C12">
    <cfRule type="duplicateValues" dxfId="76" priority="63"/>
  </conditionalFormatting>
  <conditionalFormatting sqref="C15">
    <cfRule type="duplicateValues" dxfId="75" priority="62"/>
  </conditionalFormatting>
  <conditionalFormatting sqref="C16">
    <cfRule type="duplicateValues" dxfId="74" priority="54"/>
  </conditionalFormatting>
  <conditionalFormatting sqref="C20:C31">
    <cfRule type="duplicateValues" dxfId="73" priority="61"/>
  </conditionalFormatting>
  <conditionalFormatting sqref="C32">
    <cfRule type="duplicateValues" dxfId="72" priority="59"/>
  </conditionalFormatting>
  <conditionalFormatting sqref="C33:C37">
    <cfRule type="duplicateValues" dxfId="71" priority="58"/>
  </conditionalFormatting>
  <conditionalFormatting sqref="C39">
    <cfRule type="duplicateValues" dxfId="70" priority="56"/>
  </conditionalFormatting>
  <conditionalFormatting sqref="C40">
    <cfRule type="duplicateValues" dxfId="69" priority="55"/>
  </conditionalFormatting>
  <conditionalFormatting sqref="C47">
    <cfRule type="duplicateValues" dxfId="68" priority="52"/>
  </conditionalFormatting>
  <conditionalFormatting sqref="C59:C66">
    <cfRule type="duplicateValues" dxfId="67" priority="47"/>
  </conditionalFormatting>
  <conditionalFormatting sqref="C73">
    <cfRule type="duplicateValues" dxfId="66" priority="45"/>
  </conditionalFormatting>
  <conditionalFormatting sqref="C75">
    <cfRule type="duplicateValues" dxfId="65" priority="44"/>
  </conditionalFormatting>
  <conditionalFormatting sqref="C77">
    <cfRule type="duplicateValues" dxfId="64" priority="87"/>
  </conditionalFormatting>
  <conditionalFormatting sqref="C77:C109 C1">
    <cfRule type="duplicateValues" dxfId="63" priority="96"/>
  </conditionalFormatting>
  <conditionalFormatting sqref="C78">
    <cfRule type="duplicateValues" dxfId="62" priority="86"/>
  </conditionalFormatting>
  <conditionalFormatting sqref="C80:C81">
    <cfRule type="duplicateValues" dxfId="61" priority="85"/>
  </conditionalFormatting>
  <conditionalFormatting sqref="C85">
    <cfRule type="duplicateValues" dxfId="60" priority="84"/>
    <cfRule type="duplicateValues" dxfId="59" priority="83"/>
  </conditionalFormatting>
  <conditionalFormatting sqref="C92">
    <cfRule type="duplicateValues" dxfId="58" priority="82"/>
  </conditionalFormatting>
  <conditionalFormatting sqref="C93">
    <cfRule type="duplicateValues" dxfId="57" priority="81"/>
  </conditionalFormatting>
  <conditionalFormatting sqref="C98">
    <cfRule type="duplicateValues" dxfId="56" priority="79"/>
  </conditionalFormatting>
  <conditionalFormatting sqref="C101">
    <cfRule type="duplicateValues" dxfId="55" priority="78"/>
  </conditionalFormatting>
  <conditionalFormatting sqref="C102">
    <cfRule type="duplicateValues" dxfId="54" priority="77"/>
    <cfRule type="duplicateValues" dxfId="53" priority="76"/>
  </conditionalFormatting>
  <conditionalFormatting sqref="C103:C109">
    <cfRule type="duplicateValues" dxfId="52" priority="75"/>
  </conditionalFormatting>
  <conditionalFormatting sqref="C114">
    <cfRule type="duplicateValues" dxfId="51" priority="73"/>
  </conditionalFormatting>
  <conditionalFormatting sqref="C115">
    <cfRule type="duplicateValues" dxfId="50" priority="72"/>
  </conditionalFormatting>
  <conditionalFormatting sqref="C145">
    <cfRule type="duplicateValues" dxfId="49" priority="43"/>
    <cfRule type="duplicateValues" dxfId="48" priority="42"/>
  </conditionalFormatting>
  <conditionalFormatting sqref="C157:C160">
    <cfRule type="duplicateValues" dxfId="47" priority="102"/>
  </conditionalFormatting>
  <conditionalFormatting sqref="C161:C163">
    <cfRule type="duplicateValues" dxfId="46" priority="40"/>
  </conditionalFormatting>
  <conditionalFormatting sqref="C166">
    <cfRule type="duplicateValues" dxfId="45" priority="39"/>
    <cfRule type="duplicateValues" dxfId="44" priority="38"/>
  </conditionalFormatting>
  <conditionalFormatting sqref="C167">
    <cfRule type="duplicateValues" dxfId="43" priority="37"/>
    <cfRule type="duplicateValues" dxfId="42" priority="36"/>
  </conditionalFormatting>
  <conditionalFormatting sqref="C168">
    <cfRule type="duplicateValues" dxfId="41" priority="35"/>
  </conditionalFormatting>
  <conditionalFormatting sqref="C170">
    <cfRule type="duplicateValues" dxfId="40" priority="34"/>
  </conditionalFormatting>
  <conditionalFormatting sqref="C172">
    <cfRule type="duplicateValues" dxfId="39" priority="30"/>
    <cfRule type="duplicateValues" dxfId="38" priority="31"/>
  </conditionalFormatting>
  <conditionalFormatting sqref="C173">
    <cfRule type="duplicateValues" dxfId="37" priority="29"/>
  </conditionalFormatting>
  <conditionalFormatting sqref="C174">
    <cfRule type="duplicateValues" dxfId="36" priority="28"/>
  </conditionalFormatting>
  <conditionalFormatting sqref="C176">
    <cfRule type="duplicateValues" dxfId="35" priority="25"/>
  </conditionalFormatting>
  <conditionalFormatting sqref="C176:C177">
    <cfRule type="duplicateValues" dxfId="34" priority="26"/>
  </conditionalFormatting>
  <conditionalFormatting sqref="C178">
    <cfRule type="duplicateValues" dxfId="33" priority="24"/>
    <cfRule type="duplicateValues" dxfId="32" priority="23"/>
  </conditionalFormatting>
  <conditionalFormatting sqref="C205:C211">
    <cfRule type="duplicateValues" dxfId="31" priority="16"/>
  </conditionalFormatting>
  <conditionalFormatting sqref="C206">
    <cfRule type="duplicateValues" dxfId="30" priority="17"/>
    <cfRule type="duplicateValues" dxfId="29" priority="18"/>
  </conditionalFormatting>
  <conditionalFormatting sqref="C207">
    <cfRule type="duplicateValues" dxfId="28" priority="19"/>
    <cfRule type="duplicateValues" dxfId="27" priority="20"/>
  </conditionalFormatting>
  <conditionalFormatting sqref="C217:C222">
    <cfRule type="duplicateValues" dxfId="26" priority="14"/>
  </conditionalFormatting>
  <conditionalFormatting sqref="C224:C231">
    <cfRule type="duplicateValues" dxfId="25" priority="13"/>
  </conditionalFormatting>
  <conditionalFormatting sqref="C232:C242">
    <cfRule type="duplicateValues" dxfId="24" priority="10"/>
  </conditionalFormatting>
  <conditionalFormatting sqref="C243:C286 C1:C204 C303:C328 C355:C356 C362:C369 C384:C395 C402:C435 C444:C1048576">
    <cfRule type="duplicateValues" dxfId="23" priority="182"/>
    <cfRule type="duplicateValues" dxfId="22" priority="183"/>
  </conditionalFormatting>
  <conditionalFormatting sqref="C243:C286 C1:C211 C303:C328 C355:C356 C362:C369 C384:C395 C402:C435 C444:C1048576">
    <cfRule type="duplicateValues" dxfId="21" priority="192"/>
  </conditionalFormatting>
  <conditionalFormatting sqref="C243:C286 C1:C231 C303:C328 C355:C356 C362:C369 C384:C395 C402:C435 C444:C1048576">
    <cfRule type="duplicateValues" dxfId="20" priority="197"/>
  </conditionalFormatting>
  <conditionalFormatting sqref="C303:C328 C1:C293 C355:C356 C362:C369 C384:C395 C402:C435 C444:C1048576">
    <cfRule type="duplicateValues" dxfId="19" priority="202"/>
  </conditionalFormatting>
  <conditionalFormatting sqref="C303:C328 C1:C294 C355:C356 C362:C369 C384:C395 C402:C435 C444:C1048576">
    <cfRule type="duplicateValues" dxfId="18" priority="178"/>
  </conditionalFormatting>
  <conditionalFormatting sqref="C340:C346">
    <cfRule type="duplicateValues" dxfId="17" priority="7"/>
  </conditionalFormatting>
  <conditionalFormatting sqref="C370:C380">
    <cfRule type="duplicateValues" dxfId="16" priority="5"/>
  </conditionalFormatting>
  <conditionalFormatting sqref="C383">
    <cfRule type="duplicateValues" dxfId="15" priority="4"/>
  </conditionalFormatting>
  <conditionalFormatting sqref="C384:C395 C1:C369 C402:C435 C444:C1048576">
    <cfRule type="duplicateValues" dxfId="14" priority="6"/>
  </conditionalFormatting>
  <conditionalFormatting sqref="C402:C435 C1:C395 C444:C1048576">
    <cfRule type="duplicateValues" dxfId="13" priority="3"/>
  </conditionalFormatting>
  <conditionalFormatting sqref="E1">
    <cfRule type="duplicateValues" dxfId="12" priority="89"/>
    <cfRule type="duplicateValues" dxfId="11" priority="95"/>
  </conditionalFormatting>
  <conditionalFormatting sqref="E2:E15 E17:E31">
    <cfRule type="duplicateValues" dxfId="10" priority="71"/>
  </conditionalFormatting>
  <conditionalFormatting sqref="E16">
    <cfRule type="duplicateValues" dxfId="9" priority="53"/>
  </conditionalFormatting>
  <conditionalFormatting sqref="E20:E31">
    <cfRule type="duplicateValues" dxfId="8" priority="60"/>
  </conditionalFormatting>
  <conditionalFormatting sqref="E33">
    <cfRule type="duplicateValues" dxfId="7" priority="57"/>
  </conditionalFormatting>
  <conditionalFormatting sqref="E47">
    <cfRule type="duplicateValues" dxfId="6" priority="51"/>
  </conditionalFormatting>
  <conditionalFormatting sqref="E53">
    <cfRule type="duplicateValues" dxfId="5" priority="50"/>
  </conditionalFormatting>
  <conditionalFormatting sqref="E58">
    <cfRule type="duplicateValues" dxfId="4" priority="70"/>
  </conditionalFormatting>
  <conditionalFormatting sqref="E77:E97 E1">
    <cfRule type="duplicateValues" dxfId="3" priority="98"/>
  </conditionalFormatting>
  <conditionalFormatting sqref="E171">
    <cfRule type="duplicateValues" dxfId="2" priority="32"/>
  </conditionalFormatting>
  <conditionalFormatting sqref="E174">
    <cfRule type="duplicateValues" dxfId="1" priority="27"/>
  </conditionalFormatting>
  <conditionalFormatting sqref="E242">
    <cfRule type="duplicateValues" dxfId="0" priority="1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2026-06-26T16:57:42Z</dcterms:modified>
</cp:coreProperties>
</file>