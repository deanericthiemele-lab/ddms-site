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362" documentId="8_{A229127E-4F00-4A53-B430-1D5D94EE020C}" xr6:coauthVersionLast="47" xr6:coauthVersionMax="47" xr10:uidLastSave="{7A188236-36D5-4F2B-8548-22949E8A907B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MES!$A$1:$U$435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27" i="1" l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Q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<sst xmlns="http://schemas.openxmlformats.org/spreadsheetml/2006/main" count="5000" uniqueCount="840">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</sst>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5"/>
  <sheetViews>
    <sheetView tabSelected="1" workbookViewId="0">
      <selection activeCell="Q1" sqref="Q1:Q1048576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11.1796875" bestFit="1" customWidth="1"/>
    <col min="14" max="14" width="7.54296875" customWidth="1"/>
    <col min="15" max="15" width="11.179687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306</v>
      </c>
      <c r="L1" s="13" t="s">
        <v>307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431</v>
      </c>
    </row>
    <row r="2" spans="1:21" ht="29" customHeight="1" x14ac:dyDescent="0.35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 t="shared" ref="J2:J65" si="0">+NETWORKDAYS(H2,I2)</f>
        <v>12</v>
      </c>
      <c r="K2" s="17" t="s">
        <v>295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 t="shared" ref="Q2:Q31" si="1">P2+O2</f>
        <v>1693500</v>
      </c>
      <c r="R2" s="7">
        <v>46072</v>
      </c>
      <c r="S2" s="16">
        <f t="shared" ref="S2:S65" si="2">NETWORKDAYS(H2,R2)</f>
        <v>14</v>
      </c>
      <c r="T2" s="5" t="s">
        <v>120</v>
      </c>
      <c r="U2" s="34" t="s">
        <v>432</v>
      </c>
    </row>
    <row r="3" spans="1:21" ht="29" customHeight="1" x14ac:dyDescent="0.35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 t="shared" si="0"/>
        <v>7</v>
      </c>
      <c r="K3" s="17" t="s">
        <v>295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 t="shared" si="1"/>
        <v>0</v>
      </c>
      <c r="R3" s="7">
        <v>46072</v>
      </c>
      <c r="S3" s="16">
        <f t="shared" si="2"/>
        <v>8</v>
      </c>
      <c r="T3" s="5" t="s">
        <v>120</v>
      </c>
      <c r="U3" s="34" t="s">
        <v>432</v>
      </c>
    </row>
    <row r="4" spans="1:21" ht="29" customHeight="1" x14ac:dyDescent="0.35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 t="shared" si="0"/>
        <v>14</v>
      </c>
      <c r="K4" s="17" t="s">
        <v>295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 t="shared" si="1"/>
        <v>593127</v>
      </c>
      <c r="R4" s="7">
        <v>46072</v>
      </c>
      <c r="S4" s="16">
        <f t="shared" si="2"/>
        <v>16</v>
      </c>
      <c r="T4" s="5" t="s">
        <v>120</v>
      </c>
      <c r="U4" s="34" t="s">
        <v>432</v>
      </c>
    </row>
    <row r="5" spans="1:21" ht="29" customHeight="1" x14ac:dyDescent="0.35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 t="shared" si="0"/>
        <v>12</v>
      </c>
      <c r="K5" s="17" t="s">
        <v>295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 t="shared" si="1"/>
        <v>2257902</v>
      </c>
      <c r="R5" s="7">
        <v>46072</v>
      </c>
      <c r="S5" s="16">
        <f t="shared" si="2"/>
        <v>14</v>
      </c>
      <c r="T5" s="5" t="s">
        <v>120</v>
      </c>
      <c r="U5" s="34" t="s">
        <v>432</v>
      </c>
    </row>
    <row r="6" spans="1:21" ht="29" customHeight="1" x14ac:dyDescent="0.35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 t="shared" si="0"/>
        <v>25</v>
      </c>
      <c r="K6" s="17" t="s">
        <v>295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 t="shared" si="1"/>
        <v>2000000</v>
      </c>
      <c r="R6" s="7">
        <v>46071</v>
      </c>
      <c r="S6" s="16">
        <f t="shared" si="2"/>
        <v>27</v>
      </c>
      <c r="T6" s="5" t="s">
        <v>120</v>
      </c>
      <c r="U6" s="34" t="s">
        <v>432</v>
      </c>
    </row>
    <row r="7" spans="1:21" ht="29" customHeight="1" x14ac:dyDescent="0.35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 t="shared" si="0"/>
        <v>25</v>
      </c>
      <c r="K7" s="17" t="s">
        <v>295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 t="shared" si="1"/>
        <v>2000000</v>
      </c>
      <c r="R7" s="7">
        <v>46071</v>
      </c>
      <c r="S7" s="16">
        <f t="shared" si="2"/>
        <v>27</v>
      </c>
      <c r="T7" s="5" t="s">
        <v>120</v>
      </c>
      <c r="U7" s="34" t="s">
        <v>432</v>
      </c>
    </row>
    <row r="8" spans="1:21" ht="29" customHeight="1" x14ac:dyDescent="0.35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 t="shared" si="0"/>
        <v>23</v>
      </c>
      <c r="K8" s="17" t="s">
        <v>295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 t="shared" si="1"/>
        <v>2300000</v>
      </c>
      <c r="R8" s="7">
        <v>46071</v>
      </c>
      <c r="S8" s="16">
        <f t="shared" si="2"/>
        <v>28</v>
      </c>
      <c r="T8" s="5" t="s">
        <v>120</v>
      </c>
      <c r="U8" s="34" t="s">
        <v>432</v>
      </c>
    </row>
    <row r="9" spans="1:21" ht="29" customHeight="1" x14ac:dyDescent="0.35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 t="shared" si="0"/>
        <v>13</v>
      </c>
      <c r="K9" s="17" t="s">
        <v>295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 t="shared" si="1"/>
        <v>2557954</v>
      </c>
      <c r="R9" s="7">
        <v>46070</v>
      </c>
      <c r="S9" s="16">
        <f t="shared" si="2"/>
        <v>13</v>
      </c>
      <c r="T9" s="5" t="s">
        <v>120</v>
      </c>
      <c r="U9" s="34" t="s">
        <v>432</v>
      </c>
    </row>
    <row r="10" spans="1:21" ht="29" customHeight="1" x14ac:dyDescent="0.35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 t="shared" si="0"/>
        <v>17</v>
      </c>
      <c r="K10" s="17" t="s">
        <v>295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 t="shared" si="1"/>
        <v>210000</v>
      </c>
      <c r="R10" s="7">
        <v>46070</v>
      </c>
      <c r="S10" s="16">
        <f t="shared" si="2"/>
        <v>19</v>
      </c>
      <c r="T10" s="5" t="s">
        <v>120</v>
      </c>
      <c r="U10" s="34" t="s">
        <v>432</v>
      </c>
    </row>
    <row r="11" spans="1:21" ht="29" customHeight="1" x14ac:dyDescent="0.35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 t="shared" si="0"/>
        <v>11</v>
      </c>
      <c r="K11" s="17" t="s">
        <v>295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 t="shared" si="1"/>
        <v>1231750</v>
      </c>
      <c r="R11" s="7">
        <v>46070</v>
      </c>
      <c r="S11" s="16">
        <f t="shared" si="2"/>
        <v>12</v>
      </c>
      <c r="T11" s="5" t="s">
        <v>120</v>
      </c>
      <c r="U11" s="34" t="s">
        <v>432</v>
      </c>
    </row>
    <row r="12" spans="1:21" ht="29" customHeight="1" x14ac:dyDescent="0.35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 t="shared" si="0"/>
        <v>14</v>
      </c>
      <c r="K12" s="17" t="s">
        <v>295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 t="shared" si="1"/>
        <v>1474962</v>
      </c>
      <c r="R12" s="7">
        <v>46070</v>
      </c>
      <c r="S12" s="16">
        <f t="shared" si="2"/>
        <v>19</v>
      </c>
      <c r="T12" s="5" t="s">
        <v>120</v>
      </c>
      <c r="U12" s="34" t="s">
        <v>432</v>
      </c>
    </row>
    <row r="13" spans="1:21" ht="29" customHeight="1" x14ac:dyDescent="0.35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 t="shared" si="0"/>
        <v>26</v>
      </c>
      <c r="K13" s="17" t="s">
        <v>295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 t="shared" si="1"/>
        <v>1498817</v>
      </c>
      <c r="R13" s="7">
        <v>46069</v>
      </c>
      <c r="S13" s="16">
        <f t="shared" si="2"/>
        <v>27</v>
      </c>
      <c r="T13" s="5" t="s">
        <v>120</v>
      </c>
      <c r="U13" s="34" t="s">
        <v>432</v>
      </c>
    </row>
    <row r="14" spans="1:21" ht="29" customHeight="1" x14ac:dyDescent="0.35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 t="shared" si="0"/>
        <v>45</v>
      </c>
      <c r="K14" s="17" t="s">
        <v>295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 t="shared" si="1"/>
        <v>1197454</v>
      </c>
      <c r="R14" s="7">
        <v>46069</v>
      </c>
      <c r="S14" s="16">
        <f t="shared" si="2"/>
        <v>60</v>
      </c>
      <c r="T14" s="5" t="s">
        <v>120</v>
      </c>
      <c r="U14" s="34" t="s">
        <v>432</v>
      </c>
    </row>
    <row r="15" spans="1:21" ht="29" customHeight="1" x14ac:dyDescent="0.35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 t="shared" si="0"/>
        <v>23</v>
      </c>
      <c r="K15" s="17" t="s">
        <v>295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 t="shared" si="1"/>
        <v>838483</v>
      </c>
      <c r="R15" s="7">
        <v>46069</v>
      </c>
      <c r="S15" s="16">
        <f t="shared" si="2"/>
        <v>37</v>
      </c>
      <c r="T15" s="5" t="s">
        <v>120</v>
      </c>
      <c r="U15" s="34" t="s">
        <v>432</v>
      </c>
    </row>
    <row r="16" spans="1:21" ht="29" customHeight="1" x14ac:dyDescent="0.35">
      <c r="A16" s="6" t="s">
        <v>291</v>
      </c>
      <c r="B16" s="6" t="s">
        <v>19</v>
      </c>
      <c r="C16" s="6">
        <v>55409194</v>
      </c>
      <c r="D16" s="6" t="s">
        <v>99</v>
      </c>
      <c r="E16" s="6" t="s">
        <v>292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 t="shared" si="0"/>
        <v>27</v>
      </c>
      <c r="K16" s="17" t="s">
        <v>295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 t="shared" si="1"/>
        <v>1319491</v>
      </c>
      <c r="R16" s="7">
        <v>46052</v>
      </c>
      <c r="S16" s="16">
        <f t="shared" si="2"/>
        <v>32</v>
      </c>
      <c r="T16" s="5" t="s">
        <v>265</v>
      </c>
      <c r="U16" s="34" t="s">
        <v>432</v>
      </c>
    </row>
    <row r="17" spans="1:21" ht="29" customHeight="1" x14ac:dyDescent="0.35">
      <c r="A17" s="1" t="s">
        <v>283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 t="shared" si="0"/>
        <v>3</v>
      </c>
      <c r="K17" s="17" t="s">
        <v>295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 t="shared" si="1"/>
        <v>381435</v>
      </c>
      <c r="R17" s="7">
        <v>46051</v>
      </c>
      <c r="S17" s="16">
        <f t="shared" si="2"/>
        <v>4</v>
      </c>
      <c r="T17" s="5" t="s">
        <v>265</v>
      </c>
      <c r="U17" s="34" t="s">
        <v>432</v>
      </c>
    </row>
    <row r="18" spans="1:21" ht="29" customHeight="1" x14ac:dyDescent="0.35">
      <c r="A18" s="1" t="s">
        <v>284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 t="shared" si="0"/>
        <v>5</v>
      </c>
      <c r="K18" s="17" t="s">
        <v>344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 t="shared" si="1"/>
        <v>210000</v>
      </c>
      <c r="R18" s="7">
        <v>46051</v>
      </c>
      <c r="S18" s="16">
        <f t="shared" si="2"/>
        <v>6</v>
      </c>
      <c r="T18" s="5" t="s">
        <v>265</v>
      </c>
      <c r="U18" s="34" t="s">
        <v>432</v>
      </c>
    </row>
    <row r="19" spans="1:21" ht="29" customHeight="1" x14ac:dyDescent="0.35">
      <c r="A19" s="6" t="s">
        <v>89</v>
      </c>
      <c r="B19" s="6" t="s">
        <v>19</v>
      </c>
      <c r="C19" s="28">
        <v>52573790</v>
      </c>
      <c r="D19" s="6" t="s">
        <v>268</v>
      </c>
      <c r="E19" s="6" t="s">
        <v>285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 t="shared" si="0"/>
        <v>64</v>
      </c>
      <c r="K19" s="17" t="s">
        <v>295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 t="shared" si="1"/>
        <v>217691</v>
      </c>
      <c r="R19" s="7">
        <v>46051</v>
      </c>
      <c r="S19" s="16">
        <f t="shared" si="2"/>
        <v>72</v>
      </c>
      <c r="T19" s="5" t="s">
        <v>265</v>
      </c>
      <c r="U19" s="34" t="s">
        <v>433</v>
      </c>
    </row>
    <row r="20" spans="1:21" ht="29" customHeight="1" x14ac:dyDescent="0.35">
      <c r="A20" s="6" t="s">
        <v>286</v>
      </c>
      <c r="B20" s="6" t="s">
        <v>19</v>
      </c>
      <c r="C20" s="14">
        <v>53798113</v>
      </c>
      <c r="D20" s="6" t="s">
        <v>287</v>
      </c>
      <c r="E20" s="6" t="s">
        <v>288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 t="shared" si="0"/>
        <v>43</v>
      </c>
      <c r="K20" s="17" t="s">
        <v>295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 t="shared" si="1"/>
        <v>1993983</v>
      </c>
      <c r="R20" s="7">
        <v>46051</v>
      </c>
      <c r="S20" s="16">
        <f t="shared" si="2"/>
        <v>50</v>
      </c>
      <c r="T20" s="5" t="s">
        <v>265</v>
      </c>
      <c r="U20" s="34" t="s">
        <v>432</v>
      </c>
    </row>
    <row r="21" spans="1:21" ht="29" customHeight="1" x14ac:dyDescent="0.35">
      <c r="A21" s="6" t="s">
        <v>89</v>
      </c>
      <c r="B21" s="6" t="s">
        <v>19</v>
      </c>
      <c r="C21" s="14">
        <v>52566880</v>
      </c>
      <c r="D21" s="6" t="s">
        <v>289</v>
      </c>
      <c r="E21" s="6" t="s">
        <v>290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 t="shared" si="0"/>
        <v>65</v>
      </c>
      <c r="K21" s="17" t="s">
        <v>295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 t="shared" si="1"/>
        <v>540923</v>
      </c>
      <c r="R21" s="7">
        <v>46051</v>
      </c>
      <c r="S21" s="16">
        <f t="shared" si="2"/>
        <v>70</v>
      </c>
      <c r="T21" s="5" t="s">
        <v>265</v>
      </c>
      <c r="U21" s="34" t="s">
        <v>433</v>
      </c>
    </row>
    <row r="22" spans="1:21" ht="29" customHeight="1" x14ac:dyDescent="0.35">
      <c r="A22" s="6" t="s">
        <v>278</v>
      </c>
      <c r="B22" s="6" t="s">
        <v>19</v>
      </c>
      <c r="C22" s="6">
        <v>56603297</v>
      </c>
      <c r="D22" s="6" t="s">
        <v>35</v>
      </c>
      <c r="E22" s="6" t="s">
        <v>279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 t="shared" si="0"/>
        <v>8</v>
      </c>
      <c r="K22" s="17" t="s">
        <v>295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 t="shared" si="1"/>
        <v>1725090</v>
      </c>
      <c r="R22" s="7">
        <v>46050</v>
      </c>
      <c r="S22" s="16">
        <f t="shared" si="2"/>
        <v>12</v>
      </c>
      <c r="T22" s="5" t="s">
        <v>265</v>
      </c>
      <c r="U22" s="34" t="s">
        <v>432</v>
      </c>
    </row>
    <row r="23" spans="1:21" ht="29" customHeight="1" x14ac:dyDescent="0.35">
      <c r="A23" s="14" t="s">
        <v>280</v>
      </c>
      <c r="B23" s="6" t="s">
        <v>19</v>
      </c>
      <c r="C23" s="6">
        <v>54796984</v>
      </c>
      <c r="D23" s="6" t="s">
        <v>281</v>
      </c>
      <c r="E23" s="6" t="s">
        <v>282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 t="shared" si="0"/>
        <v>36</v>
      </c>
      <c r="K23" s="17" t="s">
        <v>295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 t="shared" si="1"/>
        <v>3276000</v>
      </c>
      <c r="R23" s="7">
        <v>46050</v>
      </c>
      <c r="S23" s="16">
        <f t="shared" si="2"/>
        <v>38</v>
      </c>
      <c r="T23" s="5" t="s">
        <v>265</v>
      </c>
      <c r="U23" s="34" t="s">
        <v>432</v>
      </c>
    </row>
    <row r="24" spans="1:21" ht="29" customHeight="1" x14ac:dyDescent="0.35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266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 t="shared" si="0"/>
        <v>34</v>
      </c>
      <c r="K24" s="17" t="s">
        <v>295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 t="shared" si="1"/>
        <v>200000</v>
      </c>
      <c r="R24" s="7">
        <v>46049</v>
      </c>
      <c r="S24" s="16">
        <f t="shared" si="2"/>
        <v>35</v>
      </c>
      <c r="T24" s="5" t="s">
        <v>265</v>
      </c>
      <c r="U24" s="34" t="s">
        <v>432</v>
      </c>
    </row>
    <row r="25" spans="1:21" ht="29" customHeight="1" x14ac:dyDescent="0.35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267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 t="shared" si="0"/>
        <v>13</v>
      </c>
      <c r="K25" s="17" t="s">
        <v>344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 t="shared" si="1"/>
        <v>200000</v>
      </c>
      <c r="R25" s="7">
        <v>46049</v>
      </c>
      <c r="S25" s="16">
        <f t="shared" si="2"/>
        <v>14</v>
      </c>
      <c r="T25" s="5" t="s">
        <v>265</v>
      </c>
      <c r="U25" s="34" t="s">
        <v>432</v>
      </c>
    </row>
    <row r="26" spans="1:21" ht="29" customHeight="1" x14ac:dyDescent="0.35">
      <c r="A26" s="6" t="s">
        <v>89</v>
      </c>
      <c r="B26" s="6" t="s">
        <v>43</v>
      </c>
      <c r="C26" s="6">
        <v>52447253</v>
      </c>
      <c r="D26" s="6" t="s">
        <v>268</v>
      </c>
      <c r="E26" s="6" t="s">
        <v>269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 t="shared" si="0"/>
        <v>64</v>
      </c>
      <c r="K26" s="17" t="s">
        <v>295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 t="shared" si="1"/>
        <v>170681</v>
      </c>
      <c r="R26" s="7">
        <v>46049</v>
      </c>
      <c r="S26" s="16">
        <f t="shared" si="2"/>
        <v>70</v>
      </c>
      <c r="T26" s="5" t="s">
        <v>265</v>
      </c>
      <c r="U26" s="34" t="s">
        <v>433</v>
      </c>
    </row>
    <row r="27" spans="1:21" ht="29" customHeight="1" x14ac:dyDescent="0.35">
      <c r="A27" s="6" t="s">
        <v>89</v>
      </c>
      <c r="B27" s="6" t="s">
        <v>43</v>
      </c>
      <c r="C27" s="6">
        <v>54226552</v>
      </c>
      <c r="D27" s="6" t="s">
        <v>270</v>
      </c>
      <c r="E27" s="6" t="s">
        <v>271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 t="shared" si="0"/>
        <v>40</v>
      </c>
      <c r="K27" s="17" t="s">
        <v>344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 t="shared" si="1"/>
        <v>546923</v>
      </c>
      <c r="R27" s="7">
        <v>46049</v>
      </c>
      <c r="S27" s="16">
        <f t="shared" si="2"/>
        <v>43</v>
      </c>
      <c r="T27" s="5" t="s">
        <v>265</v>
      </c>
      <c r="U27" s="34" t="s">
        <v>433</v>
      </c>
    </row>
    <row r="28" spans="1:21" ht="29" customHeight="1" x14ac:dyDescent="0.35">
      <c r="A28" s="6" t="s">
        <v>89</v>
      </c>
      <c r="B28" s="6" t="s">
        <v>43</v>
      </c>
      <c r="C28" s="19">
        <v>52396779</v>
      </c>
      <c r="D28" s="6" t="s">
        <v>272</v>
      </c>
      <c r="E28" s="6" t="s">
        <v>273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 t="shared" si="0"/>
        <v>13</v>
      </c>
      <c r="K28" s="17" t="s">
        <v>295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 t="shared" si="1"/>
        <v>92730</v>
      </c>
      <c r="R28" s="7">
        <v>46049</v>
      </c>
      <c r="S28" s="16">
        <f t="shared" si="2"/>
        <v>26</v>
      </c>
      <c r="T28" s="5" t="s">
        <v>265</v>
      </c>
      <c r="U28" s="34" t="s">
        <v>433</v>
      </c>
    </row>
    <row r="29" spans="1:21" ht="29" customHeight="1" x14ac:dyDescent="0.35">
      <c r="A29" s="6" t="s">
        <v>274</v>
      </c>
      <c r="B29" s="6" t="s">
        <v>43</v>
      </c>
      <c r="C29" s="6">
        <v>54135373</v>
      </c>
      <c r="D29" s="6" t="s">
        <v>275</v>
      </c>
      <c r="E29" s="6" t="s">
        <v>276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 t="shared" si="0"/>
        <v>46</v>
      </c>
      <c r="K29" s="17" t="s">
        <v>295</v>
      </c>
      <c r="L29" s="22"/>
      <c r="M29" s="5" t="s">
        <v>24</v>
      </c>
      <c r="N29" s="6" t="s">
        <v>193</v>
      </c>
      <c r="O29" s="30">
        <v>855000</v>
      </c>
      <c r="P29" s="30">
        <v>196700</v>
      </c>
      <c r="Q29" s="31">
        <f t="shared" si="1"/>
        <v>1051700</v>
      </c>
      <c r="R29" s="7">
        <v>46049</v>
      </c>
      <c r="S29" s="16">
        <f t="shared" si="2"/>
        <v>46</v>
      </c>
      <c r="T29" s="5" t="s">
        <v>265</v>
      </c>
      <c r="U29" s="34" t="s">
        <v>432</v>
      </c>
    </row>
    <row r="30" spans="1:21" ht="29" customHeight="1" x14ac:dyDescent="0.35">
      <c r="A30" s="1" t="s">
        <v>277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 t="shared" si="0"/>
        <v>11</v>
      </c>
      <c r="K30" s="17" t="s">
        <v>295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 t="shared" si="1"/>
        <v>210000</v>
      </c>
      <c r="R30" s="7">
        <v>46049</v>
      </c>
      <c r="S30" s="16">
        <f t="shared" si="2"/>
        <v>12</v>
      </c>
      <c r="T30" s="5" t="s">
        <v>265</v>
      </c>
      <c r="U30" s="34" t="s">
        <v>432</v>
      </c>
    </row>
    <row r="31" spans="1:21" ht="29" customHeight="1" x14ac:dyDescent="0.35">
      <c r="A31" s="6" t="s">
        <v>263</v>
      </c>
      <c r="B31" s="6" t="s">
        <v>19</v>
      </c>
      <c r="C31" s="14">
        <v>52894293</v>
      </c>
      <c r="D31" s="6" t="s">
        <v>20</v>
      </c>
      <c r="E31" s="6" t="s">
        <v>264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 t="shared" si="0"/>
        <v>59</v>
      </c>
      <c r="K31" s="17" t="s">
        <v>295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 t="shared" si="1"/>
        <v>2182725</v>
      </c>
      <c r="R31" s="7">
        <v>46048</v>
      </c>
      <c r="S31" s="16">
        <f t="shared" si="2"/>
        <v>62</v>
      </c>
      <c r="T31" s="5" t="s">
        <v>265</v>
      </c>
      <c r="U31" s="34" t="s">
        <v>432</v>
      </c>
    </row>
    <row r="32" spans="1:21" ht="29" customHeight="1" x14ac:dyDescent="0.35">
      <c r="A32" s="6" t="s">
        <v>776</v>
      </c>
      <c r="B32" s="55" t="s">
        <v>43</v>
      </c>
      <c r="C32" s="55">
        <v>61220160</v>
      </c>
      <c r="D32" s="55" t="s">
        <v>55</v>
      </c>
      <c r="E32" s="55" t="s">
        <v>777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 t="shared" si="0"/>
        <v>28</v>
      </c>
      <c r="K32" s="6" t="s">
        <v>295</v>
      </c>
      <c r="L32" s="6" t="s">
        <v>296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 t="shared" si="2"/>
        <v>40</v>
      </c>
      <c r="T32" s="6" t="s">
        <v>785</v>
      </c>
      <c r="U32" s="6" t="s">
        <v>537</v>
      </c>
    </row>
    <row r="33" spans="1:21" ht="29" customHeight="1" x14ac:dyDescent="0.35">
      <c r="A33" s="6" t="s">
        <v>778</v>
      </c>
      <c r="B33" s="55" t="s">
        <v>19</v>
      </c>
      <c r="C33" s="55">
        <v>64023674</v>
      </c>
      <c r="D33" s="55" t="s">
        <v>49</v>
      </c>
      <c r="E33" s="55" t="s">
        <v>779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 t="shared" si="0"/>
        <v>2</v>
      </c>
      <c r="K33" s="6" t="s">
        <v>295</v>
      </c>
      <c r="L33" s="6" t="s">
        <v>296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 t="shared" si="2"/>
        <v>3</v>
      </c>
      <c r="T33" s="6" t="s">
        <v>785</v>
      </c>
      <c r="U33" s="6" t="s">
        <v>537</v>
      </c>
    </row>
    <row r="34" spans="1:21" ht="29" customHeight="1" x14ac:dyDescent="0.35">
      <c r="A34" s="6" t="s">
        <v>760</v>
      </c>
      <c r="B34" s="55" t="s">
        <v>19</v>
      </c>
      <c r="C34" s="55">
        <v>62344830</v>
      </c>
      <c r="D34" s="55" t="s">
        <v>20</v>
      </c>
      <c r="E34" s="55" t="s">
        <v>780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 t="shared" si="0"/>
        <v>26</v>
      </c>
      <c r="K34" s="6" t="s">
        <v>295</v>
      </c>
      <c r="L34" s="6" t="s">
        <v>296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 t="shared" si="2"/>
        <v>27</v>
      </c>
      <c r="T34" s="6" t="s">
        <v>785</v>
      </c>
      <c r="U34" s="6" t="s">
        <v>537</v>
      </c>
    </row>
    <row r="35" spans="1:21" ht="29" customHeight="1" x14ac:dyDescent="0.35">
      <c r="A35" s="6" t="s">
        <v>760</v>
      </c>
      <c r="B35" s="55" t="s">
        <v>19</v>
      </c>
      <c r="C35" s="55">
        <v>62343389</v>
      </c>
      <c r="D35" s="55" t="s">
        <v>20</v>
      </c>
      <c r="E35" s="55" t="s">
        <v>781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 t="shared" si="0"/>
        <v>26</v>
      </c>
      <c r="K35" s="6" t="s">
        <v>295</v>
      </c>
      <c r="L35" s="6" t="s">
        <v>296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 t="shared" si="2"/>
        <v>27</v>
      </c>
      <c r="T35" s="6" t="s">
        <v>785</v>
      </c>
      <c r="U35" s="6" t="s">
        <v>537</v>
      </c>
    </row>
    <row r="36" spans="1:21" ht="29" customHeight="1" x14ac:dyDescent="0.35">
      <c r="A36" s="6" t="s">
        <v>782</v>
      </c>
      <c r="B36" s="55" t="s">
        <v>30</v>
      </c>
      <c r="C36" s="55">
        <v>63449095</v>
      </c>
      <c r="D36" s="55" t="s">
        <v>783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 t="shared" si="0"/>
        <v>11</v>
      </c>
      <c r="K36" s="6" t="s">
        <v>295</v>
      </c>
      <c r="L36" s="6" t="s">
        <v>296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 t="shared" si="2"/>
        <v>12</v>
      </c>
      <c r="T36" s="6" t="s">
        <v>785</v>
      </c>
      <c r="U36" s="6" t="s">
        <v>537</v>
      </c>
    </row>
    <row r="37" spans="1:21" ht="29" customHeight="1" x14ac:dyDescent="0.35">
      <c r="A37" s="6" t="s">
        <v>784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 t="shared" si="0"/>
        <v>28</v>
      </c>
      <c r="K37" s="6" t="s">
        <v>295</v>
      </c>
      <c r="L37" s="6" t="s">
        <v>296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 t="shared" si="2"/>
        <v>28</v>
      </c>
      <c r="T37" s="6" t="s">
        <v>785</v>
      </c>
      <c r="U37" s="6" t="s">
        <v>537</v>
      </c>
    </row>
    <row r="38" spans="1:21" ht="29" customHeight="1" x14ac:dyDescent="0.35">
      <c r="A38" s="6" t="s">
        <v>42</v>
      </c>
      <c r="B38" s="55" t="s">
        <v>43</v>
      </c>
      <c r="C38" s="55">
        <v>63178332</v>
      </c>
      <c r="D38" s="55" t="s">
        <v>764</v>
      </c>
      <c r="E38" s="55" t="s">
        <v>765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 t="shared" si="0"/>
        <v>14</v>
      </c>
      <c r="K38" s="55" t="s">
        <v>295</v>
      </c>
      <c r="L38" s="55" t="s">
        <v>296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 t="shared" si="2"/>
        <v>14</v>
      </c>
      <c r="T38" s="55" t="s">
        <v>751</v>
      </c>
      <c r="U38" s="55" t="s">
        <v>537</v>
      </c>
    </row>
    <row r="39" spans="1:21" ht="29" customHeight="1" x14ac:dyDescent="0.35">
      <c r="A39" s="6" t="s">
        <v>766</v>
      </c>
      <c r="B39" s="6" t="s">
        <v>19</v>
      </c>
      <c r="C39" s="6">
        <v>62880594</v>
      </c>
      <c r="D39" s="6" t="s">
        <v>170</v>
      </c>
      <c r="E39" s="6" t="s">
        <v>767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 t="shared" si="0"/>
        <v>2</v>
      </c>
      <c r="K39" s="17" t="s">
        <v>295</v>
      </c>
      <c r="L39" s="5" t="s">
        <v>296</v>
      </c>
      <c r="M39" s="5" t="s">
        <v>24</v>
      </c>
      <c r="N39" s="6" t="s">
        <v>262</v>
      </c>
      <c r="O39" s="33">
        <v>0</v>
      </c>
      <c r="P39" s="33">
        <v>0</v>
      </c>
      <c r="Q39" s="33">
        <f t="shared" ref="Q39:Q44" si="3">P39+O39</f>
        <v>0</v>
      </c>
      <c r="R39" s="7">
        <v>46171</v>
      </c>
      <c r="S39" s="16">
        <f t="shared" si="2"/>
        <v>17</v>
      </c>
      <c r="T39" s="5" t="s">
        <v>751</v>
      </c>
      <c r="U39" s="5" t="s">
        <v>537</v>
      </c>
    </row>
    <row r="40" spans="1:21" ht="29" customHeight="1" x14ac:dyDescent="0.35">
      <c r="A40" s="6" t="s">
        <v>766</v>
      </c>
      <c r="B40" s="6" t="s">
        <v>19</v>
      </c>
      <c r="C40" s="6">
        <v>62880628</v>
      </c>
      <c r="D40" s="6" t="s">
        <v>170</v>
      </c>
      <c r="E40" s="6" t="s">
        <v>768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 t="shared" si="0"/>
        <v>2</v>
      </c>
      <c r="K40" s="17" t="s">
        <v>295</v>
      </c>
      <c r="L40" s="5" t="s">
        <v>296</v>
      </c>
      <c r="M40" s="5" t="s">
        <v>24</v>
      </c>
      <c r="N40" s="6" t="s">
        <v>262</v>
      </c>
      <c r="O40" s="33">
        <v>0</v>
      </c>
      <c r="P40" s="33">
        <v>0</v>
      </c>
      <c r="Q40" s="33">
        <f t="shared" si="3"/>
        <v>0</v>
      </c>
      <c r="R40" s="7">
        <v>46171</v>
      </c>
      <c r="S40" s="16">
        <f t="shared" si="2"/>
        <v>17</v>
      </c>
      <c r="T40" s="5" t="s">
        <v>751</v>
      </c>
      <c r="U40" s="5" t="s">
        <v>537</v>
      </c>
    </row>
    <row r="41" spans="1:21" ht="29" customHeight="1" x14ac:dyDescent="0.35">
      <c r="A41" s="6" t="s">
        <v>769</v>
      </c>
      <c r="B41" s="5" t="s">
        <v>19</v>
      </c>
      <c r="C41" s="26">
        <v>64009558</v>
      </c>
      <c r="D41" s="5" t="s">
        <v>20</v>
      </c>
      <c r="E41" s="6" t="s">
        <v>770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 t="shared" si="0"/>
        <v>1</v>
      </c>
      <c r="K41" s="17" t="s">
        <v>295</v>
      </c>
      <c r="L41" s="5" t="s">
        <v>296</v>
      </c>
      <c r="M41" s="5" t="s">
        <v>24</v>
      </c>
      <c r="N41" s="5" t="s">
        <v>82</v>
      </c>
      <c r="O41" s="33">
        <v>0</v>
      </c>
      <c r="P41" s="33">
        <v>0</v>
      </c>
      <c r="Q41" s="33">
        <f t="shared" si="3"/>
        <v>0</v>
      </c>
      <c r="R41" s="7">
        <v>46171</v>
      </c>
      <c r="S41" s="16">
        <f t="shared" si="2"/>
        <v>1</v>
      </c>
      <c r="T41" s="5" t="s">
        <v>751</v>
      </c>
      <c r="U41" s="5" t="s">
        <v>537</v>
      </c>
    </row>
    <row r="42" spans="1:21" ht="29" customHeight="1" x14ac:dyDescent="0.35">
      <c r="A42" s="3" t="s">
        <v>771</v>
      </c>
      <c r="B42" s="5" t="s">
        <v>30</v>
      </c>
      <c r="C42" s="3">
        <v>62682536</v>
      </c>
      <c r="D42" s="5" t="s">
        <v>772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 t="shared" si="0"/>
        <v>19</v>
      </c>
      <c r="K42" s="17" t="s">
        <v>295</v>
      </c>
      <c r="L42" s="5" t="s">
        <v>318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 t="shared" si="3"/>
        <v>210000</v>
      </c>
      <c r="R42" s="7">
        <v>46171</v>
      </c>
      <c r="S42" s="16">
        <f t="shared" si="2"/>
        <v>20</v>
      </c>
      <c r="T42" s="5" t="s">
        <v>751</v>
      </c>
      <c r="U42" s="5" t="s">
        <v>537</v>
      </c>
    </row>
    <row r="43" spans="1:21" ht="29" customHeight="1" x14ac:dyDescent="0.35">
      <c r="A43" s="3" t="s">
        <v>760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 t="shared" si="0"/>
        <v>24</v>
      </c>
      <c r="K43" s="17" t="s">
        <v>295</v>
      </c>
      <c r="L43" s="5" t="s">
        <v>296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 t="shared" si="3"/>
        <v>400000</v>
      </c>
      <c r="R43" s="7">
        <v>46171</v>
      </c>
      <c r="S43" s="16">
        <f t="shared" si="2"/>
        <v>25</v>
      </c>
      <c r="T43" s="5" t="s">
        <v>751</v>
      </c>
      <c r="U43" s="5" t="s">
        <v>537</v>
      </c>
    </row>
    <row r="44" spans="1:21" ht="29" customHeight="1" x14ac:dyDescent="0.35">
      <c r="A44" s="6" t="s">
        <v>773</v>
      </c>
      <c r="B44" s="5" t="s">
        <v>19</v>
      </c>
      <c r="C44" s="6">
        <v>63330974</v>
      </c>
      <c r="D44" s="5" t="s">
        <v>20</v>
      </c>
      <c r="E44" s="6" t="s">
        <v>774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 t="shared" si="0"/>
        <v>11</v>
      </c>
      <c r="K44" s="17" t="s">
        <v>295</v>
      </c>
      <c r="L44" s="5" t="s">
        <v>296</v>
      </c>
      <c r="M44" s="5" t="s">
        <v>24</v>
      </c>
      <c r="N44" s="5" t="s">
        <v>92</v>
      </c>
      <c r="O44" s="33">
        <v>0</v>
      </c>
      <c r="P44" s="33">
        <v>0</v>
      </c>
      <c r="Q44" s="33">
        <f t="shared" si="3"/>
        <v>0</v>
      </c>
      <c r="R44" s="7">
        <v>46171</v>
      </c>
      <c r="S44" s="16">
        <f t="shared" si="2"/>
        <v>11</v>
      </c>
      <c r="T44" s="5" t="s">
        <v>751</v>
      </c>
      <c r="U44" s="5" t="s">
        <v>537</v>
      </c>
    </row>
    <row r="45" spans="1:21" ht="29" customHeight="1" x14ac:dyDescent="0.35">
      <c r="A45" s="6" t="s">
        <v>758</v>
      </c>
      <c r="B45" s="6" t="s">
        <v>19</v>
      </c>
      <c r="C45" s="6">
        <v>59541145</v>
      </c>
      <c r="D45" s="6" t="s">
        <v>99</v>
      </c>
      <c r="E45" s="6" t="s">
        <v>759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 t="shared" si="0"/>
        <v>53</v>
      </c>
      <c r="K45" s="6" t="s">
        <v>295</v>
      </c>
      <c r="L45" s="6" t="s">
        <v>318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 t="shared" si="2"/>
        <v>59</v>
      </c>
      <c r="T45" s="6" t="s">
        <v>751</v>
      </c>
      <c r="U45" s="6" t="s">
        <v>433</v>
      </c>
    </row>
    <row r="46" spans="1:21" ht="29" customHeight="1" x14ac:dyDescent="0.35">
      <c r="A46" s="6" t="s">
        <v>760</v>
      </c>
      <c r="B46" s="6" t="s">
        <v>19</v>
      </c>
      <c r="C46" s="6">
        <v>62348127</v>
      </c>
      <c r="D46" s="6" t="s">
        <v>20</v>
      </c>
      <c r="E46" s="6" t="s">
        <v>761</v>
      </c>
      <c r="F46" s="6" t="s">
        <v>190</v>
      </c>
      <c r="G46" s="6" t="s">
        <v>37</v>
      </c>
      <c r="H46" s="8">
        <v>46139</v>
      </c>
      <c r="I46" s="8">
        <v>46170</v>
      </c>
      <c r="J46" s="16">
        <f t="shared" si="0"/>
        <v>24</v>
      </c>
      <c r="K46" s="6" t="s">
        <v>295</v>
      </c>
      <c r="L46" s="6" t="s">
        <v>296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 t="shared" si="2"/>
        <v>24</v>
      </c>
      <c r="T46" s="6" t="s">
        <v>751</v>
      </c>
      <c r="U46" s="6" t="s">
        <v>537</v>
      </c>
    </row>
    <row r="47" spans="1:21" ht="29" customHeight="1" x14ac:dyDescent="0.35">
      <c r="A47" s="6" t="s">
        <v>760</v>
      </c>
      <c r="B47" s="6" t="s">
        <v>19</v>
      </c>
      <c r="C47" s="6">
        <v>62346912</v>
      </c>
      <c r="D47" s="6" t="s">
        <v>20</v>
      </c>
      <c r="E47" s="6" t="s">
        <v>762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 t="shared" si="0"/>
        <v>24</v>
      </c>
      <c r="K47" s="6" t="s">
        <v>295</v>
      </c>
      <c r="L47" s="6" t="s">
        <v>296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 t="shared" si="2"/>
        <v>24</v>
      </c>
      <c r="T47" s="6" t="s">
        <v>751</v>
      </c>
      <c r="U47" s="6" t="s">
        <v>537</v>
      </c>
    </row>
    <row r="48" spans="1:21" ht="29" customHeight="1" x14ac:dyDescent="0.35">
      <c r="A48" s="6" t="s">
        <v>763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 t="shared" si="0"/>
        <v>16</v>
      </c>
      <c r="K48" s="6" t="s">
        <v>295</v>
      </c>
      <c r="L48" s="6" t="s">
        <v>296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 t="shared" si="2"/>
        <v>16</v>
      </c>
      <c r="T48" s="6" t="s">
        <v>751</v>
      </c>
      <c r="U48" s="6" t="s">
        <v>537</v>
      </c>
    </row>
    <row r="49" spans="1:21" ht="29" customHeight="1" x14ac:dyDescent="0.35">
      <c r="A49" s="6" t="s">
        <v>132</v>
      </c>
      <c r="B49" s="55" t="s">
        <v>43</v>
      </c>
      <c r="C49" s="55">
        <v>56611212</v>
      </c>
      <c r="D49" s="55" t="s">
        <v>747</v>
      </c>
      <c r="E49" s="55" t="s">
        <v>748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 t="shared" si="0"/>
        <v>74</v>
      </c>
      <c r="K49" s="6" t="s">
        <v>295</v>
      </c>
      <c r="L49" s="6" t="s">
        <v>318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 t="shared" si="2"/>
        <v>96</v>
      </c>
      <c r="T49" s="6" t="s">
        <v>751</v>
      </c>
      <c r="U49" s="6" t="s">
        <v>537</v>
      </c>
    </row>
    <row r="50" spans="1:21" ht="29" customHeight="1" x14ac:dyDescent="0.35">
      <c r="A50" s="6" t="s">
        <v>132</v>
      </c>
      <c r="B50" s="55" t="s">
        <v>43</v>
      </c>
      <c r="C50" s="55">
        <v>56607988</v>
      </c>
      <c r="D50" s="55" t="s">
        <v>749</v>
      </c>
      <c r="E50" s="55" t="s">
        <v>750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 t="shared" si="0"/>
        <v>77</v>
      </c>
      <c r="K50" s="6" t="s">
        <v>295</v>
      </c>
      <c r="L50" s="6" t="s">
        <v>318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 t="shared" si="2"/>
        <v>96</v>
      </c>
      <c r="T50" s="6" t="s">
        <v>751</v>
      </c>
      <c r="U50" s="6" t="s">
        <v>537</v>
      </c>
    </row>
    <row r="51" spans="1:21" ht="29" customHeight="1" x14ac:dyDescent="0.35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752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 t="shared" si="0"/>
        <v>65</v>
      </c>
      <c r="K51" s="6" t="s">
        <v>295</v>
      </c>
      <c r="L51" s="6" t="s">
        <v>318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 t="shared" si="2"/>
        <v>65</v>
      </c>
      <c r="T51" s="6" t="s">
        <v>751</v>
      </c>
      <c r="U51" s="6" t="s">
        <v>537</v>
      </c>
    </row>
    <row r="52" spans="1:21" x14ac:dyDescent="0.35">
      <c r="A52" s="6" t="s">
        <v>57</v>
      </c>
      <c r="B52" s="55" t="s">
        <v>43</v>
      </c>
      <c r="C52" s="55">
        <v>56601982</v>
      </c>
      <c r="D52" s="55" t="s">
        <v>753</v>
      </c>
      <c r="E52" s="55" t="s">
        <v>754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 t="shared" si="0"/>
        <v>92</v>
      </c>
      <c r="K52" s="55" t="s">
        <v>295</v>
      </c>
      <c r="L52" s="55" t="s">
        <v>318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 t="shared" si="2"/>
        <v>96</v>
      </c>
      <c r="T52" s="6" t="s">
        <v>751</v>
      </c>
      <c r="U52" s="6" t="s">
        <v>537</v>
      </c>
    </row>
    <row r="53" spans="1:21" x14ac:dyDescent="0.35">
      <c r="A53" s="6" t="s">
        <v>755</v>
      </c>
      <c r="B53" s="55" t="s">
        <v>19</v>
      </c>
      <c r="C53" s="55">
        <v>62937923</v>
      </c>
      <c r="D53" s="55" t="s">
        <v>515</v>
      </c>
      <c r="E53" s="55" t="s">
        <v>756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 t="shared" si="0"/>
        <v>11</v>
      </c>
      <c r="K53" s="55" t="s">
        <v>295</v>
      </c>
      <c r="L53" s="55" t="s">
        <v>296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 t="shared" si="2"/>
        <v>13</v>
      </c>
      <c r="T53" s="6" t="s">
        <v>751</v>
      </c>
      <c r="U53" s="6" t="s">
        <v>537</v>
      </c>
    </row>
    <row r="54" spans="1:21" x14ac:dyDescent="0.35">
      <c r="A54" s="6" t="s">
        <v>757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 t="shared" si="0"/>
        <v>29</v>
      </c>
      <c r="K54" s="6" t="s">
        <v>295</v>
      </c>
      <c r="L54" s="6" t="s">
        <v>296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 t="shared" si="2"/>
        <v>29</v>
      </c>
      <c r="T54" s="6" t="s">
        <v>751</v>
      </c>
      <c r="U54" s="6" t="s">
        <v>537</v>
      </c>
    </row>
    <row r="55" spans="1:21" x14ac:dyDescent="0.35">
      <c r="A55" s="6" t="s">
        <v>738</v>
      </c>
      <c r="B55" s="6" t="s">
        <v>43</v>
      </c>
      <c r="C55" s="6">
        <v>62170297</v>
      </c>
      <c r="D55" s="6" t="s">
        <v>739</v>
      </c>
      <c r="E55" s="6" t="s">
        <v>740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 t="shared" si="0"/>
        <v>20</v>
      </c>
      <c r="K55" s="6" t="s">
        <v>295</v>
      </c>
      <c r="L55" s="6" t="s">
        <v>296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 t="shared" si="2"/>
        <v>21</v>
      </c>
      <c r="T55" s="6" t="s">
        <v>700</v>
      </c>
      <c r="U55" s="6" t="s">
        <v>537</v>
      </c>
    </row>
    <row r="56" spans="1:21" ht="24" x14ac:dyDescent="0.35">
      <c r="A56" s="14" t="s">
        <v>335</v>
      </c>
      <c r="B56" s="14" t="s">
        <v>43</v>
      </c>
      <c r="C56" s="6">
        <v>58896886</v>
      </c>
      <c r="D56" s="5" t="s">
        <v>741</v>
      </c>
      <c r="E56" s="6" t="s">
        <v>742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 t="shared" si="0"/>
        <v>61</v>
      </c>
      <c r="K56" s="6" t="s">
        <v>295</v>
      </c>
      <c r="L56" s="6" t="s">
        <v>296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 t="shared" si="2"/>
        <v>62</v>
      </c>
      <c r="T56" s="6" t="s">
        <v>700</v>
      </c>
      <c r="U56" s="6" t="s">
        <v>537</v>
      </c>
    </row>
    <row r="57" spans="1:21" x14ac:dyDescent="0.35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743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 t="shared" si="0"/>
        <v>65</v>
      </c>
      <c r="K57" s="6" t="s">
        <v>295</v>
      </c>
      <c r="L57" s="6" t="s">
        <v>318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 t="shared" si="2"/>
        <v>65</v>
      </c>
      <c r="T57" s="6" t="s">
        <v>700</v>
      </c>
      <c r="U57" s="6" t="s">
        <v>537</v>
      </c>
    </row>
    <row r="58" spans="1:21" x14ac:dyDescent="0.35">
      <c r="A58" s="6" t="s">
        <v>744</v>
      </c>
      <c r="B58" s="6" t="s">
        <v>19</v>
      </c>
      <c r="C58" s="6">
        <v>61828334</v>
      </c>
      <c r="D58" s="6" t="s">
        <v>320</v>
      </c>
      <c r="E58" s="6" t="s">
        <v>745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 t="shared" si="0"/>
        <v>23</v>
      </c>
      <c r="K58" s="17" t="s">
        <v>295</v>
      </c>
      <c r="L58" s="5" t="s">
        <v>302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 t="shared" si="2"/>
        <v>25</v>
      </c>
      <c r="T58" s="5" t="s">
        <v>700</v>
      </c>
      <c r="U58" s="5" t="s">
        <v>537</v>
      </c>
    </row>
    <row r="59" spans="1:21" x14ac:dyDescent="0.35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746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 t="shared" si="0"/>
        <v>62</v>
      </c>
      <c r="K59" s="6" t="s">
        <v>295</v>
      </c>
      <c r="L59" s="6" t="s">
        <v>302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 t="shared" si="2"/>
        <v>63</v>
      </c>
      <c r="T59" s="6" t="s">
        <v>700</v>
      </c>
      <c r="U59" s="6" t="s">
        <v>537</v>
      </c>
    </row>
    <row r="60" spans="1:21" x14ac:dyDescent="0.35">
      <c r="A60" s="6" t="s">
        <v>723</v>
      </c>
      <c r="B60" s="6" t="s">
        <v>19</v>
      </c>
      <c r="C60" s="1">
        <v>62243628</v>
      </c>
      <c r="D60" s="6" t="s">
        <v>99</v>
      </c>
      <c r="E60" s="6" t="s">
        <v>724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 t="shared" si="0"/>
        <v>19</v>
      </c>
      <c r="K60" s="6" t="s">
        <v>295</v>
      </c>
      <c r="L60" s="6" t="s">
        <v>296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 t="shared" si="2"/>
        <v>19</v>
      </c>
      <c r="T60" s="6" t="s">
        <v>700</v>
      </c>
      <c r="U60" s="6" t="s">
        <v>537</v>
      </c>
    </row>
    <row r="61" spans="1:21" x14ac:dyDescent="0.35">
      <c r="A61" s="6" t="s">
        <v>725</v>
      </c>
      <c r="B61" s="5" t="s">
        <v>19</v>
      </c>
      <c r="C61" s="19" t="s">
        <v>726</v>
      </c>
      <c r="D61" s="5" t="s">
        <v>20</v>
      </c>
      <c r="E61" s="6" t="s">
        <v>727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 t="shared" si="0"/>
        <v>7</v>
      </c>
      <c r="K61" s="6" t="s">
        <v>295</v>
      </c>
      <c r="L61" s="6" t="s">
        <v>296</v>
      </c>
      <c r="M61" s="5" t="s">
        <v>24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 t="shared" si="2"/>
        <v>10</v>
      </c>
      <c r="T61" s="6" t="s">
        <v>700</v>
      </c>
      <c r="U61" s="6" t="s">
        <v>537</v>
      </c>
    </row>
    <row r="62" spans="1:21" x14ac:dyDescent="0.35">
      <c r="A62" s="6" t="s">
        <v>728</v>
      </c>
      <c r="B62" s="5" t="s">
        <v>19</v>
      </c>
      <c r="C62" s="6">
        <v>59684312</v>
      </c>
      <c r="D62" s="5" t="s">
        <v>67</v>
      </c>
      <c r="E62" s="6" t="s">
        <v>729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 t="shared" si="0"/>
        <v>47</v>
      </c>
      <c r="K62" s="6" t="s">
        <v>295</v>
      </c>
      <c r="L62" s="6" t="s">
        <v>296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 t="shared" si="2"/>
        <v>48</v>
      </c>
      <c r="T62" s="6" t="s">
        <v>700</v>
      </c>
      <c r="U62" s="6" t="s">
        <v>433</v>
      </c>
    </row>
    <row r="63" spans="1:21" ht="24.5" x14ac:dyDescent="0.35">
      <c r="A63" s="21" t="s">
        <v>730</v>
      </c>
      <c r="B63" s="5" t="s">
        <v>19</v>
      </c>
      <c r="C63" s="6">
        <v>62014200</v>
      </c>
      <c r="D63" s="5" t="s">
        <v>20</v>
      </c>
      <c r="E63" s="6" t="s">
        <v>731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 t="shared" si="0"/>
        <v>22</v>
      </c>
      <c r="K63" s="6" t="s">
        <v>295</v>
      </c>
      <c r="L63" s="6" t="s">
        <v>296</v>
      </c>
      <c r="M63" s="5" t="s">
        <v>24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 t="shared" si="2"/>
        <v>23</v>
      </c>
      <c r="T63" s="6" t="s">
        <v>700</v>
      </c>
      <c r="U63" s="6" t="s">
        <v>537</v>
      </c>
    </row>
    <row r="64" spans="1:21" x14ac:dyDescent="0.35">
      <c r="A64" s="6" t="s">
        <v>732</v>
      </c>
      <c r="B64" s="5" t="s">
        <v>19</v>
      </c>
      <c r="C64" s="6">
        <v>63143165</v>
      </c>
      <c r="D64" s="5" t="s">
        <v>49</v>
      </c>
      <c r="E64" s="6" t="s">
        <v>733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 t="shared" si="0"/>
        <v>6</v>
      </c>
      <c r="K64" s="6" t="s">
        <v>295</v>
      </c>
      <c r="L64" s="6" t="s">
        <v>296</v>
      </c>
      <c r="M64" s="5" t="s">
        <v>24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 t="shared" si="2"/>
        <v>8</v>
      </c>
      <c r="T64" s="6" t="s">
        <v>700</v>
      </c>
      <c r="U64" s="6" t="s">
        <v>537</v>
      </c>
    </row>
    <row r="65" spans="1:21" x14ac:dyDescent="0.35">
      <c r="A65" s="6" t="s">
        <v>734</v>
      </c>
      <c r="B65" s="5" t="s">
        <v>19</v>
      </c>
      <c r="C65" s="6">
        <v>63518049</v>
      </c>
      <c r="D65" s="5" t="s">
        <v>195</v>
      </c>
      <c r="E65" s="6" t="s">
        <v>735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 t="shared" si="0"/>
        <v>3</v>
      </c>
      <c r="K65" s="6" t="s">
        <v>295</v>
      </c>
      <c r="L65" s="6" t="s">
        <v>296</v>
      </c>
      <c r="M65" s="5" t="s">
        <v>24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 t="shared" si="2"/>
        <v>3</v>
      </c>
      <c r="T65" s="6" t="s">
        <v>700</v>
      </c>
      <c r="U65" s="6" t="s">
        <v>537</v>
      </c>
    </row>
    <row r="66" spans="1:21" x14ac:dyDescent="0.35">
      <c r="A66" s="6" t="s">
        <v>734</v>
      </c>
      <c r="B66" s="5" t="s">
        <v>19</v>
      </c>
      <c r="C66" s="6">
        <v>63518010</v>
      </c>
      <c r="D66" s="5" t="s">
        <v>195</v>
      </c>
      <c r="E66" s="6" t="s">
        <v>736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 t="shared" ref="J66:J129" si="4">+NETWORKDAYS(H66,I66)</f>
        <v>3</v>
      </c>
      <c r="K66" s="6" t="s">
        <v>295</v>
      </c>
      <c r="L66" s="6" t="s">
        <v>296</v>
      </c>
      <c r="M66" s="5" t="s">
        <v>24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 t="shared" ref="S66:S129" si="5">NETWORKDAYS(H66,R66)</f>
        <v>3</v>
      </c>
      <c r="T66" s="6" t="s">
        <v>700</v>
      </c>
      <c r="U66" s="6" t="s">
        <v>537</v>
      </c>
    </row>
    <row r="67" spans="1:21" x14ac:dyDescent="0.35">
      <c r="A67" s="1" t="s">
        <v>737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 t="shared" si="4"/>
        <v>37</v>
      </c>
      <c r="K67" s="6" t="s">
        <v>295</v>
      </c>
      <c r="L67" s="6" t="s">
        <v>296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 t="shared" si="5"/>
        <v>37</v>
      </c>
      <c r="T67" s="6" t="s">
        <v>700</v>
      </c>
      <c r="U67" s="6" t="s">
        <v>537</v>
      </c>
    </row>
    <row r="68" spans="1:21" x14ac:dyDescent="0.35">
      <c r="A68" s="6" t="s">
        <v>715</v>
      </c>
      <c r="B68" s="55" t="s">
        <v>19</v>
      </c>
      <c r="C68" s="55">
        <v>63302106</v>
      </c>
      <c r="D68" s="55" t="s">
        <v>195</v>
      </c>
      <c r="E68" s="55" t="s">
        <v>716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 t="shared" si="4"/>
        <v>3</v>
      </c>
      <c r="K68" s="55" t="s">
        <v>295</v>
      </c>
      <c r="L68" s="55" t="s">
        <v>296</v>
      </c>
      <c r="M68" s="5" t="s">
        <v>24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 t="shared" si="5"/>
        <v>4</v>
      </c>
      <c r="T68" s="55" t="s">
        <v>700</v>
      </c>
      <c r="U68" s="55" t="s">
        <v>537</v>
      </c>
    </row>
    <row r="69" spans="1:21" x14ac:dyDescent="0.35">
      <c r="A69" s="6" t="s">
        <v>715</v>
      </c>
      <c r="B69" s="55" t="s">
        <v>19</v>
      </c>
      <c r="C69" s="55">
        <v>63303380</v>
      </c>
      <c r="D69" s="55" t="s">
        <v>195</v>
      </c>
      <c r="E69" s="55" t="s">
        <v>717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 t="shared" si="4"/>
        <v>3</v>
      </c>
      <c r="K69" s="55" t="s">
        <v>295</v>
      </c>
      <c r="L69" s="55" t="s">
        <v>296</v>
      </c>
      <c r="M69" s="5" t="s">
        <v>24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 t="shared" si="5"/>
        <v>4</v>
      </c>
      <c r="T69" s="55" t="s">
        <v>700</v>
      </c>
      <c r="U69" s="55" t="s">
        <v>537</v>
      </c>
    </row>
    <row r="70" spans="1:21" x14ac:dyDescent="0.35">
      <c r="A70" s="1" t="s">
        <v>718</v>
      </c>
      <c r="B70" s="5" t="s">
        <v>85</v>
      </c>
      <c r="C70" s="1">
        <v>61240462</v>
      </c>
      <c r="D70" s="5" t="s">
        <v>719</v>
      </c>
      <c r="E70" s="1" t="s">
        <v>720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 t="shared" si="4"/>
        <v>31</v>
      </c>
      <c r="K70" s="6" t="s">
        <v>295</v>
      </c>
      <c r="L70" s="6" t="s">
        <v>302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 t="shared" si="5"/>
        <v>31</v>
      </c>
      <c r="T70" s="6" t="s">
        <v>700</v>
      </c>
      <c r="U70" s="6" t="s">
        <v>433</v>
      </c>
    </row>
    <row r="71" spans="1:21" x14ac:dyDescent="0.35">
      <c r="A71" s="1" t="s">
        <v>721</v>
      </c>
      <c r="B71" s="5" t="s">
        <v>30</v>
      </c>
      <c r="C71" s="1">
        <v>62715782</v>
      </c>
      <c r="D71" s="5" t="s">
        <v>722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 t="shared" si="4"/>
        <v>13</v>
      </c>
      <c r="K71" s="6" t="s">
        <v>295</v>
      </c>
      <c r="L71" s="6" t="s">
        <v>296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 t="shared" si="5"/>
        <v>13</v>
      </c>
      <c r="T71" s="6" t="s">
        <v>700</v>
      </c>
      <c r="U71" s="6" t="s">
        <v>537</v>
      </c>
    </row>
    <row r="72" spans="1:21" x14ac:dyDescent="0.35">
      <c r="A72" s="6" t="s">
        <v>545</v>
      </c>
      <c r="B72" s="55" t="s">
        <v>19</v>
      </c>
      <c r="C72" s="55">
        <v>60356605</v>
      </c>
      <c r="D72" s="55" t="s">
        <v>712</v>
      </c>
      <c r="E72" s="55" t="s">
        <v>713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 t="shared" si="4"/>
        <v>41</v>
      </c>
      <c r="K72" s="55" t="s">
        <v>295</v>
      </c>
      <c r="L72" s="55" t="s">
        <v>318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 t="shared" si="5"/>
        <v>42</v>
      </c>
      <c r="T72" s="55" t="s">
        <v>700</v>
      </c>
      <c r="U72" s="55" t="s">
        <v>537</v>
      </c>
    </row>
    <row r="73" spans="1:21" x14ac:dyDescent="0.35">
      <c r="A73" s="6" t="s">
        <v>689</v>
      </c>
      <c r="B73" s="55" t="s">
        <v>43</v>
      </c>
      <c r="C73" s="55">
        <v>62748443</v>
      </c>
      <c r="D73" s="55" t="s">
        <v>20</v>
      </c>
      <c r="E73" s="55" t="s">
        <v>714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 t="shared" si="4"/>
        <v>10</v>
      </c>
      <c r="K73" s="55" t="s">
        <v>295</v>
      </c>
      <c r="L73" s="55" t="s">
        <v>296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 t="shared" si="5"/>
        <v>11</v>
      </c>
      <c r="T73" s="55" t="s">
        <v>700</v>
      </c>
      <c r="U73" s="55" t="s">
        <v>537</v>
      </c>
    </row>
    <row r="74" spans="1:21" x14ac:dyDescent="0.35">
      <c r="A74" s="1" t="s">
        <v>699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 t="shared" si="4"/>
        <v>9</v>
      </c>
      <c r="K74" s="17" t="s">
        <v>295</v>
      </c>
      <c r="L74" s="5" t="s">
        <v>296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 t="shared" si="5"/>
        <v>13</v>
      </c>
      <c r="T74" s="5" t="s">
        <v>700</v>
      </c>
      <c r="U74" s="5" t="s">
        <v>537</v>
      </c>
    </row>
    <row r="75" spans="1:21" x14ac:dyDescent="0.35">
      <c r="A75" s="1" t="s">
        <v>701</v>
      </c>
      <c r="B75" s="5" t="s">
        <v>30</v>
      </c>
      <c r="C75" s="1">
        <v>61702838</v>
      </c>
      <c r="D75" s="5" t="s">
        <v>702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 t="shared" si="4"/>
        <v>19</v>
      </c>
      <c r="K75" s="17" t="s">
        <v>295</v>
      </c>
      <c r="L75" s="5" t="s">
        <v>296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 t="shared" si="5"/>
        <v>23</v>
      </c>
      <c r="T75" s="5" t="s">
        <v>700</v>
      </c>
      <c r="U75" s="5" t="s">
        <v>537</v>
      </c>
    </row>
    <row r="76" spans="1:21" x14ac:dyDescent="0.35">
      <c r="A76" s="6" t="s">
        <v>703</v>
      </c>
      <c r="B76" s="6" t="s">
        <v>19</v>
      </c>
      <c r="C76" s="6">
        <v>62241651</v>
      </c>
      <c r="D76" s="6" t="s">
        <v>35</v>
      </c>
      <c r="E76" s="6" t="s">
        <v>704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 t="shared" si="4"/>
        <v>15</v>
      </c>
      <c r="K76" s="17" t="s">
        <v>295</v>
      </c>
      <c r="L76" s="5" t="s">
        <v>296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 t="shared" si="5"/>
        <v>16</v>
      </c>
      <c r="T76" s="5" t="s">
        <v>700</v>
      </c>
      <c r="U76" s="5" t="s">
        <v>537</v>
      </c>
    </row>
    <row r="77" spans="1:21" x14ac:dyDescent="0.35">
      <c r="A77" s="6" t="s">
        <v>705</v>
      </c>
      <c r="B77" s="55" t="s">
        <v>43</v>
      </c>
      <c r="C77" s="55">
        <v>62544794</v>
      </c>
      <c r="D77" s="55" t="s">
        <v>706</v>
      </c>
      <c r="E77" s="55" t="s">
        <v>707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 t="shared" si="4"/>
        <v>13</v>
      </c>
      <c r="K77" s="55" t="s">
        <v>295</v>
      </c>
      <c r="L77" s="55" t="s">
        <v>296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 t="shared" si="5"/>
        <v>13</v>
      </c>
      <c r="T77" s="55" t="s">
        <v>700</v>
      </c>
      <c r="U77" s="55" t="s">
        <v>537</v>
      </c>
    </row>
    <row r="78" spans="1:21" x14ac:dyDescent="0.35">
      <c r="A78" s="6" t="s">
        <v>708</v>
      </c>
      <c r="B78" s="55" t="s">
        <v>30</v>
      </c>
      <c r="C78" s="55">
        <v>61700587</v>
      </c>
      <c r="D78" s="55" t="s">
        <v>515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 t="shared" si="4"/>
        <v>23</v>
      </c>
      <c r="K78" s="55" t="s">
        <v>295</v>
      </c>
      <c r="L78" s="55" t="s">
        <v>296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 t="shared" si="5"/>
        <v>23</v>
      </c>
      <c r="T78" s="55" t="s">
        <v>700</v>
      </c>
      <c r="U78" s="55" t="s">
        <v>537</v>
      </c>
    </row>
    <row r="79" spans="1:21" x14ac:dyDescent="0.35">
      <c r="A79" s="6" t="s">
        <v>709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 t="shared" si="4"/>
        <v>16</v>
      </c>
      <c r="K79" s="55" t="s">
        <v>295</v>
      </c>
      <c r="L79" s="55" t="s">
        <v>296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 t="shared" si="5"/>
        <v>16</v>
      </c>
      <c r="T79" s="55" t="s">
        <v>700</v>
      </c>
      <c r="U79" s="55" t="s">
        <v>537</v>
      </c>
    </row>
    <row r="80" spans="1:21" x14ac:dyDescent="0.35">
      <c r="A80" s="6" t="s">
        <v>710</v>
      </c>
      <c r="B80" s="55" t="s">
        <v>30</v>
      </c>
      <c r="C80" s="55">
        <v>59480507</v>
      </c>
      <c r="D80" s="55" t="s">
        <v>711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 t="shared" si="4"/>
        <v>52</v>
      </c>
      <c r="K80" s="55" t="s">
        <v>295</v>
      </c>
      <c r="L80" s="55" t="s">
        <v>318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 t="shared" si="5"/>
        <v>52</v>
      </c>
      <c r="T80" s="55" t="s">
        <v>700</v>
      </c>
      <c r="U80" s="55" t="s">
        <v>537</v>
      </c>
    </row>
    <row r="81" spans="1:21" x14ac:dyDescent="0.35">
      <c r="A81" s="6" t="s">
        <v>696</v>
      </c>
      <c r="B81" s="6" t="s">
        <v>19</v>
      </c>
      <c r="C81" s="6">
        <v>60026486</v>
      </c>
      <c r="D81" s="6" t="s">
        <v>122</v>
      </c>
      <c r="E81" s="6" t="s">
        <v>697</v>
      </c>
      <c r="F81" s="6" t="s">
        <v>190</v>
      </c>
      <c r="G81" s="6" t="s">
        <v>37</v>
      </c>
      <c r="H81" s="10">
        <v>46098</v>
      </c>
      <c r="I81" s="8">
        <v>46140</v>
      </c>
      <c r="J81" s="16">
        <f t="shared" si="4"/>
        <v>31</v>
      </c>
      <c r="K81" s="17" t="s">
        <v>344</v>
      </c>
      <c r="L81" s="5" t="s">
        <v>296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 t="shared" si="5"/>
        <v>44</v>
      </c>
      <c r="T81" s="5" t="s">
        <v>684</v>
      </c>
      <c r="U81" s="6" t="s">
        <v>433</v>
      </c>
    </row>
    <row r="82" spans="1:21" x14ac:dyDescent="0.35">
      <c r="A82" s="6" t="s">
        <v>167</v>
      </c>
      <c r="B82" s="6" t="s">
        <v>19</v>
      </c>
      <c r="C82" s="6">
        <v>57706849</v>
      </c>
      <c r="D82" s="6" t="s">
        <v>35</v>
      </c>
      <c r="E82" s="6" t="s">
        <v>698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 t="shared" si="4"/>
        <v>72</v>
      </c>
      <c r="K82" s="17" t="s">
        <v>295</v>
      </c>
      <c r="L82" s="5" t="s">
        <v>650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 t="shared" si="5"/>
        <v>74</v>
      </c>
      <c r="T82" s="5" t="s">
        <v>684</v>
      </c>
      <c r="U82" s="5" t="s">
        <v>537</v>
      </c>
    </row>
    <row r="83" spans="1:21" x14ac:dyDescent="0.35">
      <c r="A83" s="6" t="s">
        <v>693</v>
      </c>
      <c r="B83" s="55" t="s">
        <v>19</v>
      </c>
      <c r="C83" s="55">
        <v>62852675</v>
      </c>
      <c r="D83" s="55" t="s">
        <v>20</v>
      </c>
      <c r="E83" s="55" t="s">
        <v>694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 t="shared" si="4"/>
        <v>4</v>
      </c>
      <c r="K83" s="6" t="s">
        <v>295</v>
      </c>
      <c r="L83" s="6" t="s">
        <v>296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 t="shared" si="5"/>
        <v>6</v>
      </c>
      <c r="T83" s="6" t="s">
        <v>684</v>
      </c>
      <c r="U83" s="6" t="s">
        <v>537</v>
      </c>
    </row>
    <row r="84" spans="1:21" x14ac:dyDescent="0.35">
      <c r="A84" s="6" t="s">
        <v>689</v>
      </c>
      <c r="B84" s="55" t="s">
        <v>19</v>
      </c>
      <c r="C84" s="55">
        <v>62746621</v>
      </c>
      <c r="D84" s="55" t="s">
        <v>435</v>
      </c>
      <c r="E84" s="55" t="s">
        <v>695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 t="shared" si="4"/>
        <v>6</v>
      </c>
      <c r="K84" s="6" t="s">
        <v>295</v>
      </c>
      <c r="L84" s="6" t="s">
        <v>296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 t="shared" si="5"/>
        <v>7</v>
      </c>
      <c r="T84" s="6" t="s">
        <v>684</v>
      </c>
      <c r="U84" s="6" t="s">
        <v>537</v>
      </c>
    </row>
    <row r="85" spans="1:21" x14ac:dyDescent="0.35">
      <c r="A85" s="14" t="s">
        <v>141</v>
      </c>
      <c r="B85" s="6" t="s">
        <v>43</v>
      </c>
      <c r="C85" s="6">
        <v>57651441</v>
      </c>
      <c r="D85" s="6" t="s">
        <v>355</v>
      </c>
      <c r="E85" s="6" t="s">
        <v>691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 t="shared" si="4"/>
        <v>72</v>
      </c>
      <c r="K85" s="17" t="s">
        <v>295</v>
      </c>
      <c r="L85" s="5" t="s">
        <v>302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 t="shared" ref="Q85:Q110" si="6">P85+O85</f>
        <v>1905147</v>
      </c>
      <c r="R85" s="43">
        <v>46154</v>
      </c>
      <c r="S85" s="16">
        <f t="shared" si="5"/>
        <v>72</v>
      </c>
      <c r="T85" s="5" t="s">
        <v>684</v>
      </c>
      <c r="U85" s="5" t="s">
        <v>537</v>
      </c>
    </row>
    <row r="86" spans="1:21" x14ac:dyDescent="0.35">
      <c r="A86" s="1" t="s">
        <v>667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 t="shared" si="4"/>
        <v>6</v>
      </c>
      <c r="K86" s="17" t="s">
        <v>295</v>
      </c>
      <c r="L86" s="5" t="s">
        <v>296</v>
      </c>
      <c r="M86" s="5" t="s">
        <v>47</v>
      </c>
      <c r="N86" s="5" t="s">
        <v>56</v>
      </c>
      <c r="O86" s="1">
        <v>228000</v>
      </c>
      <c r="P86" s="1">
        <v>0</v>
      </c>
      <c r="Q86" s="33">
        <f t="shared" si="6"/>
        <v>228000</v>
      </c>
      <c r="R86" s="43">
        <v>46154</v>
      </c>
      <c r="S86" s="16">
        <f t="shared" si="5"/>
        <v>11</v>
      </c>
      <c r="T86" s="5" t="s">
        <v>684</v>
      </c>
      <c r="U86" s="5" t="s">
        <v>537</v>
      </c>
    </row>
    <row r="87" spans="1:21" x14ac:dyDescent="0.35">
      <c r="A87" s="1" t="s">
        <v>692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 t="shared" si="4"/>
        <v>6</v>
      </c>
      <c r="K87" s="17" t="s">
        <v>295</v>
      </c>
      <c r="L87" s="5" t="s">
        <v>296</v>
      </c>
      <c r="M87" s="5" t="s">
        <v>47</v>
      </c>
      <c r="N87" s="6" t="s">
        <v>33</v>
      </c>
      <c r="O87" s="33">
        <v>60000</v>
      </c>
      <c r="P87" s="33">
        <v>0</v>
      </c>
      <c r="Q87" s="33">
        <f t="shared" si="6"/>
        <v>60000</v>
      </c>
      <c r="R87" s="43">
        <v>46154</v>
      </c>
      <c r="S87" s="16">
        <f t="shared" si="5"/>
        <v>11</v>
      </c>
      <c r="T87" s="5" t="s">
        <v>684</v>
      </c>
      <c r="U87" s="5" t="s">
        <v>537</v>
      </c>
    </row>
    <row r="88" spans="1:21" x14ac:dyDescent="0.35">
      <c r="A88" s="1" t="s">
        <v>692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 t="shared" si="4"/>
        <v>6</v>
      </c>
      <c r="K88" s="17" t="s">
        <v>295</v>
      </c>
      <c r="L88" s="5" t="s">
        <v>296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 t="shared" si="6"/>
        <v>108000</v>
      </c>
      <c r="R88" s="43">
        <v>46154</v>
      </c>
      <c r="S88" s="16">
        <f t="shared" si="5"/>
        <v>11</v>
      </c>
      <c r="T88" s="5" t="s">
        <v>684</v>
      </c>
      <c r="U88" s="5" t="s">
        <v>537</v>
      </c>
    </row>
    <row r="89" spans="1:21" x14ac:dyDescent="0.35">
      <c r="A89" s="6" t="s">
        <v>682</v>
      </c>
      <c r="B89" s="3" t="s">
        <v>19</v>
      </c>
      <c r="C89" s="6">
        <v>61363241</v>
      </c>
      <c r="D89" s="5" t="s">
        <v>49</v>
      </c>
      <c r="E89" s="6" t="s">
        <v>683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 t="shared" si="4"/>
        <v>22</v>
      </c>
      <c r="K89" s="17" t="s">
        <v>295</v>
      </c>
      <c r="L89" s="5" t="s">
        <v>296</v>
      </c>
      <c r="M89" s="5" t="s">
        <v>47</v>
      </c>
      <c r="N89" s="5" t="s">
        <v>103</v>
      </c>
      <c r="O89" s="41">
        <v>0</v>
      </c>
      <c r="P89" s="41">
        <v>0</v>
      </c>
      <c r="Q89" s="33">
        <f t="shared" si="6"/>
        <v>0</v>
      </c>
      <c r="R89" s="7">
        <v>46153</v>
      </c>
      <c r="S89" s="16">
        <f t="shared" si="5"/>
        <v>22</v>
      </c>
      <c r="T89" s="5" t="s">
        <v>684</v>
      </c>
      <c r="U89" s="5" t="s">
        <v>537</v>
      </c>
    </row>
    <row r="90" spans="1:21" x14ac:dyDescent="0.35">
      <c r="A90" s="3" t="s">
        <v>685</v>
      </c>
      <c r="B90" s="3" t="s">
        <v>19</v>
      </c>
      <c r="C90" s="54">
        <v>62840921</v>
      </c>
      <c r="D90" s="5" t="s">
        <v>686</v>
      </c>
      <c r="E90" s="6" t="s">
        <v>687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 t="shared" si="4"/>
        <v>3</v>
      </c>
      <c r="K90" s="17" t="s">
        <v>295</v>
      </c>
      <c r="L90" s="5" t="s">
        <v>296</v>
      </c>
      <c r="M90" s="5" t="s">
        <v>24</v>
      </c>
      <c r="N90" s="5" t="s">
        <v>688</v>
      </c>
      <c r="O90" s="41">
        <v>0</v>
      </c>
      <c r="P90" s="41">
        <v>0</v>
      </c>
      <c r="Q90" s="33">
        <f t="shared" si="6"/>
        <v>0</v>
      </c>
      <c r="R90" s="7">
        <v>46153</v>
      </c>
      <c r="S90" s="16">
        <f t="shared" si="5"/>
        <v>4</v>
      </c>
      <c r="T90" s="5" t="s">
        <v>684</v>
      </c>
      <c r="U90" s="6" t="s">
        <v>433</v>
      </c>
    </row>
    <row r="91" spans="1:21" x14ac:dyDescent="0.35">
      <c r="A91" s="14" t="s">
        <v>689</v>
      </c>
      <c r="B91" s="6" t="s">
        <v>19</v>
      </c>
      <c r="C91" s="6">
        <v>62742919</v>
      </c>
      <c r="D91" s="6" t="s">
        <v>20</v>
      </c>
      <c r="E91" s="6" t="s">
        <v>690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 t="shared" si="4"/>
        <v>5</v>
      </c>
      <c r="K91" s="17" t="s">
        <v>295</v>
      </c>
      <c r="L91" s="5" t="s">
        <v>296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 t="shared" si="6"/>
        <v>670000</v>
      </c>
      <c r="R91" s="7">
        <v>46153</v>
      </c>
      <c r="S91" s="16">
        <f t="shared" si="5"/>
        <v>5</v>
      </c>
      <c r="T91" s="5" t="s">
        <v>684</v>
      </c>
      <c r="U91" s="5" t="s">
        <v>537</v>
      </c>
    </row>
    <row r="92" spans="1:21" x14ac:dyDescent="0.35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669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 t="shared" si="4"/>
        <v>68</v>
      </c>
      <c r="K92" s="17" t="s">
        <v>295</v>
      </c>
      <c r="L92" s="5" t="s">
        <v>318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 t="shared" si="6"/>
        <v>1696700</v>
      </c>
      <c r="R92" s="7">
        <v>46149</v>
      </c>
      <c r="S92" s="16">
        <f t="shared" si="5"/>
        <v>69</v>
      </c>
      <c r="T92" s="5" t="s">
        <v>653</v>
      </c>
      <c r="U92" s="5" t="s">
        <v>537</v>
      </c>
    </row>
    <row r="93" spans="1:21" ht="25" customHeight="1" x14ac:dyDescent="0.35">
      <c r="A93" s="14" t="s">
        <v>132</v>
      </c>
      <c r="B93" s="6" t="s">
        <v>43</v>
      </c>
      <c r="C93" s="6">
        <v>56612479</v>
      </c>
      <c r="D93" s="6" t="s">
        <v>670</v>
      </c>
      <c r="E93" s="6" t="s">
        <v>671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 t="shared" si="4"/>
        <v>80</v>
      </c>
      <c r="K93" s="17" t="s">
        <v>295</v>
      </c>
      <c r="L93" s="5" t="s">
        <v>302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 t="shared" si="6"/>
        <v>2300000</v>
      </c>
      <c r="R93" s="7">
        <v>46149</v>
      </c>
      <c r="S93" s="16">
        <f t="shared" si="5"/>
        <v>83</v>
      </c>
      <c r="T93" s="5" t="s">
        <v>653</v>
      </c>
      <c r="U93" s="5" t="s">
        <v>537</v>
      </c>
    </row>
    <row r="94" spans="1:21" x14ac:dyDescent="0.35">
      <c r="A94" s="14" t="s">
        <v>132</v>
      </c>
      <c r="B94" s="6" t="s">
        <v>43</v>
      </c>
      <c r="C94" s="6">
        <v>58168004</v>
      </c>
      <c r="D94" s="6" t="s">
        <v>594</v>
      </c>
      <c r="E94" s="6" t="s">
        <v>672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 t="shared" si="4"/>
        <v>56</v>
      </c>
      <c r="K94" s="17" t="s">
        <v>295</v>
      </c>
      <c r="L94" s="5" t="s">
        <v>302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 t="shared" si="6"/>
        <v>2300000</v>
      </c>
      <c r="R94" s="7">
        <v>46149</v>
      </c>
      <c r="S94" s="16">
        <f t="shared" si="5"/>
        <v>62</v>
      </c>
      <c r="T94" s="5" t="s">
        <v>653</v>
      </c>
      <c r="U94" s="5" t="s">
        <v>537</v>
      </c>
    </row>
    <row r="95" spans="1:21" x14ac:dyDescent="0.35">
      <c r="A95" s="6" t="s">
        <v>673</v>
      </c>
      <c r="B95" s="1" t="s">
        <v>19</v>
      </c>
      <c r="C95" s="6">
        <v>60845648</v>
      </c>
      <c r="D95" s="6" t="s">
        <v>674</v>
      </c>
      <c r="E95" s="6" t="s">
        <v>675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 t="shared" si="4"/>
        <v>26</v>
      </c>
      <c r="K95" s="17" t="s">
        <v>295</v>
      </c>
      <c r="L95" s="5" t="s">
        <v>296</v>
      </c>
      <c r="M95" s="5" t="s">
        <v>24</v>
      </c>
      <c r="N95" s="6" t="s">
        <v>146</v>
      </c>
      <c r="O95" s="9">
        <v>0</v>
      </c>
      <c r="P95" s="9">
        <v>0</v>
      </c>
      <c r="Q95" s="33">
        <f t="shared" si="6"/>
        <v>0</v>
      </c>
      <c r="R95" s="7">
        <v>46149</v>
      </c>
      <c r="S95" s="16">
        <f t="shared" si="5"/>
        <v>28</v>
      </c>
      <c r="T95" s="5" t="s">
        <v>653</v>
      </c>
      <c r="U95" s="6" t="s">
        <v>537</v>
      </c>
    </row>
    <row r="96" spans="1:21" x14ac:dyDescent="0.35">
      <c r="A96" s="6" t="s">
        <v>676</v>
      </c>
      <c r="B96" s="6" t="s">
        <v>19</v>
      </c>
      <c r="C96" s="6">
        <v>61671472</v>
      </c>
      <c r="D96" s="6" t="s">
        <v>479</v>
      </c>
      <c r="E96" s="6" t="s">
        <v>677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 t="shared" si="4"/>
        <v>34</v>
      </c>
      <c r="K96" s="17" t="s">
        <v>295</v>
      </c>
      <c r="L96" s="5" t="s">
        <v>302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 t="shared" si="6"/>
        <v>1252000</v>
      </c>
      <c r="R96" s="7">
        <v>46149</v>
      </c>
      <c r="S96" s="16">
        <f t="shared" si="5"/>
        <v>41</v>
      </c>
      <c r="T96" s="5" t="s">
        <v>653</v>
      </c>
      <c r="U96" s="5" t="s">
        <v>537</v>
      </c>
    </row>
    <row r="97" spans="1:21" ht="22.5" customHeight="1" x14ac:dyDescent="0.35">
      <c r="A97" s="14" t="s">
        <v>593</v>
      </c>
      <c r="B97" s="6" t="s">
        <v>19</v>
      </c>
      <c r="C97" s="1">
        <v>61541433</v>
      </c>
      <c r="D97" s="6" t="s">
        <v>678</v>
      </c>
      <c r="E97" s="6" t="s">
        <v>679</v>
      </c>
      <c r="F97" s="6" t="s">
        <v>190</v>
      </c>
      <c r="G97" s="6" t="s">
        <v>23</v>
      </c>
      <c r="H97" s="10">
        <v>46126</v>
      </c>
      <c r="I97" s="10">
        <v>46140</v>
      </c>
      <c r="J97" s="16">
        <f t="shared" si="4"/>
        <v>11</v>
      </c>
      <c r="K97" s="17" t="s">
        <v>295</v>
      </c>
      <c r="L97" s="5" t="s">
        <v>296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 t="shared" si="6"/>
        <v>4324962</v>
      </c>
      <c r="R97" s="7">
        <v>46149</v>
      </c>
      <c r="S97" s="16">
        <f t="shared" si="5"/>
        <v>18</v>
      </c>
      <c r="T97" s="5" t="s">
        <v>653</v>
      </c>
      <c r="U97" s="5" t="s">
        <v>537</v>
      </c>
    </row>
    <row r="98" spans="1:21" x14ac:dyDescent="0.35">
      <c r="A98" s="3" t="s">
        <v>680</v>
      </c>
      <c r="B98" s="6" t="s">
        <v>30</v>
      </c>
      <c r="C98" s="3">
        <v>60760104</v>
      </c>
      <c r="D98" s="6" t="s">
        <v>479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 t="shared" si="4"/>
        <v>26</v>
      </c>
      <c r="K98" s="17" t="s">
        <v>295</v>
      </c>
      <c r="L98" s="5" t="s">
        <v>318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 t="shared" si="6"/>
        <v>210000</v>
      </c>
      <c r="R98" s="7">
        <v>46149</v>
      </c>
      <c r="S98" s="16">
        <f t="shared" si="5"/>
        <v>29</v>
      </c>
      <c r="T98" s="5" t="s">
        <v>653</v>
      </c>
      <c r="U98" s="5" t="s">
        <v>537</v>
      </c>
    </row>
    <row r="99" spans="1:21" x14ac:dyDescent="0.35">
      <c r="A99" s="6" t="s">
        <v>673</v>
      </c>
      <c r="B99" s="3" t="s">
        <v>19</v>
      </c>
      <c r="C99" s="6">
        <v>60845660</v>
      </c>
      <c r="D99" s="6" t="s">
        <v>674</v>
      </c>
      <c r="E99" s="6" t="s">
        <v>681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 t="shared" si="4"/>
        <v>26</v>
      </c>
      <c r="K99" s="17" t="s">
        <v>344</v>
      </c>
      <c r="L99" s="5" t="s">
        <v>296</v>
      </c>
      <c r="M99" s="5" t="s">
        <v>24</v>
      </c>
      <c r="N99" s="6" t="s">
        <v>146</v>
      </c>
      <c r="O99" s="41">
        <v>0</v>
      </c>
      <c r="P99" s="41">
        <v>0</v>
      </c>
      <c r="Q99" s="33">
        <f t="shared" si="6"/>
        <v>0</v>
      </c>
      <c r="R99" s="7">
        <v>46149</v>
      </c>
      <c r="S99" s="16">
        <f t="shared" si="5"/>
        <v>28</v>
      </c>
      <c r="T99" s="5" t="s">
        <v>653</v>
      </c>
      <c r="U99" s="6" t="s">
        <v>537</v>
      </c>
    </row>
    <row r="100" spans="1:21" ht="19.5" customHeight="1" x14ac:dyDescent="0.35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662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 t="shared" si="4"/>
        <v>28</v>
      </c>
      <c r="K100" s="17" t="s">
        <v>295</v>
      </c>
      <c r="L100" s="5" t="s">
        <v>565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 t="shared" si="6"/>
        <v>2462000</v>
      </c>
      <c r="R100" s="7">
        <v>46148</v>
      </c>
      <c r="S100" s="16">
        <f t="shared" si="5"/>
        <v>47</v>
      </c>
      <c r="T100" s="5" t="s">
        <v>653</v>
      </c>
      <c r="U100" s="5" t="s">
        <v>537</v>
      </c>
    </row>
    <row r="101" spans="1:21" x14ac:dyDescent="0.35">
      <c r="A101" s="6" t="s">
        <v>663</v>
      </c>
      <c r="B101" s="6" t="s">
        <v>19</v>
      </c>
      <c r="C101" s="6">
        <v>61317028</v>
      </c>
      <c r="D101" s="6" t="s">
        <v>35</v>
      </c>
      <c r="E101" s="6" t="s">
        <v>664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 t="shared" si="4"/>
        <v>2</v>
      </c>
      <c r="K101" s="17" t="s">
        <v>295</v>
      </c>
      <c r="L101" s="5" t="s">
        <v>296</v>
      </c>
      <c r="M101" s="3" t="s">
        <v>24</v>
      </c>
      <c r="N101" s="6" t="s">
        <v>38</v>
      </c>
      <c r="O101" s="41">
        <v>0</v>
      </c>
      <c r="P101" s="3">
        <v>0</v>
      </c>
      <c r="Q101" s="33">
        <f t="shared" si="6"/>
        <v>0</v>
      </c>
      <c r="R101" s="7">
        <v>46148</v>
      </c>
      <c r="S101" s="16">
        <f t="shared" si="5"/>
        <v>13</v>
      </c>
      <c r="T101" s="5" t="s">
        <v>653</v>
      </c>
      <c r="U101" s="6" t="s">
        <v>433</v>
      </c>
    </row>
    <row r="102" spans="1:21" x14ac:dyDescent="0.35">
      <c r="A102" s="1" t="s">
        <v>665</v>
      </c>
      <c r="B102" s="1" t="s">
        <v>85</v>
      </c>
      <c r="C102" s="1">
        <v>61239330</v>
      </c>
      <c r="D102" s="6" t="s">
        <v>490</v>
      </c>
      <c r="E102" s="1" t="s">
        <v>666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 t="shared" si="4"/>
        <v>20</v>
      </c>
      <c r="K102" s="17" t="s">
        <v>295</v>
      </c>
      <c r="L102" s="5" t="s">
        <v>296</v>
      </c>
      <c r="M102" s="5" t="s">
        <v>24</v>
      </c>
      <c r="N102" s="6" t="s">
        <v>82</v>
      </c>
      <c r="O102" s="1">
        <v>0</v>
      </c>
      <c r="P102" s="1">
        <v>0</v>
      </c>
      <c r="Q102" s="33">
        <f t="shared" si="6"/>
        <v>0</v>
      </c>
      <c r="R102" s="7">
        <v>46148</v>
      </c>
      <c r="S102" s="16">
        <f t="shared" si="5"/>
        <v>21</v>
      </c>
      <c r="T102" s="5" t="s">
        <v>653</v>
      </c>
      <c r="U102" s="6" t="s">
        <v>433</v>
      </c>
    </row>
    <row r="103" spans="1:21" x14ac:dyDescent="0.35">
      <c r="A103" s="1" t="s">
        <v>667</v>
      </c>
      <c r="B103" s="6" t="s">
        <v>85</v>
      </c>
      <c r="C103" s="1">
        <v>59409078</v>
      </c>
      <c r="D103" s="6" t="s">
        <v>490</v>
      </c>
      <c r="E103" s="1" t="s">
        <v>668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 t="shared" si="4"/>
        <v>45</v>
      </c>
      <c r="K103" s="17" t="s">
        <v>295</v>
      </c>
      <c r="L103" s="5" t="s">
        <v>318</v>
      </c>
      <c r="M103" s="5" t="s">
        <v>24</v>
      </c>
      <c r="N103" s="6" t="s">
        <v>82</v>
      </c>
      <c r="O103" s="1">
        <v>0</v>
      </c>
      <c r="P103" s="1">
        <v>0</v>
      </c>
      <c r="Q103" s="33">
        <f t="shared" si="6"/>
        <v>0</v>
      </c>
      <c r="R103" s="7">
        <v>46148</v>
      </c>
      <c r="S103" s="16">
        <f t="shared" si="5"/>
        <v>45</v>
      </c>
      <c r="T103" s="5" t="s">
        <v>653</v>
      </c>
      <c r="U103" s="6" t="s">
        <v>433</v>
      </c>
    </row>
    <row r="104" spans="1:21" x14ac:dyDescent="0.35">
      <c r="A104" s="14" t="s">
        <v>593</v>
      </c>
      <c r="B104" s="6" t="s">
        <v>19</v>
      </c>
      <c r="C104" s="6">
        <v>61532855</v>
      </c>
      <c r="D104" s="6" t="s">
        <v>331</v>
      </c>
      <c r="E104" s="6" t="s">
        <v>661</v>
      </c>
      <c r="F104" s="6" t="s">
        <v>190</v>
      </c>
      <c r="G104" s="6" t="s">
        <v>23</v>
      </c>
      <c r="H104" s="8">
        <v>46126</v>
      </c>
      <c r="I104" s="10">
        <v>46146</v>
      </c>
      <c r="J104" s="16">
        <f t="shared" si="4"/>
        <v>15</v>
      </c>
      <c r="K104" s="17" t="s">
        <v>295</v>
      </c>
      <c r="L104" s="5" t="s">
        <v>296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 t="shared" si="6"/>
        <v>4517054</v>
      </c>
      <c r="R104" s="43">
        <v>46147</v>
      </c>
      <c r="S104" s="16">
        <f t="shared" si="5"/>
        <v>16</v>
      </c>
      <c r="T104" s="5" t="s">
        <v>653</v>
      </c>
      <c r="U104" s="5" t="s">
        <v>537</v>
      </c>
    </row>
    <row r="105" spans="1:21" x14ac:dyDescent="0.35">
      <c r="A105" s="6" t="s">
        <v>654</v>
      </c>
      <c r="B105" s="6" t="s">
        <v>19</v>
      </c>
      <c r="C105" s="19">
        <v>61532967</v>
      </c>
      <c r="D105" s="6" t="s">
        <v>49</v>
      </c>
      <c r="E105" s="6" t="s">
        <v>655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 t="shared" si="4"/>
        <v>12</v>
      </c>
      <c r="K105" s="17" t="s">
        <v>295</v>
      </c>
      <c r="L105" s="5" t="s">
        <v>296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 t="shared" si="6"/>
        <v>423729</v>
      </c>
      <c r="R105" s="7">
        <v>46146</v>
      </c>
      <c r="S105" s="16">
        <f t="shared" si="5"/>
        <v>15</v>
      </c>
      <c r="T105" s="5" t="s">
        <v>653</v>
      </c>
      <c r="U105" s="5" t="s">
        <v>537</v>
      </c>
    </row>
    <row r="106" spans="1:21" x14ac:dyDescent="0.35">
      <c r="A106" s="1" t="s">
        <v>656</v>
      </c>
      <c r="B106" s="6" t="s">
        <v>30</v>
      </c>
      <c r="C106" s="1">
        <v>61918089</v>
      </c>
      <c r="D106" s="6" t="s">
        <v>657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 t="shared" si="4"/>
        <v>11</v>
      </c>
      <c r="K106" s="17" t="s">
        <v>295</v>
      </c>
      <c r="L106" s="5" t="s">
        <v>296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 t="shared" si="6"/>
        <v>791635</v>
      </c>
      <c r="R106" s="7">
        <v>46146</v>
      </c>
      <c r="S106" s="16">
        <f t="shared" si="5"/>
        <v>11</v>
      </c>
      <c r="T106" s="5" t="s">
        <v>653</v>
      </c>
      <c r="U106" s="5" t="s">
        <v>537</v>
      </c>
    </row>
    <row r="107" spans="1:21" x14ac:dyDescent="0.35">
      <c r="A107" s="1" t="s">
        <v>658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 t="shared" si="4"/>
        <v>11</v>
      </c>
      <c r="K107" s="17" t="s">
        <v>295</v>
      </c>
      <c r="L107" s="5" t="s">
        <v>296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 t="shared" si="6"/>
        <v>381435</v>
      </c>
      <c r="R107" s="7">
        <v>46146</v>
      </c>
      <c r="S107" s="16">
        <f t="shared" si="5"/>
        <v>11</v>
      </c>
      <c r="T107" s="5" t="s">
        <v>653</v>
      </c>
      <c r="U107" s="5" t="s">
        <v>537</v>
      </c>
    </row>
    <row r="108" spans="1:21" x14ac:dyDescent="0.35">
      <c r="A108" s="1" t="s">
        <v>659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 t="shared" si="4"/>
        <v>6</v>
      </c>
      <c r="K108" s="17" t="s">
        <v>295</v>
      </c>
      <c r="L108" s="5" t="s">
        <v>296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 t="shared" si="6"/>
        <v>381435</v>
      </c>
      <c r="R108" s="7">
        <v>46146</v>
      </c>
      <c r="S108" s="16">
        <f t="shared" si="5"/>
        <v>6</v>
      </c>
      <c r="T108" s="5" t="s">
        <v>653</v>
      </c>
      <c r="U108" s="5" t="s">
        <v>537</v>
      </c>
    </row>
    <row r="109" spans="1:21" x14ac:dyDescent="0.35">
      <c r="A109" s="1" t="s">
        <v>660</v>
      </c>
      <c r="B109" s="3" t="s">
        <v>30</v>
      </c>
      <c r="C109" s="1">
        <v>61702223</v>
      </c>
      <c r="D109" s="6" t="s">
        <v>479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 t="shared" si="4"/>
        <v>11</v>
      </c>
      <c r="K109" s="17" t="s">
        <v>295</v>
      </c>
      <c r="L109" s="5" t="s">
        <v>296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 t="shared" si="6"/>
        <v>190000</v>
      </c>
      <c r="R109" s="7">
        <v>46146</v>
      </c>
      <c r="S109" s="16">
        <f t="shared" si="5"/>
        <v>13</v>
      </c>
      <c r="T109" s="5" t="s">
        <v>653</v>
      </c>
      <c r="U109" s="5" t="s">
        <v>537</v>
      </c>
    </row>
    <row r="110" spans="1:21" x14ac:dyDescent="0.35">
      <c r="A110" s="6" t="s">
        <v>651</v>
      </c>
      <c r="B110" s="6" t="s">
        <v>19</v>
      </c>
      <c r="C110" s="6">
        <v>59801109</v>
      </c>
      <c r="D110" s="6" t="s">
        <v>449</v>
      </c>
      <c r="E110" s="6" t="s">
        <v>652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 t="shared" si="4"/>
        <v>10</v>
      </c>
      <c r="K110" s="17" t="s">
        <v>295</v>
      </c>
      <c r="L110" s="5" t="s">
        <v>296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 t="shared" si="6"/>
        <v>0</v>
      </c>
      <c r="R110" s="7">
        <v>46143</v>
      </c>
      <c r="S110" s="16">
        <f t="shared" si="5"/>
        <v>12</v>
      </c>
      <c r="T110" s="5" t="s">
        <v>653</v>
      </c>
      <c r="U110" s="5" t="s">
        <v>537</v>
      </c>
    </row>
    <row r="111" spans="1:21" x14ac:dyDescent="0.35">
      <c r="A111" s="6" t="s">
        <v>167</v>
      </c>
      <c r="B111" s="6" t="s">
        <v>43</v>
      </c>
      <c r="C111" s="6">
        <v>60461778</v>
      </c>
      <c r="D111" s="6" t="s">
        <v>594</v>
      </c>
      <c r="E111" s="6" t="s">
        <v>618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 t="shared" si="4"/>
        <v>23</v>
      </c>
      <c r="K111" s="6" t="s">
        <v>295</v>
      </c>
      <c r="L111" s="6" t="s">
        <v>296</v>
      </c>
      <c r="M111" s="6" t="s">
        <v>24</v>
      </c>
      <c r="N111" s="6" t="s">
        <v>191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 t="shared" si="5"/>
        <v>27</v>
      </c>
      <c r="T111" s="5" t="s">
        <v>645</v>
      </c>
      <c r="U111" s="5" t="s">
        <v>433</v>
      </c>
    </row>
    <row r="112" spans="1:21" x14ac:dyDescent="0.35">
      <c r="A112" s="6" t="s">
        <v>617</v>
      </c>
      <c r="B112" s="6" t="s">
        <v>19</v>
      </c>
      <c r="C112" s="6">
        <v>62008380</v>
      </c>
      <c r="D112" s="6" t="s">
        <v>195</v>
      </c>
      <c r="E112" s="6" t="s">
        <v>616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 t="shared" si="4"/>
        <v>5</v>
      </c>
      <c r="K112" s="6" t="s">
        <v>295</v>
      </c>
      <c r="L112" s="6" t="s">
        <v>296</v>
      </c>
      <c r="M112" s="6" t="s">
        <v>24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 t="shared" si="5"/>
        <v>8</v>
      </c>
      <c r="T112" s="5" t="s">
        <v>645</v>
      </c>
      <c r="U112" s="5" t="s">
        <v>537</v>
      </c>
    </row>
    <row r="113" spans="1:21" x14ac:dyDescent="0.35">
      <c r="A113" s="6" t="s">
        <v>428</v>
      </c>
      <c r="B113" s="6" t="s">
        <v>43</v>
      </c>
      <c r="C113" s="6">
        <v>58889872</v>
      </c>
      <c r="D113" s="6" t="s">
        <v>569</v>
      </c>
      <c r="E113" s="6" t="s">
        <v>615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 t="shared" si="4"/>
        <v>47</v>
      </c>
      <c r="K113" s="6" t="s">
        <v>295</v>
      </c>
      <c r="L113" s="6" t="s">
        <v>318</v>
      </c>
      <c r="M113" s="6" t="s">
        <v>24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 t="shared" si="5"/>
        <v>48</v>
      </c>
      <c r="T113" s="5" t="s">
        <v>645</v>
      </c>
      <c r="U113" s="5" t="s">
        <v>537</v>
      </c>
    </row>
    <row r="114" spans="1:21" x14ac:dyDescent="0.35">
      <c r="A114" s="6" t="s">
        <v>167</v>
      </c>
      <c r="B114" s="6" t="s">
        <v>43</v>
      </c>
      <c r="C114" s="6">
        <v>60458135</v>
      </c>
      <c r="D114" s="6" t="s">
        <v>333</v>
      </c>
      <c r="E114" s="6" t="s">
        <v>614</v>
      </c>
      <c r="F114" s="6" t="s">
        <v>498</v>
      </c>
      <c r="G114" s="6" t="s">
        <v>37</v>
      </c>
      <c r="H114" s="8">
        <v>46106</v>
      </c>
      <c r="I114" s="8">
        <v>46141</v>
      </c>
      <c r="J114" s="16">
        <f t="shared" si="4"/>
        <v>26</v>
      </c>
      <c r="K114" s="6" t="s">
        <v>295</v>
      </c>
      <c r="L114" s="6" t="s">
        <v>296</v>
      </c>
      <c r="M114" s="6" t="s">
        <v>24</v>
      </c>
      <c r="N114" s="6" t="s">
        <v>191</v>
      </c>
      <c r="O114" s="6">
        <v>0</v>
      </c>
      <c r="P114" s="6">
        <v>0</v>
      </c>
      <c r="Q114" s="12">
        <v>0</v>
      </c>
      <c r="R114" s="8">
        <v>46142</v>
      </c>
      <c r="S114" s="16">
        <f t="shared" si="5"/>
        <v>27</v>
      </c>
      <c r="T114" s="5" t="s">
        <v>645</v>
      </c>
      <c r="U114" s="5" t="s">
        <v>433</v>
      </c>
    </row>
    <row r="115" spans="1:21" x14ac:dyDescent="0.35">
      <c r="A115" s="6" t="s">
        <v>167</v>
      </c>
      <c r="B115" s="6" t="s">
        <v>43</v>
      </c>
      <c r="C115" s="6">
        <v>60461761</v>
      </c>
      <c r="D115" s="6" t="s">
        <v>594</v>
      </c>
      <c r="E115" s="6" t="s">
        <v>613</v>
      </c>
      <c r="F115" s="6" t="s">
        <v>498</v>
      </c>
      <c r="G115" s="6" t="s">
        <v>37</v>
      </c>
      <c r="H115" s="8">
        <v>46106</v>
      </c>
      <c r="I115" s="8">
        <v>46141</v>
      </c>
      <c r="J115" s="16">
        <f t="shared" si="4"/>
        <v>26</v>
      </c>
      <c r="K115" s="6" t="s">
        <v>344</v>
      </c>
      <c r="L115" s="6" t="s">
        <v>296</v>
      </c>
      <c r="M115" s="6" t="s">
        <v>24</v>
      </c>
      <c r="N115" s="6" t="s">
        <v>191</v>
      </c>
      <c r="O115" s="6">
        <v>0</v>
      </c>
      <c r="P115" s="6">
        <v>0</v>
      </c>
      <c r="Q115" s="12">
        <v>0</v>
      </c>
      <c r="R115" s="8">
        <v>46142</v>
      </c>
      <c r="S115" s="16">
        <f t="shared" si="5"/>
        <v>27</v>
      </c>
      <c r="T115" s="5" t="s">
        <v>645</v>
      </c>
      <c r="U115" s="5" t="s">
        <v>433</v>
      </c>
    </row>
    <row r="116" spans="1:21" x14ac:dyDescent="0.35">
      <c r="A116" s="6" t="s">
        <v>634</v>
      </c>
      <c r="B116" s="6" t="s">
        <v>19</v>
      </c>
      <c r="C116" s="6">
        <v>58649804</v>
      </c>
      <c r="D116" s="6" t="s">
        <v>35</v>
      </c>
      <c r="E116" s="6" t="s">
        <v>647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 t="shared" si="4"/>
        <v>47</v>
      </c>
      <c r="K116" s="6" t="s">
        <v>295</v>
      </c>
      <c r="L116" s="6" t="s">
        <v>650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 t="shared" si="5"/>
        <v>48</v>
      </c>
      <c r="T116" s="6" t="s">
        <v>645</v>
      </c>
      <c r="U116" s="6" t="s">
        <v>537</v>
      </c>
    </row>
    <row r="117" spans="1:21" x14ac:dyDescent="0.35">
      <c r="A117" s="6" t="s">
        <v>648</v>
      </c>
      <c r="B117" s="6" t="s">
        <v>19</v>
      </c>
      <c r="C117" s="6">
        <v>61157877</v>
      </c>
      <c r="D117" s="6" t="s">
        <v>20</v>
      </c>
      <c r="E117" s="6" t="s">
        <v>649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 t="shared" si="4"/>
        <v>18</v>
      </c>
      <c r="K117" s="6" t="s">
        <v>295</v>
      </c>
      <c r="L117" s="6" t="s">
        <v>302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 t="shared" si="5"/>
        <v>18</v>
      </c>
      <c r="T117" s="6" t="s">
        <v>645</v>
      </c>
      <c r="U117" s="6" t="s">
        <v>537</v>
      </c>
    </row>
    <row r="118" spans="1:21" x14ac:dyDescent="0.35">
      <c r="A118" s="6" t="s">
        <v>167</v>
      </c>
      <c r="B118" s="6" t="s">
        <v>43</v>
      </c>
      <c r="C118" s="6">
        <v>58821553</v>
      </c>
      <c r="D118" s="6" t="s">
        <v>49</v>
      </c>
      <c r="E118" s="6" t="s">
        <v>632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 t="shared" si="4"/>
        <v>46</v>
      </c>
      <c r="K118" s="6" t="s">
        <v>295</v>
      </c>
      <c r="L118" s="6" t="s">
        <v>302</v>
      </c>
      <c r="M118" s="6" t="s">
        <v>24</v>
      </c>
      <c r="N118" s="6" t="s">
        <v>191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 t="shared" si="5"/>
        <v>48</v>
      </c>
      <c r="T118" s="5" t="s">
        <v>645</v>
      </c>
      <c r="U118" s="5" t="s">
        <v>433</v>
      </c>
    </row>
    <row r="119" spans="1:21" x14ac:dyDescent="0.35">
      <c r="A119" s="6" t="s">
        <v>167</v>
      </c>
      <c r="B119" s="6" t="s">
        <v>43</v>
      </c>
      <c r="C119" s="6">
        <v>60463210</v>
      </c>
      <c r="D119" s="6" t="s">
        <v>316</v>
      </c>
      <c r="E119" s="6" t="s">
        <v>631</v>
      </c>
      <c r="F119" s="6" t="s">
        <v>498</v>
      </c>
      <c r="G119" s="6" t="s">
        <v>37</v>
      </c>
      <c r="H119" s="8">
        <v>46106</v>
      </c>
      <c r="I119" s="8">
        <v>46132</v>
      </c>
      <c r="J119" s="16">
        <f t="shared" si="4"/>
        <v>19</v>
      </c>
      <c r="K119" s="6" t="s">
        <v>295</v>
      </c>
      <c r="L119" s="6" t="s">
        <v>296</v>
      </c>
      <c r="M119" s="6" t="s">
        <v>24</v>
      </c>
      <c r="N119" s="6" t="s">
        <v>191</v>
      </c>
      <c r="O119" s="6">
        <v>0</v>
      </c>
      <c r="P119" s="6">
        <v>0</v>
      </c>
      <c r="Q119" s="12">
        <v>0</v>
      </c>
      <c r="R119" s="8">
        <v>46141</v>
      </c>
      <c r="S119" s="16">
        <f t="shared" si="5"/>
        <v>26</v>
      </c>
      <c r="T119" s="5" t="s">
        <v>645</v>
      </c>
      <c r="U119" s="5" t="s">
        <v>433</v>
      </c>
    </row>
    <row r="120" spans="1:21" x14ac:dyDescent="0.35">
      <c r="A120" s="6" t="s">
        <v>167</v>
      </c>
      <c r="B120" s="6" t="s">
        <v>43</v>
      </c>
      <c r="C120" s="6">
        <v>60458148</v>
      </c>
      <c r="D120" s="6" t="s">
        <v>333</v>
      </c>
      <c r="E120" s="6" t="s">
        <v>630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 t="shared" si="4"/>
        <v>14</v>
      </c>
      <c r="K120" s="6" t="s">
        <v>295</v>
      </c>
      <c r="L120" s="6" t="s">
        <v>296</v>
      </c>
      <c r="M120" s="6" t="s">
        <v>24</v>
      </c>
      <c r="N120" s="6" t="s">
        <v>191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 t="shared" si="5"/>
        <v>22</v>
      </c>
      <c r="T120" s="5" t="s">
        <v>645</v>
      </c>
      <c r="U120" s="5" t="s">
        <v>433</v>
      </c>
    </row>
    <row r="121" spans="1:21" x14ac:dyDescent="0.35">
      <c r="A121" s="6" t="s">
        <v>167</v>
      </c>
      <c r="B121" s="6" t="s">
        <v>43</v>
      </c>
      <c r="C121" s="6">
        <v>58821537</v>
      </c>
      <c r="D121" s="6" t="s">
        <v>49</v>
      </c>
      <c r="E121" s="6" t="s">
        <v>629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 t="shared" si="4"/>
        <v>38</v>
      </c>
      <c r="K121" s="6" t="s">
        <v>295</v>
      </c>
      <c r="L121" s="6" t="s">
        <v>296</v>
      </c>
      <c r="M121" s="6" t="s">
        <v>24</v>
      </c>
      <c r="N121" s="6" t="s">
        <v>191</v>
      </c>
      <c r="O121" s="6">
        <v>0</v>
      </c>
      <c r="P121" s="6">
        <v>30000</v>
      </c>
      <c r="Q121" s="12">
        <v>30000</v>
      </c>
      <c r="R121" s="8">
        <v>46141</v>
      </c>
      <c r="S121" s="16">
        <f t="shared" si="5"/>
        <v>48</v>
      </c>
      <c r="T121" s="5" t="s">
        <v>645</v>
      </c>
      <c r="U121" s="5" t="s">
        <v>433</v>
      </c>
    </row>
    <row r="122" spans="1:21" x14ac:dyDescent="0.35">
      <c r="A122" s="6" t="s">
        <v>167</v>
      </c>
      <c r="B122" s="6" t="s">
        <v>43</v>
      </c>
      <c r="C122" s="6">
        <v>58822576</v>
      </c>
      <c r="D122" s="6" t="s">
        <v>281</v>
      </c>
      <c r="E122" s="6" t="s">
        <v>628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 t="shared" si="4"/>
        <v>8</v>
      </c>
      <c r="K122" s="6" t="s">
        <v>295</v>
      </c>
      <c r="L122" s="6" t="s">
        <v>296</v>
      </c>
      <c r="M122" s="6" t="s">
        <v>24</v>
      </c>
      <c r="N122" s="6" t="s">
        <v>191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 t="shared" si="5"/>
        <v>48</v>
      </c>
      <c r="T122" s="5" t="s">
        <v>645</v>
      </c>
      <c r="U122" s="5" t="s">
        <v>433</v>
      </c>
    </row>
    <row r="123" spans="1:21" x14ac:dyDescent="0.35">
      <c r="A123" s="6" t="s">
        <v>167</v>
      </c>
      <c r="B123" s="6" t="s">
        <v>43</v>
      </c>
      <c r="C123" s="6">
        <v>58822595</v>
      </c>
      <c r="D123" s="6" t="s">
        <v>281</v>
      </c>
      <c r="E123" s="6" t="s">
        <v>627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 t="shared" si="4"/>
        <v>19</v>
      </c>
      <c r="K123" s="6" t="s">
        <v>295</v>
      </c>
      <c r="L123" s="6" t="s">
        <v>296</v>
      </c>
      <c r="M123" s="6" t="s">
        <v>24</v>
      </c>
      <c r="N123" s="6" t="s">
        <v>191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 t="shared" si="5"/>
        <v>48</v>
      </c>
      <c r="T123" s="5" t="s">
        <v>645</v>
      </c>
      <c r="U123" s="5" t="s">
        <v>433</v>
      </c>
    </row>
    <row r="124" spans="1:21" x14ac:dyDescent="0.35">
      <c r="A124" s="6" t="s">
        <v>89</v>
      </c>
      <c r="B124" s="6" t="s">
        <v>19</v>
      </c>
      <c r="C124" s="6">
        <v>61220566</v>
      </c>
      <c r="D124" s="6" t="s">
        <v>557</v>
      </c>
      <c r="E124" s="6" t="s">
        <v>626</v>
      </c>
      <c r="F124" s="6" t="s">
        <v>190</v>
      </c>
      <c r="G124" s="6" t="s">
        <v>23</v>
      </c>
      <c r="H124" s="8">
        <v>46121</v>
      </c>
      <c r="I124" s="8">
        <v>46122</v>
      </c>
      <c r="J124" s="16">
        <f t="shared" si="4"/>
        <v>2</v>
      </c>
      <c r="K124" s="6" t="s">
        <v>295</v>
      </c>
      <c r="L124" s="6" t="s">
        <v>296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 t="shared" si="5"/>
        <v>15</v>
      </c>
      <c r="T124" s="5" t="s">
        <v>645</v>
      </c>
      <c r="U124" s="5" t="s">
        <v>646</v>
      </c>
    </row>
    <row r="125" spans="1:21" x14ac:dyDescent="0.35">
      <c r="A125" s="6" t="s">
        <v>625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 t="shared" si="4"/>
        <v>13</v>
      </c>
      <c r="K125" s="6" t="s">
        <v>295</v>
      </c>
      <c r="L125" s="6" t="s">
        <v>296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 t="shared" si="5"/>
        <v>16</v>
      </c>
      <c r="T125" s="5" t="s">
        <v>645</v>
      </c>
      <c r="U125" s="6" t="s">
        <v>433</v>
      </c>
    </row>
    <row r="126" spans="1:21" x14ac:dyDescent="0.35">
      <c r="A126" s="6" t="s">
        <v>624</v>
      </c>
      <c r="B126" s="6" t="s">
        <v>19</v>
      </c>
      <c r="C126" s="6">
        <v>61565561</v>
      </c>
      <c r="D126" s="6" t="s">
        <v>136</v>
      </c>
      <c r="E126" s="6" t="s">
        <v>623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 t="shared" si="4"/>
        <v>6</v>
      </c>
      <c r="K126" s="6" t="s">
        <v>295</v>
      </c>
      <c r="L126" s="6" t="s">
        <v>296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 t="shared" si="5"/>
        <v>12</v>
      </c>
      <c r="T126" s="5" t="s">
        <v>645</v>
      </c>
      <c r="U126" s="5" t="s">
        <v>537</v>
      </c>
    </row>
    <row r="127" spans="1:21" x14ac:dyDescent="0.35">
      <c r="A127" s="6" t="s">
        <v>622</v>
      </c>
      <c r="B127" s="6" t="s">
        <v>19</v>
      </c>
      <c r="C127" s="6">
        <v>61580430</v>
      </c>
      <c r="D127" s="6" t="s">
        <v>35</v>
      </c>
      <c r="E127" s="6" t="s">
        <v>621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 t="shared" si="4"/>
        <v>6</v>
      </c>
      <c r="K127" s="6" t="s">
        <v>295</v>
      </c>
      <c r="L127" s="6" t="s">
        <v>296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 t="shared" si="5"/>
        <v>12</v>
      </c>
      <c r="T127" s="5" t="s">
        <v>645</v>
      </c>
      <c r="U127" s="5" t="s">
        <v>537</v>
      </c>
    </row>
    <row r="128" spans="1:21" x14ac:dyDescent="0.35">
      <c r="A128" s="6" t="s">
        <v>620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 t="shared" si="4"/>
        <v>14</v>
      </c>
      <c r="K128" s="6" t="s">
        <v>295</v>
      </c>
      <c r="L128" s="6" t="s">
        <v>296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 t="shared" si="5"/>
        <v>16</v>
      </c>
      <c r="T128" s="5" t="s">
        <v>645</v>
      </c>
      <c r="U128" s="6" t="s">
        <v>433</v>
      </c>
    </row>
    <row r="129" spans="1:21" x14ac:dyDescent="0.35">
      <c r="A129" s="6" t="s">
        <v>619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 t="shared" si="4"/>
        <v>38</v>
      </c>
      <c r="K129" s="6" t="s">
        <v>295</v>
      </c>
      <c r="L129" s="6" t="s">
        <v>318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 t="shared" si="5"/>
        <v>40</v>
      </c>
      <c r="T129" s="5" t="s">
        <v>645</v>
      </c>
      <c r="U129" s="6" t="s">
        <v>433</v>
      </c>
    </row>
    <row r="130" spans="1:21" x14ac:dyDescent="0.35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638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 t="shared" ref="J130:J193" si="7">+NETWORKDAYS(H130,I130)</f>
        <v>12</v>
      </c>
      <c r="K130" s="6" t="s">
        <v>295</v>
      </c>
      <c r="L130" s="6" t="s">
        <v>296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 t="shared" ref="S130:S193" si="8">NETWORKDAYS(H130,R130)</f>
        <v>13</v>
      </c>
      <c r="T130" s="5" t="s">
        <v>645</v>
      </c>
      <c r="U130" s="5" t="s">
        <v>537</v>
      </c>
    </row>
    <row r="131" spans="1:21" x14ac:dyDescent="0.35">
      <c r="A131" s="6" t="s">
        <v>624</v>
      </c>
      <c r="B131" s="6" t="s">
        <v>19</v>
      </c>
      <c r="C131" s="6">
        <v>61509436</v>
      </c>
      <c r="D131" s="6" t="s">
        <v>268</v>
      </c>
      <c r="E131" s="6" t="s">
        <v>637</v>
      </c>
      <c r="F131" s="6" t="s">
        <v>190</v>
      </c>
      <c r="G131" s="6" t="s">
        <v>23</v>
      </c>
      <c r="H131" s="8">
        <v>46125</v>
      </c>
      <c r="I131" s="8">
        <v>46140</v>
      </c>
      <c r="J131" s="16">
        <f t="shared" si="7"/>
        <v>12</v>
      </c>
      <c r="K131" s="6" t="s">
        <v>295</v>
      </c>
      <c r="L131" s="6" t="s">
        <v>296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 t="shared" si="8"/>
        <v>12</v>
      </c>
      <c r="T131" s="5" t="s">
        <v>645</v>
      </c>
      <c r="U131" s="5" t="s">
        <v>433</v>
      </c>
    </row>
    <row r="132" spans="1:21" s="18" customFormat="1" x14ac:dyDescent="0.35">
      <c r="A132" s="6" t="s">
        <v>624</v>
      </c>
      <c r="B132" s="6" t="s">
        <v>19</v>
      </c>
      <c r="C132" s="6">
        <v>61510116</v>
      </c>
      <c r="D132" s="6" t="s">
        <v>636</v>
      </c>
      <c r="E132" s="6" t="s">
        <v>635</v>
      </c>
      <c r="F132" s="6" t="s">
        <v>190</v>
      </c>
      <c r="G132" s="6" t="s">
        <v>23</v>
      </c>
      <c r="H132" s="8">
        <v>46125</v>
      </c>
      <c r="I132" s="8">
        <v>46140</v>
      </c>
      <c r="J132" s="16">
        <f t="shared" si="7"/>
        <v>12</v>
      </c>
      <c r="K132" s="6" t="s">
        <v>295</v>
      </c>
      <c r="L132" s="6" t="s">
        <v>296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 t="shared" si="8"/>
        <v>12</v>
      </c>
      <c r="T132" s="5" t="s">
        <v>645</v>
      </c>
      <c r="U132" s="5" t="s">
        <v>433</v>
      </c>
    </row>
    <row r="133" spans="1:21" s="18" customFormat="1" x14ac:dyDescent="0.35">
      <c r="A133" s="6" t="s">
        <v>634</v>
      </c>
      <c r="B133" s="6" t="s">
        <v>19</v>
      </c>
      <c r="C133" s="6">
        <v>58649837</v>
      </c>
      <c r="D133" s="6" t="s">
        <v>35</v>
      </c>
      <c r="E133" s="6" t="s">
        <v>633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 t="shared" si="7"/>
        <v>46</v>
      </c>
      <c r="K133" s="6" t="s">
        <v>295</v>
      </c>
      <c r="L133" s="6" t="s">
        <v>296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 t="shared" si="8"/>
        <v>46</v>
      </c>
      <c r="T133" s="5" t="s">
        <v>645</v>
      </c>
      <c r="U133" s="5" t="s">
        <v>433</v>
      </c>
    </row>
    <row r="134" spans="1:21" x14ac:dyDescent="0.35">
      <c r="A134" s="6" t="s">
        <v>644</v>
      </c>
      <c r="B134" s="6" t="s">
        <v>19</v>
      </c>
      <c r="C134" s="6">
        <v>61622459</v>
      </c>
      <c r="D134" s="6" t="s">
        <v>643</v>
      </c>
      <c r="E134" s="6" t="s">
        <v>642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 t="shared" si="7"/>
        <v>8</v>
      </c>
      <c r="K134" s="6" t="s">
        <v>344</v>
      </c>
      <c r="L134" s="6" t="s">
        <v>296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 t="shared" si="8"/>
        <v>9</v>
      </c>
      <c r="T134" s="5" t="s">
        <v>645</v>
      </c>
      <c r="U134" s="6" t="s">
        <v>433</v>
      </c>
    </row>
    <row r="135" spans="1:21" x14ac:dyDescent="0.35">
      <c r="A135" s="6" t="s">
        <v>641</v>
      </c>
      <c r="B135" s="6" t="s">
        <v>19</v>
      </c>
      <c r="C135" s="6">
        <v>58274609</v>
      </c>
      <c r="D135" s="6" t="s">
        <v>20</v>
      </c>
      <c r="E135" s="6" t="s">
        <v>640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 t="shared" si="7"/>
        <v>51</v>
      </c>
      <c r="K135" s="6" t="s">
        <v>295</v>
      </c>
      <c r="L135" s="6" t="s">
        <v>565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 t="shared" si="8"/>
        <v>52</v>
      </c>
      <c r="T135" s="5" t="s">
        <v>645</v>
      </c>
      <c r="U135" s="5" t="s">
        <v>537</v>
      </c>
    </row>
    <row r="136" spans="1:21" x14ac:dyDescent="0.35">
      <c r="A136" s="6" t="s">
        <v>455</v>
      </c>
      <c r="B136" s="6" t="s">
        <v>19</v>
      </c>
      <c r="C136" s="6">
        <v>61572859</v>
      </c>
      <c r="D136" s="6" t="s">
        <v>20</v>
      </c>
      <c r="E136" s="6" t="s">
        <v>639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 t="shared" si="7"/>
        <v>10</v>
      </c>
      <c r="K136" s="6" t="s">
        <v>295</v>
      </c>
      <c r="L136" s="6" t="s">
        <v>296</v>
      </c>
      <c r="M136" s="5" t="s">
        <v>24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 t="shared" si="8"/>
        <v>10</v>
      </c>
      <c r="T136" s="5" t="s">
        <v>645</v>
      </c>
      <c r="U136" s="5" t="s">
        <v>537</v>
      </c>
    </row>
    <row r="137" spans="1:21" x14ac:dyDescent="0.35">
      <c r="A137" s="1" t="s">
        <v>612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 t="shared" si="7"/>
        <v>13</v>
      </c>
      <c r="K137" s="17" t="s">
        <v>295</v>
      </c>
      <c r="L137" s="5" t="s">
        <v>296</v>
      </c>
      <c r="M137" s="42" t="s">
        <v>24</v>
      </c>
      <c r="N137" s="5" t="s">
        <v>82</v>
      </c>
      <c r="O137" s="1">
        <v>0</v>
      </c>
      <c r="P137" s="1">
        <v>0</v>
      </c>
      <c r="Q137" s="33">
        <f t="shared" ref="Q137:Q165" si="9">P137+O137</f>
        <v>0</v>
      </c>
      <c r="R137" s="44">
        <v>46136</v>
      </c>
      <c r="S137" s="16">
        <f t="shared" si="8"/>
        <v>13</v>
      </c>
      <c r="T137" s="5" t="s">
        <v>588</v>
      </c>
      <c r="U137" s="6" t="s">
        <v>433</v>
      </c>
    </row>
    <row r="138" spans="1:21" x14ac:dyDescent="0.35">
      <c r="A138" s="6" t="s">
        <v>138</v>
      </c>
      <c r="B138" s="6" t="s">
        <v>43</v>
      </c>
      <c r="C138" s="6">
        <v>56609018</v>
      </c>
      <c r="D138" s="6" t="s">
        <v>604</v>
      </c>
      <c r="E138" s="6" t="s">
        <v>605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 t="shared" si="7"/>
        <v>70</v>
      </c>
      <c r="K138" s="17" t="s">
        <v>295</v>
      </c>
      <c r="L138" s="5" t="s">
        <v>318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 t="shared" si="9"/>
        <v>2300000</v>
      </c>
      <c r="R138" s="7">
        <v>46135</v>
      </c>
      <c r="S138" s="16">
        <f t="shared" si="8"/>
        <v>73</v>
      </c>
      <c r="T138" s="5" t="s">
        <v>588</v>
      </c>
      <c r="U138" s="5" t="s">
        <v>537</v>
      </c>
    </row>
    <row r="139" spans="1:21" x14ac:dyDescent="0.35">
      <c r="A139" s="14" t="s">
        <v>606</v>
      </c>
      <c r="B139" s="6" t="s">
        <v>19</v>
      </c>
      <c r="C139" s="6">
        <v>55686160</v>
      </c>
      <c r="D139" s="6" t="s">
        <v>122</v>
      </c>
      <c r="E139" s="6" t="s">
        <v>607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 t="shared" si="7"/>
        <v>85</v>
      </c>
      <c r="K139" s="17" t="s">
        <v>295</v>
      </c>
      <c r="L139" s="5" t="s">
        <v>302</v>
      </c>
      <c r="M139" s="5" t="s">
        <v>24</v>
      </c>
      <c r="N139" s="6" t="s">
        <v>254</v>
      </c>
      <c r="O139" s="12">
        <v>1722301</v>
      </c>
      <c r="P139" s="12">
        <v>1114967</v>
      </c>
      <c r="Q139" s="33">
        <f t="shared" si="9"/>
        <v>2837268</v>
      </c>
      <c r="R139" s="7">
        <v>46135</v>
      </c>
      <c r="S139" s="16">
        <f t="shared" si="8"/>
        <v>87</v>
      </c>
      <c r="T139" s="5" t="s">
        <v>588</v>
      </c>
      <c r="U139" s="5" t="s">
        <v>537</v>
      </c>
    </row>
    <row r="140" spans="1:21" x14ac:dyDescent="0.35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608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 t="shared" si="7"/>
        <v>32</v>
      </c>
      <c r="K140" s="17" t="s">
        <v>295</v>
      </c>
      <c r="L140" s="5" t="s">
        <v>318</v>
      </c>
      <c r="M140" s="5" t="s">
        <v>24</v>
      </c>
      <c r="N140" s="6" t="s">
        <v>169</v>
      </c>
      <c r="O140" s="12">
        <v>0</v>
      </c>
      <c r="P140" s="12">
        <v>0</v>
      </c>
      <c r="Q140" s="33">
        <f t="shared" si="9"/>
        <v>0</v>
      </c>
      <c r="R140" s="7">
        <v>46135</v>
      </c>
      <c r="S140" s="16">
        <f t="shared" si="8"/>
        <v>35</v>
      </c>
      <c r="T140" s="5" t="s">
        <v>588</v>
      </c>
      <c r="U140" s="6" t="s">
        <v>433</v>
      </c>
    </row>
    <row r="141" spans="1:21" x14ac:dyDescent="0.35">
      <c r="A141" s="3" t="s">
        <v>609</v>
      </c>
      <c r="B141" s="3" t="s">
        <v>30</v>
      </c>
      <c r="C141" s="3">
        <v>61183418</v>
      </c>
      <c r="D141" s="5" t="s">
        <v>610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 t="shared" si="7"/>
        <v>11</v>
      </c>
      <c r="K141" s="17" t="s">
        <v>295</v>
      </c>
      <c r="L141" s="5" t="s">
        <v>296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 t="shared" si="9"/>
        <v>711635</v>
      </c>
      <c r="R141" s="43">
        <v>46135</v>
      </c>
      <c r="S141" s="16">
        <f t="shared" si="8"/>
        <v>13</v>
      </c>
      <c r="T141" s="5" t="s">
        <v>588</v>
      </c>
      <c r="U141" s="5" t="s">
        <v>537</v>
      </c>
    </row>
    <row r="142" spans="1:21" x14ac:dyDescent="0.35">
      <c r="A142" s="1" t="s">
        <v>611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 t="shared" si="7"/>
        <v>22</v>
      </c>
      <c r="K142" s="17" t="s">
        <v>295</v>
      </c>
      <c r="L142" s="5" t="s">
        <v>296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 t="shared" si="9"/>
        <v>1231750</v>
      </c>
      <c r="R142" s="44">
        <v>46135</v>
      </c>
      <c r="S142" s="16">
        <f t="shared" si="8"/>
        <v>22</v>
      </c>
      <c r="T142" s="5" t="s">
        <v>588</v>
      </c>
      <c r="U142" s="5" t="s">
        <v>537</v>
      </c>
    </row>
    <row r="143" spans="1:21" x14ac:dyDescent="0.35">
      <c r="A143" s="1" t="s">
        <v>601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 t="shared" si="7"/>
        <v>24</v>
      </c>
      <c r="K143" s="17" t="s">
        <v>295</v>
      </c>
      <c r="L143" s="5" t="s">
        <v>296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 t="shared" si="9"/>
        <v>1231750</v>
      </c>
      <c r="R143" s="7">
        <v>46134</v>
      </c>
      <c r="S143" s="16">
        <f t="shared" si="8"/>
        <v>25</v>
      </c>
      <c r="T143" s="5" t="s">
        <v>588</v>
      </c>
      <c r="U143" s="5" t="s">
        <v>537</v>
      </c>
    </row>
    <row r="144" spans="1:21" x14ac:dyDescent="0.35">
      <c r="A144" s="6" t="s">
        <v>596</v>
      </c>
      <c r="B144" s="6" t="s">
        <v>19</v>
      </c>
      <c r="C144" s="6">
        <v>61507701</v>
      </c>
      <c r="D144" s="6" t="s">
        <v>355</v>
      </c>
      <c r="E144" s="6" t="s">
        <v>602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 t="shared" si="7"/>
        <v>8</v>
      </c>
      <c r="K144" s="17" t="s">
        <v>295</v>
      </c>
      <c r="L144" s="5" t="s">
        <v>296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 t="shared" si="9"/>
        <v>1071850</v>
      </c>
      <c r="R144" s="7">
        <v>46134</v>
      </c>
      <c r="S144" s="16">
        <f t="shared" si="8"/>
        <v>8</v>
      </c>
      <c r="T144" s="5" t="s">
        <v>588</v>
      </c>
      <c r="U144" s="5" t="s">
        <v>537</v>
      </c>
    </row>
    <row r="145" spans="1:21" x14ac:dyDescent="0.35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603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 t="shared" si="7"/>
        <v>14</v>
      </c>
      <c r="K145" s="17" t="s">
        <v>295</v>
      </c>
      <c r="L145" s="5" t="s">
        <v>296</v>
      </c>
      <c r="M145" s="42" t="s">
        <v>24</v>
      </c>
      <c r="N145" s="6" t="s">
        <v>193</v>
      </c>
      <c r="O145" s="12">
        <v>1600000</v>
      </c>
      <c r="P145" s="12">
        <v>150000</v>
      </c>
      <c r="Q145" s="33">
        <f t="shared" si="9"/>
        <v>1750000</v>
      </c>
      <c r="R145" s="7">
        <v>46134</v>
      </c>
      <c r="S145" s="16">
        <f t="shared" si="8"/>
        <v>14</v>
      </c>
      <c r="T145" s="5" t="s">
        <v>588</v>
      </c>
      <c r="U145" s="5" t="s">
        <v>537</v>
      </c>
    </row>
    <row r="146" spans="1:21" x14ac:dyDescent="0.35">
      <c r="A146" s="6" t="s">
        <v>596</v>
      </c>
      <c r="B146" s="6" t="s">
        <v>19</v>
      </c>
      <c r="C146" s="6">
        <v>61506362</v>
      </c>
      <c r="D146" s="6" t="s">
        <v>597</v>
      </c>
      <c r="E146" s="6" t="s">
        <v>598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 t="shared" si="7"/>
        <v>5</v>
      </c>
      <c r="K146" s="17" t="s">
        <v>295</v>
      </c>
      <c r="L146" s="5" t="s">
        <v>296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 t="shared" si="9"/>
        <v>1693896</v>
      </c>
      <c r="R146" s="7">
        <v>46133</v>
      </c>
      <c r="S146" s="16">
        <f t="shared" si="8"/>
        <v>7</v>
      </c>
      <c r="T146" s="5" t="s">
        <v>588</v>
      </c>
      <c r="U146" s="5" t="s">
        <v>537</v>
      </c>
    </row>
    <row r="147" spans="1:21" x14ac:dyDescent="0.35">
      <c r="A147" s="6" t="s">
        <v>345</v>
      </c>
      <c r="B147" s="6" t="s">
        <v>19</v>
      </c>
      <c r="C147" s="6">
        <v>60399905</v>
      </c>
      <c r="D147" s="6" t="s">
        <v>569</v>
      </c>
      <c r="E147" s="6" t="s">
        <v>599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 t="shared" si="7"/>
        <v>19</v>
      </c>
      <c r="K147" s="17" t="s">
        <v>295</v>
      </c>
      <c r="L147" s="5" t="s">
        <v>296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 t="shared" si="9"/>
        <v>1460000</v>
      </c>
      <c r="R147" s="7">
        <v>46133</v>
      </c>
      <c r="S147" s="16">
        <f t="shared" si="8"/>
        <v>21</v>
      </c>
      <c r="T147" s="5" t="s">
        <v>588</v>
      </c>
      <c r="U147" s="5" t="s">
        <v>537</v>
      </c>
    </row>
    <row r="148" spans="1:21" x14ac:dyDescent="0.35">
      <c r="A148" s="5" t="s">
        <v>535</v>
      </c>
      <c r="B148" s="5" t="s">
        <v>43</v>
      </c>
      <c r="C148" s="6">
        <v>44431296</v>
      </c>
      <c r="D148" s="5" t="s">
        <v>281</v>
      </c>
      <c r="E148" s="6" t="s">
        <v>600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 t="shared" si="7"/>
        <v>248</v>
      </c>
      <c r="K148" s="17" t="s">
        <v>295</v>
      </c>
      <c r="L148" s="5" t="s">
        <v>318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 t="shared" si="9"/>
        <v>700000</v>
      </c>
      <c r="R148" s="7">
        <v>46133</v>
      </c>
      <c r="S148" s="16">
        <f t="shared" si="8"/>
        <v>248</v>
      </c>
      <c r="T148" s="5" t="s">
        <v>588</v>
      </c>
      <c r="U148" s="5" t="s">
        <v>537</v>
      </c>
    </row>
    <row r="149" spans="1:21" x14ac:dyDescent="0.35">
      <c r="A149" s="6" t="s">
        <v>586</v>
      </c>
      <c r="B149" s="6" t="s">
        <v>19</v>
      </c>
      <c r="C149" s="6">
        <v>60416636</v>
      </c>
      <c r="D149" s="6" t="s">
        <v>281</v>
      </c>
      <c r="E149" s="6" t="s">
        <v>587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 t="shared" si="7"/>
        <v>19</v>
      </c>
      <c r="K149" s="17" t="s">
        <v>295</v>
      </c>
      <c r="L149" s="5" t="s">
        <v>296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 t="shared" si="9"/>
        <v>856222</v>
      </c>
      <c r="R149" s="7">
        <v>46132</v>
      </c>
      <c r="S149" s="16">
        <f t="shared" si="8"/>
        <v>20</v>
      </c>
      <c r="T149" s="5" t="s">
        <v>588</v>
      </c>
      <c r="U149" s="5" t="s">
        <v>537</v>
      </c>
    </row>
    <row r="150" spans="1:21" x14ac:dyDescent="0.35">
      <c r="A150" s="6" t="s">
        <v>589</v>
      </c>
      <c r="B150" s="6" t="s">
        <v>43</v>
      </c>
      <c r="C150" s="6">
        <v>57849095</v>
      </c>
      <c r="D150" s="6" t="s">
        <v>35</v>
      </c>
      <c r="E150" s="6" t="s">
        <v>590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 t="shared" si="7"/>
        <v>32</v>
      </c>
      <c r="K150" s="17" t="s">
        <v>295</v>
      </c>
      <c r="L150" s="5" t="s">
        <v>296</v>
      </c>
      <c r="M150" s="5" t="s">
        <v>24</v>
      </c>
      <c r="N150" s="6" t="s">
        <v>169</v>
      </c>
      <c r="O150" s="33">
        <v>0</v>
      </c>
      <c r="P150" s="33">
        <v>0</v>
      </c>
      <c r="Q150" s="33">
        <f t="shared" si="9"/>
        <v>0</v>
      </c>
      <c r="R150" s="7">
        <v>46132</v>
      </c>
      <c r="S150" s="16">
        <f t="shared" si="8"/>
        <v>51</v>
      </c>
      <c r="T150" s="5" t="s">
        <v>588</v>
      </c>
      <c r="U150" s="6" t="s">
        <v>433</v>
      </c>
    </row>
    <row r="151" spans="1:21" x14ac:dyDescent="0.35">
      <c r="A151" s="6" t="s">
        <v>589</v>
      </c>
      <c r="B151" s="6" t="s">
        <v>43</v>
      </c>
      <c r="C151" s="6">
        <v>57692887</v>
      </c>
      <c r="D151" s="6" t="s">
        <v>591</v>
      </c>
      <c r="E151" s="6" t="s">
        <v>592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 t="shared" si="7"/>
        <v>30</v>
      </c>
      <c r="K151" s="17" t="s">
        <v>295</v>
      </c>
      <c r="L151" s="5" t="s">
        <v>296</v>
      </c>
      <c r="M151" s="5" t="s">
        <v>24</v>
      </c>
      <c r="N151" s="6" t="s">
        <v>169</v>
      </c>
      <c r="O151" s="33">
        <v>0</v>
      </c>
      <c r="P151" s="33">
        <v>0</v>
      </c>
      <c r="Q151" s="33">
        <f t="shared" si="9"/>
        <v>0</v>
      </c>
      <c r="R151" s="7">
        <v>46132</v>
      </c>
      <c r="S151" s="16">
        <f t="shared" si="8"/>
        <v>54</v>
      </c>
      <c r="T151" s="5" t="s">
        <v>588</v>
      </c>
      <c r="U151" s="6" t="s">
        <v>433</v>
      </c>
    </row>
    <row r="152" spans="1:21" x14ac:dyDescent="0.35">
      <c r="A152" s="14" t="s">
        <v>593</v>
      </c>
      <c r="B152" s="6" t="s">
        <v>19</v>
      </c>
      <c r="C152" s="6">
        <v>61552809</v>
      </c>
      <c r="D152" s="6" t="s">
        <v>594</v>
      </c>
      <c r="E152" s="6" t="s">
        <v>595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 t="shared" si="7"/>
        <v>5</v>
      </c>
      <c r="K152" s="17" t="s">
        <v>295</v>
      </c>
      <c r="L152" s="5" t="s">
        <v>296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 t="shared" si="9"/>
        <v>1230552</v>
      </c>
      <c r="R152" s="7">
        <v>46132</v>
      </c>
      <c r="S152" s="16">
        <f t="shared" si="8"/>
        <v>5</v>
      </c>
      <c r="T152" s="5" t="s">
        <v>588</v>
      </c>
      <c r="U152" s="5" t="s">
        <v>537</v>
      </c>
    </row>
    <row r="153" spans="1:21" x14ac:dyDescent="0.35">
      <c r="A153" s="6" t="s">
        <v>364</v>
      </c>
      <c r="B153" s="6" t="s">
        <v>43</v>
      </c>
      <c r="C153" s="6">
        <v>54967903</v>
      </c>
      <c r="D153" s="6" t="s">
        <v>195</v>
      </c>
      <c r="E153" s="6" t="s">
        <v>576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 t="shared" si="7"/>
        <v>58</v>
      </c>
      <c r="K153" s="17" t="s">
        <v>295</v>
      </c>
      <c r="L153" s="5" t="s">
        <v>318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 t="shared" si="9"/>
        <v>3200000</v>
      </c>
      <c r="R153" s="7">
        <v>46129</v>
      </c>
      <c r="S153" s="16">
        <f t="shared" si="8"/>
        <v>92</v>
      </c>
      <c r="T153" s="6" t="s">
        <v>566</v>
      </c>
      <c r="U153" s="6" t="s">
        <v>433</v>
      </c>
    </row>
    <row r="154" spans="1:21" x14ac:dyDescent="0.35">
      <c r="A154" s="6" t="s">
        <v>364</v>
      </c>
      <c r="B154" s="6" t="s">
        <v>43</v>
      </c>
      <c r="C154" s="6">
        <v>54970719</v>
      </c>
      <c r="D154" s="6" t="s">
        <v>577</v>
      </c>
      <c r="E154" s="6" t="s">
        <v>578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 t="shared" si="7"/>
        <v>18</v>
      </c>
      <c r="K154" s="17" t="s">
        <v>295</v>
      </c>
      <c r="L154" s="5" t="s">
        <v>296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 t="shared" si="9"/>
        <v>3200000</v>
      </c>
      <c r="R154" s="7">
        <v>46129</v>
      </c>
      <c r="S154" s="16">
        <f t="shared" si="8"/>
        <v>92</v>
      </c>
      <c r="T154" s="6" t="s">
        <v>566</v>
      </c>
      <c r="U154" s="6" t="s">
        <v>433</v>
      </c>
    </row>
    <row r="155" spans="1:21" x14ac:dyDescent="0.35">
      <c r="A155" s="6" t="s">
        <v>364</v>
      </c>
      <c r="B155" s="6" t="s">
        <v>43</v>
      </c>
      <c r="C155" s="6">
        <v>55105103</v>
      </c>
      <c r="D155" s="6" t="s">
        <v>579</v>
      </c>
      <c r="E155" s="6" t="s">
        <v>580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 t="shared" si="7"/>
        <v>26</v>
      </c>
      <c r="K155" s="17" t="s">
        <v>295</v>
      </c>
      <c r="L155" s="5" t="s">
        <v>296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 t="shared" si="9"/>
        <v>3200000</v>
      </c>
      <c r="R155" s="7">
        <v>46129</v>
      </c>
      <c r="S155" s="16">
        <f t="shared" si="8"/>
        <v>90</v>
      </c>
      <c r="T155" s="6" t="s">
        <v>566</v>
      </c>
      <c r="U155" s="6" t="s">
        <v>433</v>
      </c>
    </row>
    <row r="156" spans="1:21" x14ac:dyDescent="0.35">
      <c r="A156" s="6" t="s">
        <v>581</v>
      </c>
      <c r="B156" s="6" t="s">
        <v>19</v>
      </c>
      <c r="C156" s="6">
        <v>58151683</v>
      </c>
      <c r="D156" s="6" t="s">
        <v>99</v>
      </c>
      <c r="E156" s="6" t="s">
        <v>582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 t="shared" si="7"/>
        <v>48</v>
      </c>
      <c r="K156" s="17" t="s">
        <v>295</v>
      </c>
      <c r="L156" s="5" t="s">
        <v>318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 t="shared" si="9"/>
        <v>2332619</v>
      </c>
      <c r="R156" s="7">
        <v>46129</v>
      </c>
      <c r="S156" s="16">
        <f t="shared" si="8"/>
        <v>48</v>
      </c>
      <c r="T156" s="6" t="s">
        <v>566</v>
      </c>
      <c r="U156" s="6" t="s">
        <v>537</v>
      </c>
    </row>
    <row r="157" spans="1:21" x14ac:dyDescent="0.35">
      <c r="A157" s="6" t="s">
        <v>583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 t="shared" si="7"/>
        <v>13</v>
      </c>
      <c r="K157" s="17" t="s">
        <v>295</v>
      </c>
      <c r="L157" s="5" t="s">
        <v>296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 t="shared" si="9"/>
        <v>190000</v>
      </c>
      <c r="R157" s="7">
        <v>46129</v>
      </c>
      <c r="S157" s="16">
        <f t="shared" si="8"/>
        <v>13</v>
      </c>
      <c r="T157" s="6" t="s">
        <v>566</v>
      </c>
      <c r="U157" s="6" t="s">
        <v>537</v>
      </c>
    </row>
    <row r="158" spans="1:21" x14ac:dyDescent="0.35">
      <c r="A158" s="6" t="s">
        <v>584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 t="shared" si="7"/>
        <v>19</v>
      </c>
      <c r="K158" s="17" t="s">
        <v>295</v>
      </c>
      <c r="L158" s="5" t="s">
        <v>296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 t="shared" si="9"/>
        <v>190000</v>
      </c>
      <c r="R158" s="7">
        <v>46129</v>
      </c>
      <c r="S158" s="16">
        <f t="shared" si="8"/>
        <v>19</v>
      </c>
      <c r="T158" s="6" t="s">
        <v>566</v>
      </c>
      <c r="U158" s="6" t="s">
        <v>537</v>
      </c>
    </row>
    <row r="159" spans="1:21" x14ac:dyDescent="0.35">
      <c r="A159" s="6" t="s">
        <v>585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 t="shared" si="7"/>
        <v>13</v>
      </c>
      <c r="K159" s="17" t="s">
        <v>295</v>
      </c>
      <c r="L159" s="5" t="s">
        <v>296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 t="shared" si="9"/>
        <v>210000</v>
      </c>
      <c r="R159" s="7">
        <v>46129</v>
      </c>
      <c r="S159" s="16">
        <f t="shared" si="8"/>
        <v>18</v>
      </c>
      <c r="T159" s="6" t="s">
        <v>566</v>
      </c>
      <c r="U159" s="6" t="s">
        <v>537</v>
      </c>
    </row>
    <row r="160" spans="1:21" x14ac:dyDescent="0.35">
      <c r="A160" s="6" t="s">
        <v>567</v>
      </c>
      <c r="B160" s="6" t="s">
        <v>43</v>
      </c>
      <c r="C160" s="6">
        <v>60410207</v>
      </c>
      <c r="D160" s="6" t="s">
        <v>35</v>
      </c>
      <c r="E160" s="6" t="s">
        <v>568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 t="shared" si="7"/>
        <v>17</v>
      </c>
      <c r="K160" s="17" t="s">
        <v>295</v>
      </c>
      <c r="L160" s="5" t="s">
        <v>296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 t="shared" si="9"/>
        <v>5019607</v>
      </c>
      <c r="R160" s="7">
        <v>46128</v>
      </c>
      <c r="S160" s="16">
        <f t="shared" si="8"/>
        <v>18</v>
      </c>
      <c r="T160" s="6" t="s">
        <v>566</v>
      </c>
      <c r="U160" s="6" t="s">
        <v>537</v>
      </c>
    </row>
    <row r="161" spans="1:21" x14ac:dyDescent="0.35">
      <c r="A161" s="6" t="s">
        <v>428</v>
      </c>
      <c r="B161" s="6" t="s">
        <v>43</v>
      </c>
      <c r="C161" s="6">
        <v>58889883</v>
      </c>
      <c r="D161" s="6" t="s">
        <v>569</v>
      </c>
      <c r="E161" s="6" t="s">
        <v>570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 t="shared" si="7"/>
        <v>37</v>
      </c>
      <c r="K161" s="17" t="s">
        <v>295</v>
      </c>
      <c r="L161" s="5" t="s">
        <v>296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 t="shared" si="9"/>
        <v>0</v>
      </c>
      <c r="R161" s="7">
        <v>46128</v>
      </c>
      <c r="S161" s="16">
        <f t="shared" si="8"/>
        <v>38</v>
      </c>
      <c r="T161" s="6" t="s">
        <v>566</v>
      </c>
      <c r="U161" s="6" t="s">
        <v>537</v>
      </c>
    </row>
    <row r="162" spans="1:21" x14ac:dyDescent="0.35">
      <c r="A162" s="6" t="s">
        <v>138</v>
      </c>
      <c r="B162" s="6" t="s">
        <v>43</v>
      </c>
      <c r="C162" s="6">
        <v>56613961</v>
      </c>
      <c r="D162" s="6" t="s">
        <v>571</v>
      </c>
      <c r="E162" s="6" t="s">
        <v>572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 t="shared" si="7"/>
        <v>68</v>
      </c>
      <c r="K162" s="17" t="s">
        <v>295</v>
      </c>
      <c r="L162" s="5" t="s">
        <v>296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 t="shared" si="9"/>
        <v>2300000</v>
      </c>
      <c r="R162" s="7">
        <v>46128</v>
      </c>
      <c r="S162" s="16">
        <f t="shared" si="8"/>
        <v>68</v>
      </c>
      <c r="T162" s="6" t="s">
        <v>566</v>
      </c>
      <c r="U162" s="6" t="s">
        <v>537</v>
      </c>
    </row>
    <row r="163" spans="1:21" x14ac:dyDescent="0.35">
      <c r="A163" s="6" t="s">
        <v>428</v>
      </c>
      <c r="B163" s="6" t="s">
        <v>43</v>
      </c>
      <c r="C163" s="6">
        <v>58868860</v>
      </c>
      <c r="D163" s="6" t="s">
        <v>136</v>
      </c>
      <c r="E163" s="6" t="s">
        <v>573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 t="shared" si="7"/>
        <v>38</v>
      </c>
      <c r="K163" s="17" t="s">
        <v>295</v>
      </c>
      <c r="L163" s="5" t="s">
        <v>296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 t="shared" si="9"/>
        <v>0</v>
      </c>
      <c r="R163" s="7">
        <v>46128</v>
      </c>
      <c r="S163" s="16">
        <f t="shared" si="8"/>
        <v>38</v>
      </c>
      <c r="T163" s="6" t="s">
        <v>566</v>
      </c>
      <c r="U163" s="6" t="s">
        <v>537</v>
      </c>
    </row>
    <row r="164" spans="1:21" x14ac:dyDescent="0.35">
      <c r="A164" s="6" t="s">
        <v>89</v>
      </c>
      <c r="B164" s="6" t="s">
        <v>19</v>
      </c>
      <c r="C164" s="6">
        <v>52561795</v>
      </c>
      <c r="D164" s="6" t="s">
        <v>355</v>
      </c>
      <c r="E164" s="6" t="s">
        <v>574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 t="shared" si="7"/>
        <v>21</v>
      </c>
      <c r="K164" s="17" t="s">
        <v>344</v>
      </c>
      <c r="L164" s="5" t="s">
        <v>296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 t="shared" si="9"/>
        <v>725636</v>
      </c>
      <c r="R164" s="7">
        <v>46128</v>
      </c>
      <c r="S164" s="16">
        <f t="shared" si="8"/>
        <v>124</v>
      </c>
      <c r="T164" s="6" t="s">
        <v>566</v>
      </c>
      <c r="U164" s="6" t="s">
        <v>433</v>
      </c>
    </row>
    <row r="165" spans="1:21" x14ac:dyDescent="0.35">
      <c r="A165" s="6" t="s">
        <v>89</v>
      </c>
      <c r="B165" s="6" t="s">
        <v>19</v>
      </c>
      <c r="C165" s="6">
        <v>52561777</v>
      </c>
      <c r="D165" s="6" t="s">
        <v>355</v>
      </c>
      <c r="E165" s="6" t="s">
        <v>575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 t="shared" si="7"/>
        <v>119</v>
      </c>
      <c r="K165" s="17" t="s">
        <v>295</v>
      </c>
      <c r="L165" s="5" t="s">
        <v>565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 t="shared" si="9"/>
        <v>217691</v>
      </c>
      <c r="R165" s="7">
        <v>46128</v>
      </c>
      <c r="S165" s="16">
        <f t="shared" si="8"/>
        <v>124</v>
      </c>
      <c r="T165" s="6" t="s">
        <v>566</v>
      </c>
      <c r="U165" s="6" t="s">
        <v>433</v>
      </c>
    </row>
    <row r="166" spans="1:21" x14ac:dyDescent="0.35">
      <c r="A166" s="6" t="s">
        <v>89</v>
      </c>
      <c r="B166" s="6" t="s">
        <v>43</v>
      </c>
      <c r="C166" s="6">
        <v>61220151</v>
      </c>
      <c r="D166" s="6" t="s">
        <v>557</v>
      </c>
      <c r="E166" s="6" t="s">
        <v>558</v>
      </c>
      <c r="F166" s="6" t="s">
        <v>190</v>
      </c>
      <c r="G166" s="6" t="s">
        <v>23</v>
      </c>
      <c r="H166" s="8">
        <v>46121</v>
      </c>
      <c r="I166" s="8">
        <v>46122</v>
      </c>
      <c r="J166" s="16">
        <f t="shared" si="7"/>
        <v>2</v>
      </c>
      <c r="K166" s="6" t="s">
        <v>344</v>
      </c>
      <c r="L166" s="6" t="s">
        <v>296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 t="shared" si="8"/>
        <v>4</v>
      </c>
      <c r="T166" s="5" t="s">
        <v>566</v>
      </c>
      <c r="U166" s="5" t="s">
        <v>433</v>
      </c>
    </row>
    <row r="167" spans="1:21" x14ac:dyDescent="0.35">
      <c r="A167" s="6" t="s">
        <v>89</v>
      </c>
      <c r="B167" s="6" t="s">
        <v>43</v>
      </c>
      <c r="C167" s="6">
        <v>52448985</v>
      </c>
      <c r="D167" s="6" t="s">
        <v>355</v>
      </c>
      <c r="E167" s="6" t="s">
        <v>559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 t="shared" si="7"/>
        <v>122</v>
      </c>
      <c r="K167" s="6" t="s">
        <v>295</v>
      </c>
      <c r="L167" s="6" t="s">
        <v>565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 t="shared" si="8"/>
        <v>125</v>
      </c>
      <c r="T167" s="5" t="s">
        <v>566</v>
      </c>
      <c r="U167" s="5" t="s">
        <v>433</v>
      </c>
    </row>
    <row r="168" spans="1:21" x14ac:dyDescent="0.35">
      <c r="A168" s="6" t="s">
        <v>560</v>
      </c>
      <c r="B168" s="6" t="s">
        <v>85</v>
      </c>
      <c r="C168" s="6">
        <v>49471604</v>
      </c>
      <c r="D168" s="6" t="s">
        <v>156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 t="shared" si="7"/>
        <v>165</v>
      </c>
      <c r="K168" s="6" t="s">
        <v>344</v>
      </c>
      <c r="L168" s="6" t="s">
        <v>318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 t="shared" si="8"/>
        <v>167</v>
      </c>
      <c r="T168" s="5" t="s">
        <v>566</v>
      </c>
      <c r="U168" s="5" t="s">
        <v>537</v>
      </c>
    </row>
    <row r="169" spans="1:21" x14ac:dyDescent="0.35">
      <c r="A169" s="6" t="s">
        <v>561</v>
      </c>
      <c r="B169" s="6" t="s">
        <v>85</v>
      </c>
      <c r="C169" s="6">
        <v>58642079</v>
      </c>
      <c r="D169" s="6" t="s">
        <v>562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 t="shared" si="7"/>
        <v>37</v>
      </c>
      <c r="K169" s="6" t="s">
        <v>295</v>
      </c>
      <c r="L169" s="6" t="s">
        <v>565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 t="shared" si="8"/>
        <v>38</v>
      </c>
      <c r="T169" s="5" t="s">
        <v>566</v>
      </c>
      <c r="U169" s="5" t="s">
        <v>537</v>
      </c>
    </row>
    <row r="170" spans="1:21" x14ac:dyDescent="0.35">
      <c r="A170" s="6" t="s">
        <v>563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 t="shared" si="7"/>
        <v>8</v>
      </c>
      <c r="K170" s="6" t="s">
        <v>295</v>
      </c>
      <c r="L170" s="6" t="s">
        <v>296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 t="shared" si="8"/>
        <v>13</v>
      </c>
      <c r="T170" s="5" t="s">
        <v>566</v>
      </c>
      <c r="U170" s="5" t="s">
        <v>537</v>
      </c>
    </row>
    <row r="171" spans="1:21" x14ac:dyDescent="0.35">
      <c r="A171" s="6" t="s">
        <v>563</v>
      </c>
      <c r="B171" s="6" t="s">
        <v>30</v>
      </c>
      <c r="C171" s="6">
        <v>60611946</v>
      </c>
      <c r="D171" s="6" t="s">
        <v>564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 t="shared" si="7"/>
        <v>9</v>
      </c>
      <c r="K171" s="6" t="s">
        <v>295</v>
      </c>
      <c r="L171" s="6" t="s">
        <v>296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 t="shared" si="8"/>
        <v>13</v>
      </c>
      <c r="T171" s="5" t="s">
        <v>566</v>
      </c>
      <c r="U171" s="5" t="s">
        <v>537</v>
      </c>
    </row>
    <row r="172" spans="1:21" x14ac:dyDescent="0.35">
      <c r="A172" s="6" t="s">
        <v>527</v>
      </c>
      <c r="B172" s="6" t="s">
        <v>19</v>
      </c>
      <c r="C172" s="6" t="s">
        <v>550</v>
      </c>
      <c r="D172" s="6" t="s">
        <v>20</v>
      </c>
      <c r="E172" s="6" t="s">
        <v>551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 t="shared" si="7"/>
        <v>183</v>
      </c>
      <c r="K172" s="6" t="s">
        <v>295</v>
      </c>
      <c r="L172" s="6" t="s">
        <v>318</v>
      </c>
      <c r="M172" s="6" t="s">
        <v>47</v>
      </c>
      <c r="N172" s="6" t="s">
        <v>191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 t="shared" si="8"/>
        <v>189</v>
      </c>
      <c r="T172" s="5" t="s">
        <v>566</v>
      </c>
      <c r="U172" s="5" t="s">
        <v>537</v>
      </c>
    </row>
    <row r="173" spans="1:21" x14ac:dyDescent="0.35">
      <c r="A173" s="6" t="s">
        <v>552</v>
      </c>
      <c r="B173" s="6" t="s">
        <v>43</v>
      </c>
      <c r="C173" s="6">
        <v>57899728</v>
      </c>
      <c r="D173" s="6" t="s">
        <v>67</v>
      </c>
      <c r="E173" s="6" t="s">
        <v>553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 t="shared" si="7"/>
        <v>39</v>
      </c>
      <c r="K173" s="6" t="s">
        <v>295</v>
      </c>
      <c r="L173" s="6" t="s">
        <v>296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 t="shared" si="8"/>
        <v>47</v>
      </c>
      <c r="T173" s="5" t="s">
        <v>566</v>
      </c>
      <c r="U173" s="5" t="s">
        <v>537</v>
      </c>
    </row>
    <row r="174" spans="1:21" x14ac:dyDescent="0.35">
      <c r="A174" s="6" t="s">
        <v>455</v>
      </c>
      <c r="B174" s="6" t="s">
        <v>19</v>
      </c>
      <c r="C174" s="6">
        <v>60573620</v>
      </c>
      <c r="D174" s="6" t="s">
        <v>195</v>
      </c>
      <c r="E174" s="6" t="s">
        <v>554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 t="shared" si="7"/>
        <v>9</v>
      </c>
      <c r="K174" s="6" t="s">
        <v>295</v>
      </c>
      <c r="L174" s="6" t="s">
        <v>296</v>
      </c>
      <c r="M174" s="6" t="s">
        <v>24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 t="shared" si="8"/>
        <v>13</v>
      </c>
      <c r="T174" s="5" t="s">
        <v>566</v>
      </c>
      <c r="U174" s="5" t="s">
        <v>537</v>
      </c>
    </row>
    <row r="175" spans="1:21" x14ac:dyDescent="0.35">
      <c r="A175" s="6" t="s">
        <v>555</v>
      </c>
      <c r="B175" s="6" t="s">
        <v>19</v>
      </c>
      <c r="C175" s="6">
        <v>54973689</v>
      </c>
      <c r="D175" s="6" t="s">
        <v>87</v>
      </c>
      <c r="E175" s="6" t="s">
        <v>556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 t="shared" si="7"/>
        <v>82</v>
      </c>
      <c r="K175" s="6" t="s">
        <v>295</v>
      </c>
      <c r="L175" s="6" t="s">
        <v>318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 t="shared" si="8"/>
        <v>85</v>
      </c>
      <c r="T175" s="5" t="s">
        <v>566</v>
      </c>
      <c r="U175" s="5" t="s">
        <v>537</v>
      </c>
    </row>
    <row r="176" spans="1:21" x14ac:dyDescent="0.35">
      <c r="A176" s="6" t="s">
        <v>539</v>
      </c>
      <c r="B176" s="6" t="s">
        <v>43</v>
      </c>
      <c r="C176" s="6">
        <v>48847621</v>
      </c>
      <c r="D176" s="6" t="s">
        <v>540</v>
      </c>
      <c r="E176" s="6" t="s">
        <v>541</v>
      </c>
      <c r="F176" s="6" t="s">
        <v>190</v>
      </c>
      <c r="G176" s="6" t="s">
        <v>23</v>
      </c>
      <c r="H176" s="8">
        <v>45887</v>
      </c>
      <c r="I176" s="8">
        <v>46099</v>
      </c>
      <c r="J176" s="16">
        <f t="shared" si="7"/>
        <v>153</v>
      </c>
      <c r="K176" s="6" t="s">
        <v>295</v>
      </c>
      <c r="L176" s="6" t="s">
        <v>318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 t="shared" si="8"/>
        <v>169</v>
      </c>
      <c r="T176" s="5" t="s">
        <v>538</v>
      </c>
      <c r="U176" s="6" t="s">
        <v>433</v>
      </c>
    </row>
    <row r="177" spans="1:21" x14ac:dyDescent="0.35">
      <c r="A177" s="6" t="s">
        <v>542</v>
      </c>
      <c r="B177" s="6" t="s">
        <v>43</v>
      </c>
      <c r="C177" s="6">
        <v>54178346</v>
      </c>
      <c r="D177" s="6" t="s">
        <v>543</v>
      </c>
      <c r="E177" s="6" t="s">
        <v>544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 t="shared" si="7"/>
        <v>71</v>
      </c>
      <c r="K177" s="6" t="s">
        <v>295</v>
      </c>
      <c r="L177" s="6" t="s">
        <v>318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 t="shared" si="8"/>
        <v>92</v>
      </c>
      <c r="T177" s="5" t="s">
        <v>538</v>
      </c>
      <c r="U177" s="6" t="s">
        <v>433</v>
      </c>
    </row>
    <row r="178" spans="1:21" x14ac:dyDescent="0.35">
      <c r="A178" s="6" t="s">
        <v>545</v>
      </c>
      <c r="B178" s="6" t="s">
        <v>19</v>
      </c>
      <c r="C178" s="6">
        <v>60358121</v>
      </c>
      <c r="D178" s="6" t="s">
        <v>49</v>
      </c>
      <c r="E178" s="6" t="s">
        <v>546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 t="shared" si="7"/>
        <v>14</v>
      </c>
      <c r="K178" s="6" t="s">
        <v>295</v>
      </c>
      <c r="L178" s="6" t="s">
        <v>296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 t="shared" si="8"/>
        <v>14</v>
      </c>
      <c r="T178" s="5" t="s">
        <v>538</v>
      </c>
      <c r="U178" s="6" t="s">
        <v>537</v>
      </c>
    </row>
    <row r="179" spans="1:21" x14ac:dyDescent="0.35">
      <c r="A179" s="6" t="s">
        <v>42</v>
      </c>
      <c r="B179" s="6" t="s">
        <v>43</v>
      </c>
      <c r="C179" s="6">
        <v>51016709</v>
      </c>
      <c r="D179" s="6" t="s">
        <v>547</v>
      </c>
      <c r="E179" s="6" t="s">
        <v>548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 t="shared" si="7"/>
        <v>142</v>
      </c>
      <c r="K179" s="6" t="s">
        <v>295</v>
      </c>
      <c r="L179" s="6" t="s">
        <v>318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 t="shared" si="8"/>
        <v>142</v>
      </c>
      <c r="T179" s="5" t="s">
        <v>538</v>
      </c>
      <c r="U179" s="6" t="s">
        <v>537</v>
      </c>
    </row>
    <row r="180" spans="1:21" x14ac:dyDescent="0.35">
      <c r="A180" s="6" t="s">
        <v>549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 t="shared" si="7"/>
        <v>86</v>
      </c>
      <c r="K180" s="6" t="s">
        <v>295</v>
      </c>
      <c r="L180" s="6" t="s">
        <v>318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 t="shared" si="8"/>
        <v>86</v>
      </c>
      <c r="T180" s="5" t="s">
        <v>538</v>
      </c>
      <c r="U180" s="6" t="s">
        <v>537</v>
      </c>
    </row>
    <row r="181" spans="1:21" x14ac:dyDescent="0.35">
      <c r="A181" s="6" t="s">
        <v>533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 t="shared" si="7"/>
        <v>19</v>
      </c>
      <c r="K181" s="6" t="s">
        <v>295</v>
      </c>
      <c r="L181" s="6" t="s">
        <v>296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 t="shared" si="8"/>
        <v>24</v>
      </c>
      <c r="T181" s="5" t="s">
        <v>538</v>
      </c>
      <c r="U181" s="6" t="s">
        <v>537</v>
      </c>
    </row>
    <row r="182" spans="1:21" x14ac:dyDescent="0.35">
      <c r="A182" s="6" t="s">
        <v>534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 t="shared" si="7"/>
        <v>8</v>
      </c>
      <c r="K182" s="6" t="s">
        <v>295</v>
      </c>
      <c r="L182" s="6" t="s">
        <v>296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 t="shared" si="8"/>
        <v>9</v>
      </c>
      <c r="T182" s="5" t="s">
        <v>538</v>
      </c>
      <c r="U182" s="6" t="s">
        <v>537</v>
      </c>
    </row>
    <row r="183" spans="1:21" x14ac:dyDescent="0.35">
      <c r="A183" s="6" t="s">
        <v>535</v>
      </c>
      <c r="B183" s="6" t="s">
        <v>43</v>
      </c>
      <c r="C183" s="6">
        <v>48618333</v>
      </c>
      <c r="D183" s="6" t="s">
        <v>268</v>
      </c>
      <c r="E183" s="6" t="s">
        <v>536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 t="shared" si="7"/>
        <v>8</v>
      </c>
      <c r="K183" s="6" t="s">
        <v>295</v>
      </c>
      <c r="L183" s="6" t="s">
        <v>296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 t="shared" si="8"/>
        <v>9</v>
      </c>
      <c r="T183" s="5" t="s">
        <v>538</v>
      </c>
      <c r="U183" s="6" t="s">
        <v>537</v>
      </c>
    </row>
    <row r="184" spans="1:21" x14ac:dyDescent="0.35">
      <c r="A184" s="6" t="s">
        <v>526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 t="shared" si="7"/>
        <v>12</v>
      </c>
      <c r="K184" s="6" t="s">
        <v>295</v>
      </c>
      <c r="L184" s="6" t="s">
        <v>296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 t="shared" si="8"/>
        <v>14</v>
      </c>
      <c r="T184" s="5" t="s">
        <v>538</v>
      </c>
      <c r="U184" s="5" t="s">
        <v>537</v>
      </c>
    </row>
    <row r="185" spans="1:21" x14ac:dyDescent="0.35">
      <c r="A185" s="6" t="s">
        <v>527</v>
      </c>
      <c r="B185" s="6" t="s">
        <v>19</v>
      </c>
      <c r="C185" s="6">
        <v>47658350</v>
      </c>
      <c r="D185" s="6" t="s">
        <v>44</v>
      </c>
      <c r="E185" s="6" t="s">
        <v>528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 t="shared" si="7"/>
        <v>185</v>
      </c>
      <c r="K185" s="6" t="s">
        <v>295</v>
      </c>
      <c r="L185" s="6" t="s">
        <v>296</v>
      </c>
      <c r="M185" s="6" t="s">
        <v>47</v>
      </c>
      <c r="N185" s="6" t="s">
        <v>191</v>
      </c>
      <c r="O185" s="6">
        <v>350000</v>
      </c>
      <c r="P185" s="6">
        <v>0</v>
      </c>
      <c r="Q185" s="12">
        <v>350000</v>
      </c>
      <c r="R185" s="8">
        <v>46119</v>
      </c>
      <c r="S185" s="16">
        <f t="shared" si="8"/>
        <v>187</v>
      </c>
      <c r="T185" s="5" t="s">
        <v>538</v>
      </c>
      <c r="U185" s="5" t="s">
        <v>537</v>
      </c>
    </row>
    <row r="186" spans="1:21" x14ac:dyDescent="0.35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529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 t="shared" si="7"/>
        <v>177</v>
      </c>
      <c r="K186" s="6" t="s">
        <v>295</v>
      </c>
      <c r="L186" s="6" t="s">
        <v>296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 t="shared" si="8"/>
        <v>179</v>
      </c>
      <c r="T186" s="5" t="s">
        <v>538</v>
      </c>
      <c r="U186" s="5" t="s">
        <v>537</v>
      </c>
    </row>
    <row r="187" spans="1:21" x14ac:dyDescent="0.35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530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 t="shared" si="7"/>
        <v>22</v>
      </c>
      <c r="K187" s="6" t="s">
        <v>295</v>
      </c>
      <c r="L187" s="6" t="s">
        <v>296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 t="shared" si="8"/>
        <v>26</v>
      </c>
      <c r="T187" s="5" t="s">
        <v>538</v>
      </c>
      <c r="U187" s="5" t="s">
        <v>537</v>
      </c>
    </row>
    <row r="188" spans="1:21" x14ac:dyDescent="0.35">
      <c r="A188" s="6" t="s">
        <v>458</v>
      </c>
      <c r="B188" s="6" t="s">
        <v>43</v>
      </c>
      <c r="C188" s="6">
        <v>59301554</v>
      </c>
      <c r="D188" s="6" t="s">
        <v>531</v>
      </c>
      <c r="E188" s="6" t="s">
        <v>532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 t="shared" si="7"/>
        <v>22</v>
      </c>
      <c r="K188" s="6" t="s">
        <v>295</v>
      </c>
      <c r="L188" s="6" t="s">
        <v>296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 t="shared" si="8"/>
        <v>26</v>
      </c>
      <c r="T188" s="5" t="s">
        <v>538</v>
      </c>
      <c r="U188" s="5" t="s">
        <v>537</v>
      </c>
    </row>
    <row r="189" spans="1:21" x14ac:dyDescent="0.35">
      <c r="A189" s="6" t="s">
        <v>524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 t="shared" si="7"/>
        <v>31</v>
      </c>
      <c r="K189" s="6" t="s">
        <v>295</v>
      </c>
      <c r="L189" s="6" t="s">
        <v>296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 t="shared" si="8"/>
        <v>34</v>
      </c>
      <c r="T189" s="5" t="s">
        <v>538</v>
      </c>
      <c r="U189" s="5" t="s">
        <v>537</v>
      </c>
    </row>
    <row r="190" spans="1:21" x14ac:dyDescent="0.35">
      <c r="A190" s="6" t="s">
        <v>448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 t="shared" si="7"/>
        <v>37</v>
      </c>
      <c r="K190" s="6" t="s">
        <v>295</v>
      </c>
      <c r="L190" s="6" t="s">
        <v>296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 t="shared" si="8"/>
        <v>40</v>
      </c>
      <c r="T190" s="5" t="s">
        <v>538</v>
      </c>
      <c r="U190" s="5" t="s">
        <v>537</v>
      </c>
    </row>
    <row r="191" spans="1:21" x14ac:dyDescent="0.35">
      <c r="A191" s="6" t="s">
        <v>521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 t="shared" si="7"/>
        <v>110</v>
      </c>
      <c r="K191" s="6" t="s">
        <v>295</v>
      </c>
      <c r="L191" s="6" t="s">
        <v>296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 t="shared" si="8"/>
        <v>113</v>
      </c>
      <c r="T191" s="5" t="s">
        <v>538</v>
      </c>
      <c r="U191" s="5" t="s">
        <v>537</v>
      </c>
    </row>
    <row r="192" spans="1:21" x14ac:dyDescent="0.35">
      <c r="A192" s="6" t="s">
        <v>525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 t="shared" si="7"/>
        <v>24</v>
      </c>
      <c r="K192" s="6" t="s">
        <v>295</v>
      </c>
      <c r="L192" s="6" t="s">
        <v>296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 t="shared" si="8"/>
        <v>27</v>
      </c>
      <c r="T192" s="5" t="s">
        <v>538</v>
      </c>
      <c r="U192" s="5" t="s">
        <v>537</v>
      </c>
    </row>
    <row r="193" spans="1:21" x14ac:dyDescent="0.35">
      <c r="A193" s="6" t="s">
        <v>521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 t="shared" si="7"/>
        <v>184</v>
      </c>
      <c r="K193" s="6" t="s">
        <v>295</v>
      </c>
      <c r="L193" s="6" t="s">
        <v>296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 t="shared" si="8"/>
        <v>186</v>
      </c>
      <c r="T193" s="5" t="s">
        <v>538</v>
      </c>
      <c r="U193" s="5" t="s">
        <v>537</v>
      </c>
    </row>
    <row r="194" spans="1:21" x14ac:dyDescent="0.35">
      <c r="A194" s="6" t="s">
        <v>519</v>
      </c>
      <c r="B194" s="6" t="s">
        <v>43</v>
      </c>
      <c r="C194" s="6">
        <v>51053195</v>
      </c>
      <c r="D194" s="6" t="s">
        <v>150</v>
      </c>
      <c r="E194" s="6" t="s">
        <v>520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 t="shared" ref="J194:J257" si="10">+NETWORKDAYS(H194,I194)</f>
        <v>135</v>
      </c>
      <c r="K194" s="6" t="s">
        <v>295</v>
      </c>
      <c r="L194" s="6" t="s">
        <v>296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 t="shared" ref="S194:S257" si="11">NETWORKDAYS(H194,R194)</f>
        <v>136</v>
      </c>
      <c r="T194" s="5" t="s">
        <v>504</v>
      </c>
      <c r="U194" s="5" t="s">
        <v>537</v>
      </c>
    </row>
    <row r="195" spans="1:21" x14ac:dyDescent="0.35">
      <c r="A195" s="6" t="s">
        <v>521</v>
      </c>
      <c r="B195" s="6" t="s">
        <v>43</v>
      </c>
      <c r="C195" s="6">
        <v>47878019</v>
      </c>
      <c r="D195" s="6" t="s">
        <v>165</v>
      </c>
      <c r="E195" s="6" t="s">
        <v>522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 t="shared" si="10"/>
        <v>179</v>
      </c>
      <c r="K195" s="6" t="s">
        <v>295</v>
      </c>
      <c r="L195" s="6" t="s">
        <v>296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 t="shared" si="11"/>
        <v>181</v>
      </c>
      <c r="T195" s="5" t="s">
        <v>504</v>
      </c>
      <c r="U195" s="5" t="s">
        <v>537</v>
      </c>
    </row>
    <row r="196" spans="1:21" x14ac:dyDescent="0.35">
      <c r="A196" s="6" t="s">
        <v>521</v>
      </c>
      <c r="B196" s="6" t="s">
        <v>43</v>
      </c>
      <c r="C196" s="6">
        <v>47653333</v>
      </c>
      <c r="D196" s="6" t="s">
        <v>44</v>
      </c>
      <c r="E196" s="6" t="s">
        <v>523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 t="shared" si="10"/>
        <v>182</v>
      </c>
      <c r="K196" s="6" t="s">
        <v>295</v>
      </c>
      <c r="L196" s="6" t="s">
        <v>296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 t="shared" si="11"/>
        <v>183</v>
      </c>
      <c r="T196" s="5" t="s">
        <v>504</v>
      </c>
      <c r="U196" s="5" t="s">
        <v>537</v>
      </c>
    </row>
    <row r="197" spans="1:21" x14ac:dyDescent="0.35">
      <c r="A197" s="6" t="s">
        <v>514</v>
      </c>
      <c r="B197" s="6" t="s">
        <v>43</v>
      </c>
      <c r="C197" s="6">
        <v>59278285</v>
      </c>
      <c r="D197" s="6" t="s">
        <v>515</v>
      </c>
      <c r="E197" s="6" t="s">
        <v>516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 t="shared" si="10"/>
        <v>16</v>
      </c>
      <c r="K197" s="17" t="s">
        <v>295</v>
      </c>
      <c r="L197" s="5" t="s">
        <v>296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 t="shared" ref="Q197:Q212" si="12">P197+O197</f>
        <v>1550000</v>
      </c>
      <c r="R197" s="7">
        <v>46112</v>
      </c>
      <c r="S197" s="16">
        <f t="shared" si="11"/>
        <v>21</v>
      </c>
      <c r="T197" s="5" t="s">
        <v>504</v>
      </c>
      <c r="U197" s="5" t="s">
        <v>432</v>
      </c>
    </row>
    <row r="198" spans="1:21" x14ac:dyDescent="0.35">
      <c r="A198" s="6" t="s">
        <v>514</v>
      </c>
      <c r="B198" s="6" t="s">
        <v>43</v>
      </c>
      <c r="C198" s="6">
        <v>59278925</v>
      </c>
      <c r="D198" s="6" t="s">
        <v>67</v>
      </c>
      <c r="E198" s="6" t="s">
        <v>517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 t="shared" si="10"/>
        <v>16</v>
      </c>
      <c r="K198" s="17" t="s">
        <v>295</v>
      </c>
      <c r="L198" s="5" t="s">
        <v>296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 t="shared" si="12"/>
        <v>1550000</v>
      </c>
      <c r="R198" s="7">
        <v>46112</v>
      </c>
      <c r="S198" s="16">
        <f t="shared" si="11"/>
        <v>21</v>
      </c>
      <c r="T198" s="5" t="s">
        <v>504</v>
      </c>
      <c r="U198" s="5" t="s">
        <v>432</v>
      </c>
    </row>
    <row r="199" spans="1:21" x14ac:dyDescent="0.35">
      <c r="A199" s="6" t="s">
        <v>458</v>
      </c>
      <c r="B199" s="6" t="s">
        <v>43</v>
      </c>
      <c r="C199" s="1">
        <v>59300338</v>
      </c>
      <c r="D199" s="6" t="s">
        <v>49</v>
      </c>
      <c r="E199" s="6" t="s">
        <v>518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 t="shared" si="10"/>
        <v>21</v>
      </c>
      <c r="K199" s="17" t="s">
        <v>295</v>
      </c>
      <c r="L199" s="5" t="s">
        <v>296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 t="shared" si="12"/>
        <v>2462000</v>
      </c>
      <c r="R199" s="7">
        <v>46112</v>
      </c>
      <c r="S199" s="16">
        <f t="shared" si="11"/>
        <v>21</v>
      </c>
      <c r="T199" s="5" t="s">
        <v>504</v>
      </c>
      <c r="U199" s="5" t="s">
        <v>432</v>
      </c>
    </row>
    <row r="200" spans="1:21" x14ac:dyDescent="0.35">
      <c r="A200" s="6" t="s">
        <v>502</v>
      </c>
      <c r="B200" s="5" t="s">
        <v>43</v>
      </c>
      <c r="C200" s="6">
        <v>60423011</v>
      </c>
      <c r="D200" s="5" t="s">
        <v>144</v>
      </c>
      <c r="E200" s="6" t="s">
        <v>503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 t="shared" si="10"/>
        <v>5</v>
      </c>
      <c r="K200" s="17" t="s">
        <v>295</v>
      </c>
      <c r="L200" s="5" t="s">
        <v>296</v>
      </c>
      <c r="M200" s="6" t="s">
        <v>24</v>
      </c>
      <c r="N200" s="5" t="s">
        <v>28</v>
      </c>
      <c r="O200" s="33">
        <v>0</v>
      </c>
      <c r="P200" s="33">
        <v>0</v>
      </c>
      <c r="Q200" s="33">
        <f t="shared" si="12"/>
        <v>0</v>
      </c>
      <c r="R200" s="7">
        <v>46111</v>
      </c>
      <c r="S200" s="16">
        <f t="shared" si="11"/>
        <v>5</v>
      </c>
      <c r="T200" s="5" t="s">
        <v>504</v>
      </c>
      <c r="U200" s="5" t="s">
        <v>432</v>
      </c>
    </row>
    <row r="201" spans="1:21" x14ac:dyDescent="0.35">
      <c r="A201" s="6" t="s">
        <v>502</v>
      </c>
      <c r="B201" s="5" t="s">
        <v>19</v>
      </c>
      <c r="C201" s="6">
        <v>60422373</v>
      </c>
      <c r="D201" s="5" t="s">
        <v>144</v>
      </c>
      <c r="E201" s="6" t="s">
        <v>505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 t="shared" si="10"/>
        <v>5</v>
      </c>
      <c r="K201" s="17" t="s">
        <v>295</v>
      </c>
      <c r="L201" s="5" t="s">
        <v>296</v>
      </c>
      <c r="M201" s="6" t="s">
        <v>24</v>
      </c>
      <c r="N201" s="5" t="s">
        <v>146</v>
      </c>
      <c r="O201" s="33">
        <v>0</v>
      </c>
      <c r="P201" s="33">
        <v>0</v>
      </c>
      <c r="Q201" s="33">
        <f t="shared" si="12"/>
        <v>0</v>
      </c>
      <c r="R201" s="7">
        <v>46111</v>
      </c>
      <c r="S201" s="16">
        <f t="shared" si="11"/>
        <v>5</v>
      </c>
      <c r="T201" s="5" t="s">
        <v>504</v>
      </c>
      <c r="U201" s="5" t="s">
        <v>432</v>
      </c>
    </row>
    <row r="202" spans="1:21" x14ac:dyDescent="0.35">
      <c r="A202" s="6" t="s">
        <v>506</v>
      </c>
      <c r="B202" s="6" t="s">
        <v>19</v>
      </c>
      <c r="C202" s="6">
        <v>58144220</v>
      </c>
      <c r="D202" s="6" t="s">
        <v>20</v>
      </c>
      <c r="E202" s="6" t="s">
        <v>507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 t="shared" si="10"/>
        <v>34</v>
      </c>
      <c r="K202" s="17" t="s">
        <v>295</v>
      </c>
      <c r="L202" s="5" t="s">
        <v>296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 t="shared" si="12"/>
        <v>0</v>
      </c>
      <c r="R202" s="7">
        <v>46111</v>
      </c>
      <c r="S202" s="16">
        <f t="shared" si="11"/>
        <v>34</v>
      </c>
      <c r="T202" s="5" t="s">
        <v>504</v>
      </c>
      <c r="U202" s="5" t="s">
        <v>432</v>
      </c>
    </row>
    <row r="203" spans="1:21" x14ac:dyDescent="0.35">
      <c r="A203" s="6" t="s">
        <v>508</v>
      </c>
      <c r="B203" s="6" t="s">
        <v>43</v>
      </c>
      <c r="C203" s="6">
        <v>58808846</v>
      </c>
      <c r="D203" s="6" t="s">
        <v>99</v>
      </c>
      <c r="E203" s="6" t="s">
        <v>509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 t="shared" si="10"/>
        <v>25</v>
      </c>
      <c r="K203" s="17" t="s">
        <v>295</v>
      </c>
      <c r="L203" s="5" t="s">
        <v>296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 t="shared" si="12"/>
        <v>2462000</v>
      </c>
      <c r="R203" s="7">
        <v>46111</v>
      </c>
      <c r="S203" s="16">
        <f t="shared" si="11"/>
        <v>26</v>
      </c>
      <c r="T203" s="5" t="s">
        <v>504</v>
      </c>
      <c r="U203" s="5" t="s">
        <v>432</v>
      </c>
    </row>
    <row r="204" spans="1:21" x14ac:dyDescent="0.35">
      <c r="A204" s="6" t="s">
        <v>510</v>
      </c>
      <c r="B204" s="5" t="s">
        <v>19</v>
      </c>
      <c r="C204" s="6">
        <v>59821965</v>
      </c>
      <c r="D204" s="5" t="s">
        <v>35</v>
      </c>
      <c r="E204" s="6" t="s">
        <v>511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 t="shared" si="10"/>
        <v>13</v>
      </c>
      <c r="K204" s="17" t="s">
        <v>295</v>
      </c>
      <c r="L204" s="5" t="s">
        <v>296</v>
      </c>
      <c r="M204" s="5" t="s">
        <v>24</v>
      </c>
      <c r="N204" s="5" t="s">
        <v>146</v>
      </c>
      <c r="O204" s="33">
        <v>3000000</v>
      </c>
      <c r="P204" s="33">
        <v>0</v>
      </c>
      <c r="Q204" s="33">
        <f t="shared" si="12"/>
        <v>3000000</v>
      </c>
      <c r="R204" s="7">
        <v>46111</v>
      </c>
      <c r="S204" s="16">
        <f t="shared" si="11"/>
        <v>13</v>
      </c>
      <c r="T204" s="5" t="s">
        <v>504</v>
      </c>
      <c r="U204" s="5" t="s">
        <v>432</v>
      </c>
    </row>
    <row r="205" spans="1:21" x14ac:dyDescent="0.35">
      <c r="A205" s="6" t="s">
        <v>512</v>
      </c>
      <c r="B205" s="6" t="s">
        <v>19</v>
      </c>
      <c r="C205" s="6">
        <v>59894758</v>
      </c>
      <c r="D205" s="6" t="s">
        <v>20</v>
      </c>
      <c r="E205" s="6" t="s">
        <v>513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 t="shared" si="10"/>
        <v>12</v>
      </c>
      <c r="K205" s="17" t="s">
        <v>295</v>
      </c>
      <c r="L205" s="5" t="s">
        <v>296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 t="shared" si="12"/>
        <v>1678945</v>
      </c>
      <c r="R205" s="7">
        <v>46111</v>
      </c>
      <c r="S205" s="16">
        <f t="shared" si="11"/>
        <v>12</v>
      </c>
      <c r="T205" s="5" t="s">
        <v>504</v>
      </c>
      <c r="U205" s="5" t="s">
        <v>432</v>
      </c>
    </row>
    <row r="206" spans="1:21" x14ac:dyDescent="0.35">
      <c r="A206" s="1" t="s">
        <v>484</v>
      </c>
      <c r="B206" s="5" t="s">
        <v>43</v>
      </c>
      <c r="C206" s="1">
        <v>59889656</v>
      </c>
      <c r="D206" s="5" t="s">
        <v>485</v>
      </c>
      <c r="E206" s="1" t="s">
        <v>486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 t="shared" si="10"/>
        <v>10</v>
      </c>
      <c r="K206" s="17" t="s">
        <v>295</v>
      </c>
      <c r="L206" s="5" t="s">
        <v>296</v>
      </c>
      <c r="M206" s="5" t="s">
        <v>24</v>
      </c>
      <c r="N206" s="5" t="s">
        <v>487</v>
      </c>
      <c r="O206" s="33">
        <v>600000</v>
      </c>
      <c r="P206" s="33">
        <v>60000</v>
      </c>
      <c r="Q206" s="33">
        <f t="shared" si="12"/>
        <v>660000</v>
      </c>
      <c r="R206" s="7">
        <v>46108</v>
      </c>
      <c r="S206" s="16">
        <f t="shared" si="11"/>
        <v>11</v>
      </c>
      <c r="T206" s="5" t="s">
        <v>476</v>
      </c>
      <c r="U206" s="5" t="s">
        <v>432</v>
      </c>
    </row>
    <row r="207" spans="1:21" x14ac:dyDescent="0.35">
      <c r="A207" s="1" t="s">
        <v>488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 t="shared" si="10"/>
        <v>10</v>
      </c>
      <c r="K207" s="17" t="s">
        <v>295</v>
      </c>
      <c r="L207" s="5" t="s">
        <v>296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 t="shared" si="12"/>
        <v>711635</v>
      </c>
      <c r="R207" s="7">
        <v>46108</v>
      </c>
      <c r="S207" s="16">
        <f t="shared" si="11"/>
        <v>12</v>
      </c>
      <c r="T207" s="5" t="s">
        <v>476</v>
      </c>
      <c r="U207" s="5" t="s">
        <v>432</v>
      </c>
    </row>
    <row r="208" spans="1:21" x14ac:dyDescent="0.35">
      <c r="A208" s="1" t="s">
        <v>489</v>
      </c>
      <c r="B208" s="1" t="s">
        <v>85</v>
      </c>
      <c r="C208" s="1">
        <v>58407509</v>
      </c>
      <c r="D208" s="5" t="s">
        <v>490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 t="shared" si="10"/>
        <v>29</v>
      </c>
      <c r="K208" s="17" t="s">
        <v>295</v>
      </c>
      <c r="L208" s="5" t="s">
        <v>296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 t="shared" si="12"/>
        <v>1231750</v>
      </c>
      <c r="R208" s="7">
        <v>46108</v>
      </c>
      <c r="S208" s="16">
        <f t="shared" si="11"/>
        <v>30</v>
      </c>
      <c r="T208" s="5" t="s">
        <v>476</v>
      </c>
      <c r="U208" s="5" t="s">
        <v>432</v>
      </c>
    </row>
    <row r="209" spans="1:21" x14ac:dyDescent="0.35">
      <c r="A209" s="3" t="s">
        <v>491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 t="shared" si="10"/>
        <v>24</v>
      </c>
      <c r="K209" s="17" t="s">
        <v>295</v>
      </c>
      <c r="L209" s="5" t="s">
        <v>318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 t="shared" si="12"/>
        <v>1231750</v>
      </c>
      <c r="R209" s="7">
        <v>46108</v>
      </c>
      <c r="S209" s="16">
        <f t="shared" si="11"/>
        <v>77</v>
      </c>
      <c r="T209" s="5" t="s">
        <v>476</v>
      </c>
      <c r="U209" s="5" t="s">
        <v>432</v>
      </c>
    </row>
    <row r="210" spans="1:21" x14ac:dyDescent="0.35">
      <c r="A210" s="3" t="s">
        <v>492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 t="shared" si="10"/>
        <v>11</v>
      </c>
      <c r="K210" s="17" t="s">
        <v>295</v>
      </c>
      <c r="L210" s="5" t="s">
        <v>296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 t="shared" si="12"/>
        <v>190000</v>
      </c>
      <c r="R210" s="7">
        <v>46108</v>
      </c>
      <c r="S210" s="16">
        <f t="shared" si="11"/>
        <v>11</v>
      </c>
      <c r="T210" s="5" t="s">
        <v>476</v>
      </c>
      <c r="U210" s="5" t="s">
        <v>432</v>
      </c>
    </row>
    <row r="211" spans="1:21" x14ac:dyDescent="0.35">
      <c r="A211" s="3" t="s">
        <v>493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 t="shared" si="10"/>
        <v>9</v>
      </c>
      <c r="K211" s="17" t="s">
        <v>295</v>
      </c>
      <c r="L211" s="5" t="s">
        <v>296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 t="shared" si="12"/>
        <v>791635</v>
      </c>
      <c r="R211" s="7">
        <v>46108</v>
      </c>
      <c r="S211" s="16">
        <f t="shared" si="11"/>
        <v>9</v>
      </c>
      <c r="T211" s="5" t="s">
        <v>476</v>
      </c>
      <c r="U211" s="5" t="s">
        <v>432</v>
      </c>
    </row>
    <row r="212" spans="1:21" x14ac:dyDescent="0.35">
      <c r="A212" s="3" t="s">
        <v>494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 t="shared" si="10"/>
        <v>26</v>
      </c>
      <c r="K212" s="17" t="s">
        <v>295</v>
      </c>
      <c r="L212" s="5" t="s">
        <v>296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 t="shared" si="12"/>
        <v>210000</v>
      </c>
      <c r="R212" s="7">
        <v>46108</v>
      </c>
      <c r="S212" s="16">
        <f t="shared" si="11"/>
        <v>26</v>
      </c>
      <c r="T212" s="5" t="s">
        <v>476</v>
      </c>
      <c r="U212" s="5" t="s">
        <v>432</v>
      </c>
    </row>
    <row r="213" spans="1:21" x14ac:dyDescent="0.35">
      <c r="A213" s="1" t="s">
        <v>495</v>
      </c>
      <c r="B213" s="1" t="s">
        <v>43</v>
      </c>
      <c r="C213" s="1" t="s">
        <v>496</v>
      </c>
      <c r="D213" s="1" t="s">
        <v>67</v>
      </c>
      <c r="E213" s="1" t="s">
        <v>497</v>
      </c>
      <c r="F213" s="1" t="s">
        <v>498</v>
      </c>
      <c r="G213" s="1" t="s">
        <v>499</v>
      </c>
      <c r="H213" s="39">
        <v>46098</v>
      </c>
      <c r="I213" s="39">
        <v>46107</v>
      </c>
      <c r="J213" s="16">
        <f t="shared" si="10"/>
        <v>8</v>
      </c>
      <c r="K213" s="1" t="s">
        <v>295</v>
      </c>
      <c r="L213" s="1" t="s">
        <v>296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 t="shared" si="11"/>
        <v>9</v>
      </c>
      <c r="T213" s="5" t="s">
        <v>476</v>
      </c>
      <c r="U213" s="5" t="s">
        <v>432</v>
      </c>
    </row>
    <row r="214" spans="1:21" x14ac:dyDescent="0.35">
      <c r="A214" s="1" t="s">
        <v>500</v>
      </c>
      <c r="B214" s="1" t="s">
        <v>19</v>
      </c>
      <c r="C214" s="1">
        <v>57773018</v>
      </c>
      <c r="D214" s="1" t="s">
        <v>281</v>
      </c>
      <c r="E214" s="1" t="s">
        <v>501</v>
      </c>
      <c r="F214" s="1" t="s">
        <v>190</v>
      </c>
      <c r="G214" s="1" t="s">
        <v>23</v>
      </c>
      <c r="H214" s="39">
        <v>46057</v>
      </c>
      <c r="I214" s="39">
        <v>46107</v>
      </c>
      <c r="J214" s="16">
        <f t="shared" si="10"/>
        <v>37</v>
      </c>
      <c r="K214" s="1" t="s">
        <v>295</v>
      </c>
      <c r="L214" s="1" t="s">
        <v>296</v>
      </c>
      <c r="M214" s="1" t="s">
        <v>24</v>
      </c>
      <c r="N214" s="1" t="s">
        <v>169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 t="shared" si="11"/>
        <v>38</v>
      </c>
      <c r="T214" s="5" t="s">
        <v>476</v>
      </c>
      <c r="U214" s="5" t="s">
        <v>432</v>
      </c>
    </row>
    <row r="215" spans="1:21" x14ac:dyDescent="0.35">
      <c r="A215" s="6" t="s">
        <v>481</v>
      </c>
      <c r="B215" s="5" t="s">
        <v>43</v>
      </c>
      <c r="C215" s="6">
        <v>56800015</v>
      </c>
      <c r="D215" s="5" t="s">
        <v>482</v>
      </c>
      <c r="E215" s="6" t="s">
        <v>483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 t="shared" si="10"/>
        <v>44</v>
      </c>
      <c r="K215" s="17" t="s">
        <v>295</v>
      </c>
      <c r="L215" s="5" t="s">
        <v>318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 t="shared" ref="Q215:Q232" si="13">P215+O215</f>
        <v>0</v>
      </c>
      <c r="R215" s="7">
        <v>46106</v>
      </c>
      <c r="S215" s="16">
        <f t="shared" si="11"/>
        <v>49</v>
      </c>
      <c r="T215" s="5" t="s">
        <v>476</v>
      </c>
      <c r="U215" s="5" t="s">
        <v>433</v>
      </c>
    </row>
    <row r="216" spans="1:21" x14ac:dyDescent="0.35">
      <c r="A216" s="6" t="s">
        <v>474</v>
      </c>
      <c r="B216" s="6" t="s">
        <v>43</v>
      </c>
      <c r="C216" s="6">
        <v>58897521</v>
      </c>
      <c r="D216" s="6" t="s">
        <v>170</v>
      </c>
      <c r="E216" s="6" t="s">
        <v>475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 t="shared" si="10"/>
        <v>15</v>
      </c>
      <c r="K216" s="17" t="s">
        <v>295</v>
      </c>
      <c r="L216" s="5" t="s">
        <v>296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 t="shared" si="13"/>
        <v>2675790</v>
      </c>
      <c r="R216" s="7">
        <v>46105</v>
      </c>
      <c r="S216" s="16">
        <f t="shared" si="11"/>
        <v>19</v>
      </c>
      <c r="T216" s="5" t="s">
        <v>476</v>
      </c>
      <c r="U216" s="5" t="s">
        <v>432</v>
      </c>
    </row>
    <row r="217" spans="1:21" s="36" customFormat="1" ht="12" x14ac:dyDescent="0.3">
      <c r="A217" s="6" t="s">
        <v>167</v>
      </c>
      <c r="B217" s="6" t="s">
        <v>43</v>
      </c>
      <c r="C217" s="6">
        <v>58824101</v>
      </c>
      <c r="D217" s="6" t="s">
        <v>316</v>
      </c>
      <c r="E217" s="6" t="s">
        <v>477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 t="shared" si="10"/>
        <v>17</v>
      </c>
      <c r="K217" s="17" t="s">
        <v>295</v>
      </c>
      <c r="L217" s="5" t="s">
        <v>296</v>
      </c>
      <c r="M217" s="5" t="s">
        <v>24</v>
      </c>
      <c r="N217" s="6" t="s">
        <v>191</v>
      </c>
      <c r="O217" s="12">
        <v>543324</v>
      </c>
      <c r="P217" s="12">
        <v>115000</v>
      </c>
      <c r="Q217" s="33">
        <f t="shared" si="13"/>
        <v>658324</v>
      </c>
      <c r="R217" s="7">
        <v>46105</v>
      </c>
      <c r="S217" s="16">
        <f t="shared" si="11"/>
        <v>22</v>
      </c>
      <c r="T217" s="5" t="s">
        <v>476</v>
      </c>
      <c r="U217" s="5" t="s">
        <v>433</v>
      </c>
    </row>
    <row r="218" spans="1:21" s="36" customFormat="1" ht="12" x14ac:dyDescent="0.3">
      <c r="A218" s="6" t="s">
        <v>478</v>
      </c>
      <c r="B218" s="6" t="s">
        <v>19</v>
      </c>
      <c r="C218" s="6">
        <v>59248227</v>
      </c>
      <c r="D218" s="6" t="s">
        <v>479</v>
      </c>
      <c r="E218" s="6" t="s">
        <v>480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 t="shared" si="10"/>
        <v>16</v>
      </c>
      <c r="K218" s="17" t="s">
        <v>295</v>
      </c>
      <c r="L218" s="5" t="s">
        <v>296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 t="shared" si="13"/>
        <v>1369818</v>
      </c>
      <c r="R218" s="7">
        <v>46105</v>
      </c>
      <c r="S218" s="16">
        <f t="shared" si="11"/>
        <v>17</v>
      </c>
      <c r="T218" s="5" t="s">
        <v>476</v>
      </c>
      <c r="U218" s="5" t="s">
        <v>432</v>
      </c>
    </row>
    <row r="219" spans="1:21" s="36" customFormat="1" ht="12" x14ac:dyDescent="0.3">
      <c r="A219" s="6" t="s">
        <v>458</v>
      </c>
      <c r="B219" s="6" t="s">
        <v>43</v>
      </c>
      <c r="C219" s="6">
        <v>58809268</v>
      </c>
      <c r="D219" s="6" t="s">
        <v>49</v>
      </c>
      <c r="E219" s="6" t="s">
        <v>467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 t="shared" si="10"/>
        <v>18</v>
      </c>
      <c r="K219" s="17" t="s">
        <v>295</v>
      </c>
      <c r="L219" s="5" t="s">
        <v>296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 t="shared" si="13"/>
        <v>2462000</v>
      </c>
      <c r="R219" s="7">
        <v>46100</v>
      </c>
      <c r="S219" s="16">
        <f t="shared" si="11"/>
        <v>19</v>
      </c>
      <c r="T219" s="5" t="s">
        <v>457</v>
      </c>
      <c r="U219" s="5" t="s">
        <v>432</v>
      </c>
    </row>
    <row r="220" spans="1:21" s="36" customFormat="1" ht="12" x14ac:dyDescent="0.3">
      <c r="A220" s="6" t="s">
        <v>57</v>
      </c>
      <c r="B220" s="6" t="s">
        <v>43</v>
      </c>
      <c r="C220" s="6">
        <v>56601140</v>
      </c>
      <c r="D220" s="6" t="s">
        <v>468</v>
      </c>
      <c r="E220" s="6" t="s">
        <v>469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 t="shared" si="10"/>
        <v>46</v>
      </c>
      <c r="K220" s="17" t="s">
        <v>295</v>
      </c>
      <c r="L220" s="5" t="s">
        <v>318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 t="shared" si="13"/>
        <v>8433717</v>
      </c>
      <c r="R220" s="7">
        <v>46100</v>
      </c>
      <c r="S220" s="16">
        <f t="shared" si="11"/>
        <v>48</v>
      </c>
      <c r="T220" s="5" t="s">
        <v>457</v>
      </c>
      <c r="U220" s="5" t="s">
        <v>432</v>
      </c>
    </row>
    <row r="221" spans="1:21" s="36" customFormat="1" ht="12" x14ac:dyDescent="0.3">
      <c r="A221" s="6" t="s">
        <v>470</v>
      </c>
      <c r="B221" s="6" t="s">
        <v>19</v>
      </c>
      <c r="C221" s="6">
        <v>59027644</v>
      </c>
      <c r="D221" s="6" t="s">
        <v>55</v>
      </c>
      <c r="E221" s="6" t="s">
        <v>471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 t="shared" si="10"/>
        <v>9</v>
      </c>
      <c r="K221" s="17" t="s">
        <v>295</v>
      </c>
      <c r="L221" s="5" t="s">
        <v>296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 t="shared" si="13"/>
        <v>2200000</v>
      </c>
      <c r="R221" s="7">
        <v>46100</v>
      </c>
      <c r="S221" s="16">
        <f t="shared" si="11"/>
        <v>16</v>
      </c>
      <c r="T221" s="5" t="s">
        <v>457</v>
      </c>
      <c r="U221" s="5" t="s">
        <v>432</v>
      </c>
    </row>
    <row r="222" spans="1:21" s="36" customFormat="1" ht="12" x14ac:dyDescent="0.3">
      <c r="A222" s="1" t="s">
        <v>472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 t="shared" si="10"/>
        <v>12</v>
      </c>
      <c r="K222" s="17" t="s">
        <v>295</v>
      </c>
      <c r="L222" s="5" t="s">
        <v>296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 t="shared" si="13"/>
        <v>190000</v>
      </c>
      <c r="R222" s="7">
        <v>46100</v>
      </c>
      <c r="S222" s="16">
        <f t="shared" si="11"/>
        <v>13</v>
      </c>
      <c r="T222" s="5" t="s">
        <v>457</v>
      </c>
      <c r="U222" s="5" t="s">
        <v>432</v>
      </c>
    </row>
    <row r="223" spans="1:21" s="36" customFormat="1" ht="12" x14ac:dyDescent="0.3">
      <c r="A223" s="1" t="s">
        <v>473</v>
      </c>
      <c r="B223" s="5" t="s">
        <v>30</v>
      </c>
      <c r="C223" s="1">
        <v>60063122</v>
      </c>
      <c r="D223" s="5" t="s">
        <v>449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 t="shared" si="10"/>
        <v>3</v>
      </c>
      <c r="K223" s="17" t="s">
        <v>295</v>
      </c>
      <c r="L223" s="5" t="s">
        <v>296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 t="shared" si="13"/>
        <v>190000</v>
      </c>
      <c r="R223" s="7">
        <v>46100</v>
      </c>
      <c r="S223" s="16">
        <f t="shared" si="11"/>
        <v>3</v>
      </c>
      <c r="T223" s="5" t="s">
        <v>457</v>
      </c>
      <c r="U223" s="5" t="s">
        <v>432</v>
      </c>
    </row>
    <row r="224" spans="1:21" s="36" customFormat="1" ht="12" x14ac:dyDescent="0.3">
      <c r="A224" s="1" t="s">
        <v>263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 t="shared" si="10"/>
        <v>56</v>
      </c>
      <c r="K224" s="17" t="s">
        <v>295</v>
      </c>
      <c r="L224" s="5" t="s">
        <v>302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 t="shared" si="13"/>
        <v>190000</v>
      </c>
      <c r="R224" s="7">
        <v>46100</v>
      </c>
      <c r="S224" s="16">
        <f t="shared" si="11"/>
        <v>101</v>
      </c>
      <c r="T224" s="5" t="s">
        <v>457</v>
      </c>
      <c r="U224" s="5" t="s">
        <v>432</v>
      </c>
    </row>
    <row r="225" spans="1:21" s="36" customFormat="1" ht="12" x14ac:dyDescent="0.3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464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 t="shared" si="10"/>
        <v>29</v>
      </c>
      <c r="K225" s="17" t="s">
        <v>295</v>
      </c>
      <c r="L225" s="5" t="s">
        <v>302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 t="shared" si="13"/>
        <v>1093997</v>
      </c>
      <c r="R225" s="7">
        <v>46099</v>
      </c>
      <c r="S225" s="16">
        <f t="shared" si="11"/>
        <v>49</v>
      </c>
      <c r="T225" s="5" t="s">
        <v>457</v>
      </c>
      <c r="U225" s="5" t="s">
        <v>432</v>
      </c>
    </row>
    <row r="226" spans="1:21" s="36" customFormat="1" ht="12" x14ac:dyDescent="0.3">
      <c r="A226" s="6" t="s">
        <v>465</v>
      </c>
      <c r="B226" s="6" t="s">
        <v>19</v>
      </c>
      <c r="C226" s="1">
        <v>57771694</v>
      </c>
      <c r="D226" s="6" t="s">
        <v>195</v>
      </c>
      <c r="E226" s="6" t="s">
        <v>466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 t="shared" si="10"/>
        <v>31</v>
      </c>
      <c r="K226" s="17" t="s">
        <v>295</v>
      </c>
      <c r="L226" s="5" t="s">
        <v>318</v>
      </c>
      <c r="M226" s="5" t="s">
        <v>24</v>
      </c>
      <c r="N226" s="6" t="s">
        <v>169</v>
      </c>
      <c r="O226" s="12">
        <v>400000</v>
      </c>
      <c r="P226" s="12">
        <v>1034117</v>
      </c>
      <c r="Q226" s="33">
        <f t="shared" si="13"/>
        <v>1434117</v>
      </c>
      <c r="R226" s="7">
        <v>46099</v>
      </c>
      <c r="S226" s="16">
        <f t="shared" si="11"/>
        <v>31</v>
      </c>
      <c r="T226" s="5" t="s">
        <v>457</v>
      </c>
      <c r="U226" s="5" t="s">
        <v>432</v>
      </c>
    </row>
    <row r="227" spans="1:21" s="36" customFormat="1" ht="12" x14ac:dyDescent="0.3">
      <c r="A227" s="5" t="s">
        <v>455</v>
      </c>
      <c r="B227" s="5" t="s">
        <v>19</v>
      </c>
      <c r="C227" s="6">
        <v>57917222</v>
      </c>
      <c r="D227" s="5" t="s">
        <v>20</v>
      </c>
      <c r="E227" s="6" t="s">
        <v>456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 t="shared" si="10"/>
        <v>28</v>
      </c>
      <c r="K227" s="17" t="s">
        <v>295</v>
      </c>
      <c r="L227" s="5" t="s">
        <v>296</v>
      </c>
      <c r="M227" s="5" t="s">
        <v>24</v>
      </c>
      <c r="N227" s="5" t="s">
        <v>28</v>
      </c>
      <c r="O227" s="33">
        <v>577056</v>
      </c>
      <c r="P227" s="33">
        <v>0</v>
      </c>
      <c r="Q227" s="33">
        <f t="shared" si="13"/>
        <v>577056</v>
      </c>
      <c r="R227" s="7">
        <v>46098</v>
      </c>
      <c r="S227" s="16">
        <f t="shared" si="11"/>
        <v>28</v>
      </c>
      <c r="T227" s="5" t="s">
        <v>457</v>
      </c>
      <c r="U227" s="5" t="s">
        <v>432</v>
      </c>
    </row>
    <row r="228" spans="1:21" s="36" customFormat="1" ht="12" x14ac:dyDescent="0.3">
      <c r="A228" s="6" t="s">
        <v>458</v>
      </c>
      <c r="B228" s="6" t="s">
        <v>43</v>
      </c>
      <c r="C228" s="6">
        <v>58809676</v>
      </c>
      <c r="D228" s="6" t="s">
        <v>67</v>
      </c>
      <c r="E228" s="6" t="s">
        <v>459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 t="shared" si="10"/>
        <v>17</v>
      </c>
      <c r="K228" s="17" t="s">
        <v>295</v>
      </c>
      <c r="L228" s="5" t="s">
        <v>296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 t="shared" si="13"/>
        <v>2462000</v>
      </c>
      <c r="R228" s="7">
        <v>46098</v>
      </c>
      <c r="S228" s="16">
        <f t="shared" si="11"/>
        <v>17</v>
      </c>
      <c r="T228" s="5" t="s">
        <v>457</v>
      </c>
      <c r="U228" s="5" t="s">
        <v>433</v>
      </c>
    </row>
    <row r="229" spans="1:21" s="36" customFormat="1" ht="12" x14ac:dyDescent="0.3">
      <c r="A229" s="6" t="s">
        <v>460</v>
      </c>
      <c r="B229" s="6" t="s">
        <v>43</v>
      </c>
      <c r="C229" s="6">
        <v>58167492</v>
      </c>
      <c r="D229" s="6" t="s">
        <v>144</v>
      </c>
      <c r="E229" s="6" t="s">
        <v>461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 t="shared" si="10"/>
        <v>19</v>
      </c>
      <c r="K229" s="17" t="s">
        <v>295</v>
      </c>
      <c r="L229" s="5" t="s">
        <v>296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 t="shared" si="13"/>
        <v>1000000</v>
      </c>
      <c r="R229" s="7">
        <v>46098</v>
      </c>
      <c r="S229" s="16">
        <f t="shared" si="11"/>
        <v>23</v>
      </c>
      <c r="T229" s="5" t="s">
        <v>457</v>
      </c>
      <c r="U229" s="5" t="s">
        <v>432</v>
      </c>
    </row>
    <row r="230" spans="1:21" s="36" customFormat="1" ht="12" x14ac:dyDescent="0.3">
      <c r="A230" s="1" t="s">
        <v>462</v>
      </c>
      <c r="B230" s="5" t="s">
        <v>30</v>
      </c>
      <c r="C230" s="1">
        <v>58476260</v>
      </c>
      <c r="D230" s="5" t="s">
        <v>463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 t="shared" si="10"/>
        <v>21</v>
      </c>
      <c r="K230" s="5" t="s">
        <v>295</v>
      </c>
      <c r="L230" s="5" t="s">
        <v>318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 t="shared" si="13"/>
        <v>210000</v>
      </c>
      <c r="R230" s="7">
        <v>46098</v>
      </c>
      <c r="S230" s="16">
        <f t="shared" si="11"/>
        <v>21</v>
      </c>
      <c r="T230" s="5" t="s">
        <v>457</v>
      </c>
      <c r="U230" s="5" t="s">
        <v>432</v>
      </c>
    </row>
    <row r="231" spans="1:21" s="36" customFormat="1" ht="12" x14ac:dyDescent="0.3">
      <c r="A231" s="6" t="s">
        <v>440</v>
      </c>
      <c r="B231" s="6" t="s">
        <v>19</v>
      </c>
      <c r="C231" s="6">
        <v>52797879</v>
      </c>
      <c r="D231" s="6" t="s">
        <v>170</v>
      </c>
      <c r="E231" s="6" t="s">
        <v>453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 t="shared" si="10"/>
        <v>14</v>
      </c>
      <c r="K231" s="17" t="s">
        <v>295</v>
      </c>
      <c r="L231" s="5" t="s">
        <v>296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 t="shared" si="13"/>
        <v>0</v>
      </c>
      <c r="R231" s="7">
        <v>46097</v>
      </c>
      <c r="S231" s="16">
        <f t="shared" si="11"/>
        <v>98</v>
      </c>
      <c r="T231" s="5" t="s">
        <v>367</v>
      </c>
      <c r="U231" s="5" t="s">
        <v>433</v>
      </c>
    </row>
    <row r="232" spans="1:21" x14ac:dyDescent="0.35">
      <c r="A232" s="6" t="s">
        <v>440</v>
      </c>
      <c r="B232" s="6" t="s">
        <v>19</v>
      </c>
      <c r="C232" s="6">
        <v>52797893</v>
      </c>
      <c r="D232" s="6" t="s">
        <v>170</v>
      </c>
      <c r="E232" s="6" t="s">
        <v>454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 t="shared" si="10"/>
        <v>14</v>
      </c>
      <c r="K232" s="17" t="s">
        <v>295</v>
      </c>
      <c r="L232" s="5" t="s">
        <v>296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 t="shared" si="13"/>
        <v>0</v>
      </c>
      <c r="R232" s="7">
        <v>46097</v>
      </c>
      <c r="S232" s="16">
        <f t="shared" si="11"/>
        <v>98</v>
      </c>
      <c r="T232" s="5" t="s">
        <v>367</v>
      </c>
      <c r="U232" s="5" t="s">
        <v>433</v>
      </c>
    </row>
    <row r="233" spans="1:21" x14ac:dyDescent="0.35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447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 t="shared" si="10"/>
        <v>22</v>
      </c>
      <c r="K233" s="6" t="s">
        <v>295</v>
      </c>
      <c r="L233" s="6" t="s">
        <v>296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 t="shared" si="11"/>
        <v>23</v>
      </c>
      <c r="T233" s="6" t="s">
        <v>367</v>
      </c>
      <c r="U233" s="5" t="s">
        <v>432</v>
      </c>
    </row>
    <row r="234" spans="1:21" x14ac:dyDescent="0.35">
      <c r="A234" s="6" t="s">
        <v>448</v>
      </c>
      <c r="B234" s="6" t="s">
        <v>30</v>
      </c>
      <c r="C234" s="6">
        <v>58030822</v>
      </c>
      <c r="D234" s="6" t="s">
        <v>449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 t="shared" si="10"/>
        <v>25</v>
      </c>
      <c r="K234" s="6" t="s">
        <v>295</v>
      </c>
      <c r="L234" s="6" t="s">
        <v>296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 t="shared" si="11"/>
        <v>25</v>
      </c>
      <c r="T234" s="6" t="s">
        <v>367</v>
      </c>
      <c r="U234" s="5" t="s">
        <v>432</v>
      </c>
    </row>
    <row r="235" spans="1:21" x14ac:dyDescent="0.35">
      <c r="A235" s="6" t="s">
        <v>450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 t="shared" si="10"/>
        <v>18</v>
      </c>
      <c r="K235" s="6" t="s">
        <v>295</v>
      </c>
      <c r="L235" s="6" t="s">
        <v>296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 t="shared" si="11"/>
        <v>18</v>
      </c>
      <c r="T235" s="6" t="s">
        <v>367</v>
      </c>
      <c r="U235" s="5" t="s">
        <v>432</v>
      </c>
    </row>
    <row r="236" spans="1:21" x14ac:dyDescent="0.35">
      <c r="A236" s="6" t="s">
        <v>451</v>
      </c>
      <c r="B236" s="6" t="s">
        <v>19</v>
      </c>
      <c r="C236" s="6">
        <v>57157406</v>
      </c>
      <c r="D236" s="6" t="s">
        <v>170</v>
      </c>
      <c r="E236" s="6" t="s">
        <v>452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 t="shared" si="10"/>
        <v>7</v>
      </c>
      <c r="K236" s="17" t="s">
        <v>295</v>
      </c>
      <c r="L236" s="5" t="s">
        <v>296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 t="shared" si="11"/>
        <v>36</v>
      </c>
      <c r="T236" s="5" t="s">
        <v>367</v>
      </c>
      <c r="U236" s="5" t="s">
        <v>433</v>
      </c>
    </row>
    <row r="237" spans="1:21" x14ac:dyDescent="0.35">
      <c r="A237" s="6" t="s">
        <v>434</v>
      </c>
      <c r="B237" s="6" t="s">
        <v>19</v>
      </c>
      <c r="C237" s="6">
        <v>54466861</v>
      </c>
      <c r="D237" s="6" t="s">
        <v>435</v>
      </c>
      <c r="E237" s="6" t="s">
        <v>436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 t="shared" si="10"/>
        <v>63</v>
      </c>
      <c r="K237" s="6" t="s">
        <v>295</v>
      </c>
      <c r="L237" s="6" t="s">
        <v>318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 t="shared" si="11"/>
        <v>73</v>
      </c>
      <c r="T237" s="6" t="s">
        <v>367</v>
      </c>
      <c r="U237" s="5" t="s">
        <v>433</v>
      </c>
    </row>
    <row r="238" spans="1:21" x14ac:dyDescent="0.35">
      <c r="A238" s="6" t="s">
        <v>421</v>
      </c>
      <c r="B238" s="6" t="s">
        <v>19</v>
      </c>
      <c r="C238" s="6">
        <v>58163711</v>
      </c>
      <c r="D238" s="6" t="s">
        <v>122</v>
      </c>
      <c r="E238" s="6" t="s">
        <v>437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 t="shared" si="10"/>
        <v>19</v>
      </c>
      <c r="K238" s="6" t="s">
        <v>295</v>
      </c>
      <c r="L238" s="6" t="s">
        <v>296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 t="shared" si="11"/>
        <v>20</v>
      </c>
      <c r="T238" s="6" t="s">
        <v>367</v>
      </c>
      <c r="U238" s="5" t="s">
        <v>433</v>
      </c>
    </row>
    <row r="239" spans="1:21" x14ac:dyDescent="0.35">
      <c r="A239" s="6" t="s">
        <v>132</v>
      </c>
      <c r="B239" s="6" t="s">
        <v>43</v>
      </c>
      <c r="C239" s="6">
        <v>56603158</v>
      </c>
      <c r="D239" s="6" t="s">
        <v>438</v>
      </c>
      <c r="E239" s="6" t="s">
        <v>439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 t="shared" si="10"/>
        <v>42</v>
      </c>
      <c r="K239" s="6" t="s">
        <v>295</v>
      </c>
      <c r="L239" s="6" t="s">
        <v>296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 t="shared" si="11"/>
        <v>43</v>
      </c>
      <c r="T239" s="6" t="s">
        <v>367</v>
      </c>
      <c r="U239" s="5" t="s">
        <v>432</v>
      </c>
    </row>
    <row r="240" spans="1:21" x14ac:dyDescent="0.35">
      <c r="A240" s="6" t="s">
        <v>440</v>
      </c>
      <c r="B240" s="6" t="s">
        <v>43</v>
      </c>
      <c r="C240" s="6">
        <v>52799560</v>
      </c>
      <c r="D240" s="6" t="s">
        <v>170</v>
      </c>
      <c r="E240" s="6" t="s">
        <v>441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 t="shared" si="10"/>
        <v>14</v>
      </c>
      <c r="K240" s="6" t="s">
        <v>295</v>
      </c>
      <c r="L240" s="6" t="s">
        <v>296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 t="shared" si="11"/>
        <v>96</v>
      </c>
      <c r="T240" s="6" t="s">
        <v>367</v>
      </c>
      <c r="U240" s="5" t="s">
        <v>433</v>
      </c>
    </row>
    <row r="241" spans="1:21" x14ac:dyDescent="0.35">
      <c r="A241" s="6" t="s">
        <v>440</v>
      </c>
      <c r="B241" s="6" t="s">
        <v>43</v>
      </c>
      <c r="C241" s="6">
        <v>52799573</v>
      </c>
      <c r="D241" s="6" t="s">
        <v>170</v>
      </c>
      <c r="E241" s="6" t="s">
        <v>442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 t="shared" si="10"/>
        <v>14</v>
      </c>
      <c r="K241" s="6" t="s">
        <v>295</v>
      </c>
      <c r="L241" s="6" t="s">
        <v>296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 t="shared" si="11"/>
        <v>96</v>
      </c>
      <c r="T241" s="6" t="s">
        <v>367</v>
      </c>
      <c r="U241" s="5" t="s">
        <v>433</v>
      </c>
    </row>
    <row r="242" spans="1:21" x14ac:dyDescent="0.35">
      <c r="A242" s="6" t="s">
        <v>445</v>
      </c>
      <c r="B242" s="6" t="s">
        <v>43</v>
      </c>
      <c r="C242" s="6">
        <v>52808194</v>
      </c>
      <c r="D242" s="6" t="s">
        <v>195</v>
      </c>
      <c r="E242" s="6" t="s">
        <v>446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 t="shared" si="10"/>
        <v>55</v>
      </c>
      <c r="K242" s="6" t="s">
        <v>295</v>
      </c>
      <c r="L242" s="6" t="s">
        <v>318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 t="shared" si="11"/>
        <v>96</v>
      </c>
      <c r="T242" s="6" t="s">
        <v>367</v>
      </c>
      <c r="U242" s="5" t="s">
        <v>433</v>
      </c>
    </row>
    <row r="243" spans="1:21" x14ac:dyDescent="0.35">
      <c r="A243" s="6" t="s">
        <v>419</v>
      </c>
      <c r="B243" s="6" t="s">
        <v>43</v>
      </c>
      <c r="C243" s="6">
        <v>50732535</v>
      </c>
      <c r="D243" s="6" t="s">
        <v>20</v>
      </c>
      <c r="E243" s="6" t="s">
        <v>420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 t="shared" si="10"/>
        <v>98</v>
      </c>
      <c r="K243" s="6" t="s">
        <v>295</v>
      </c>
      <c r="L243" s="6" t="s">
        <v>318</v>
      </c>
      <c r="M243" s="6" t="s">
        <v>24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 t="shared" si="11"/>
        <v>124</v>
      </c>
      <c r="T243" s="5" t="s">
        <v>367</v>
      </c>
      <c r="U243" s="6" t="s">
        <v>433</v>
      </c>
    </row>
    <row r="244" spans="1:21" x14ac:dyDescent="0.35">
      <c r="A244" s="6" t="s">
        <v>421</v>
      </c>
      <c r="B244" s="6" t="s">
        <v>19</v>
      </c>
      <c r="C244" s="6">
        <v>58205267</v>
      </c>
      <c r="D244" s="6" t="s">
        <v>422</v>
      </c>
      <c r="E244" s="6" t="s">
        <v>423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 t="shared" si="10"/>
        <v>15</v>
      </c>
      <c r="K244" s="6" t="s">
        <v>295</v>
      </c>
      <c r="L244" s="6" t="s">
        <v>296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 t="shared" si="11"/>
        <v>18</v>
      </c>
      <c r="T244" s="5" t="s">
        <v>367</v>
      </c>
      <c r="U244" s="6" t="s">
        <v>433</v>
      </c>
    </row>
    <row r="245" spans="1:21" x14ac:dyDescent="0.35">
      <c r="A245" s="6" t="s">
        <v>421</v>
      </c>
      <c r="B245" s="6" t="s">
        <v>19</v>
      </c>
      <c r="C245" s="6">
        <v>58173859</v>
      </c>
      <c r="D245" s="6" t="s">
        <v>424</v>
      </c>
      <c r="E245" s="6" t="s">
        <v>425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 t="shared" si="10"/>
        <v>16</v>
      </c>
      <c r="K245" s="6" t="s">
        <v>295</v>
      </c>
      <c r="L245" s="6" t="s">
        <v>296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 t="shared" si="11"/>
        <v>19</v>
      </c>
      <c r="T245" s="5" t="s">
        <v>367</v>
      </c>
      <c r="U245" s="6" t="s">
        <v>433</v>
      </c>
    </row>
    <row r="246" spans="1:21" x14ac:dyDescent="0.35">
      <c r="A246" s="6" t="s">
        <v>426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 t="shared" si="10"/>
        <v>14</v>
      </c>
      <c r="K246" s="6" t="s">
        <v>295</v>
      </c>
      <c r="L246" s="6" t="s">
        <v>296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 t="shared" si="11"/>
        <v>14</v>
      </c>
      <c r="T246" s="5" t="s">
        <v>367</v>
      </c>
      <c r="U246" s="6" t="s">
        <v>433</v>
      </c>
    </row>
    <row r="247" spans="1:21" x14ac:dyDescent="0.35">
      <c r="A247" s="6" t="s">
        <v>427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 t="shared" si="10"/>
        <v>19</v>
      </c>
      <c r="K247" s="6" t="s">
        <v>295</v>
      </c>
      <c r="L247" s="6" t="s">
        <v>296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 t="shared" si="11"/>
        <v>19</v>
      </c>
      <c r="T247" s="5" t="s">
        <v>367</v>
      </c>
      <c r="U247" s="6" t="s">
        <v>433</v>
      </c>
    </row>
    <row r="248" spans="1:21" x14ac:dyDescent="0.35">
      <c r="A248" s="6" t="s">
        <v>428</v>
      </c>
      <c r="B248" s="6" t="s">
        <v>43</v>
      </c>
      <c r="C248" s="6">
        <v>58853633</v>
      </c>
      <c r="D248" s="6" t="s">
        <v>429</v>
      </c>
      <c r="E248" s="6" t="s">
        <v>430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 t="shared" si="10"/>
        <v>10</v>
      </c>
      <c r="K248" s="6" t="s">
        <v>295</v>
      </c>
      <c r="L248" s="6" t="s">
        <v>296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 t="shared" si="11"/>
        <v>10</v>
      </c>
      <c r="T248" s="5" t="s">
        <v>367</v>
      </c>
      <c r="U248" s="6" t="s">
        <v>433</v>
      </c>
    </row>
    <row r="249" spans="1:21" x14ac:dyDescent="0.35">
      <c r="A249" s="6" t="s">
        <v>132</v>
      </c>
      <c r="B249" s="6" t="s">
        <v>43</v>
      </c>
      <c r="C249" s="6">
        <v>56620712</v>
      </c>
      <c r="D249" s="6" t="s">
        <v>443</v>
      </c>
      <c r="E249" s="6" t="s">
        <v>444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 t="shared" si="10"/>
        <v>40</v>
      </c>
      <c r="K249" s="6" t="s">
        <v>295</v>
      </c>
      <c r="L249" s="6" t="s">
        <v>296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 t="shared" si="11"/>
        <v>42</v>
      </c>
      <c r="T249" s="6" t="s">
        <v>367</v>
      </c>
      <c r="U249" s="5" t="s">
        <v>432</v>
      </c>
    </row>
    <row r="250" spans="1:21" x14ac:dyDescent="0.35">
      <c r="A250" s="6" t="s">
        <v>398</v>
      </c>
      <c r="B250" s="6" t="s">
        <v>43</v>
      </c>
      <c r="C250" s="6">
        <v>57900967</v>
      </c>
      <c r="D250" s="6" t="s">
        <v>399</v>
      </c>
      <c r="E250" s="6" t="s">
        <v>400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 t="shared" si="10"/>
        <v>15</v>
      </c>
      <c r="K250" s="5" t="s">
        <v>295</v>
      </c>
      <c r="L250" s="5" t="s">
        <v>296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 t="shared" ref="Q250:Q281" si="14">P250+O250</f>
        <v>3596622</v>
      </c>
      <c r="R250" s="7">
        <v>46091</v>
      </c>
      <c r="S250" s="16">
        <f t="shared" si="11"/>
        <v>23</v>
      </c>
      <c r="T250" s="5" t="s">
        <v>367</v>
      </c>
      <c r="U250" s="6" t="s">
        <v>433</v>
      </c>
    </row>
    <row r="251" spans="1:21" x14ac:dyDescent="0.35">
      <c r="A251" s="14" t="s">
        <v>401</v>
      </c>
      <c r="B251" s="6" t="s">
        <v>43</v>
      </c>
      <c r="C251" s="6">
        <v>58136263</v>
      </c>
      <c r="D251" s="6" t="s">
        <v>402</v>
      </c>
      <c r="E251" s="6" t="s">
        <v>403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 t="shared" si="10"/>
        <v>11</v>
      </c>
      <c r="K251" s="17" t="s">
        <v>295</v>
      </c>
      <c r="L251" s="5" t="s">
        <v>296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 t="shared" si="14"/>
        <v>0</v>
      </c>
      <c r="R251" s="7">
        <v>46091</v>
      </c>
      <c r="S251" s="16">
        <f t="shared" si="11"/>
        <v>15</v>
      </c>
      <c r="T251" s="5" t="s">
        <v>367</v>
      </c>
      <c r="U251" s="6" t="s">
        <v>433</v>
      </c>
    </row>
    <row r="252" spans="1:21" x14ac:dyDescent="0.35">
      <c r="A252" s="6" t="s">
        <v>404</v>
      </c>
      <c r="B252" s="6" t="s">
        <v>19</v>
      </c>
      <c r="C252" s="6">
        <v>59207750</v>
      </c>
      <c r="D252" s="6" t="s">
        <v>275</v>
      </c>
      <c r="E252" s="6" t="s">
        <v>405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 t="shared" si="10"/>
        <v>7</v>
      </c>
      <c r="K252" s="5" t="s">
        <v>295</v>
      </c>
      <c r="L252" s="5" t="s">
        <v>296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 t="shared" si="14"/>
        <v>1590836</v>
      </c>
      <c r="R252" s="7">
        <v>46091</v>
      </c>
      <c r="S252" s="16">
        <f t="shared" si="11"/>
        <v>7</v>
      </c>
      <c r="T252" s="5" t="s">
        <v>367</v>
      </c>
      <c r="U252" s="6" t="s">
        <v>433</v>
      </c>
    </row>
    <row r="253" spans="1:21" x14ac:dyDescent="0.35">
      <c r="A253" s="6" t="s">
        <v>406</v>
      </c>
      <c r="B253" s="5" t="s">
        <v>19</v>
      </c>
      <c r="C253" s="5">
        <v>57111758</v>
      </c>
      <c r="D253" s="5" t="s">
        <v>170</v>
      </c>
      <c r="E253" s="6" t="s">
        <v>407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 t="shared" si="10"/>
        <v>12</v>
      </c>
      <c r="K253" s="17" t="s">
        <v>295</v>
      </c>
      <c r="L253" s="5" t="s">
        <v>296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 t="shared" si="14"/>
        <v>0</v>
      </c>
      <c r="R253" s="7">
        <v>46091</v>
      </c>
      <c r="S253" s="16">
        <f t="shared" si="11"/>
        <v>34</v>
      </c>
      <c r="T253" s="5" t="s">
        <v>367</v>
      </c>
      <c r="U253" s="6" t="s">
        <v>433</v>
      </c>
    </row>
    <row r="254" spans="1:21" x14ac:dyDescent="0.35">
      <c r="A254" s="6" t="s">
        <v>406</v>
      </c>
      <c r="B254" s="5" t="s">
        <v>19</v>
      </c>
      <c r="C254" s="6">
        <v>57111764</v>
      </c>
      <c r="D254" s="5" t="s">
        <v>170</v>
      </c>
      <c r="E254" s="6" t="s">
        <v>408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 t="shared" si="10"/>
        <v>12</v>
      </c>
      <c r="K254" s="17" t="s">
        <v>295</v>
      </c>
      <c r="L254" s="5" t="s">
        <v>296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 t="shared" si="14"/>
        <v>0</v>
      </c>
      <c r="R254" s="7">
        <v>46091</v>
      </c>
      <c r="S254" s="16">
        <f t="shared" si="11"/>
        <v>34</v>
      </c>
      <c r="T254" s="5" t="s">
        <v>367</v>
      </c>
      <c r="U254" s="6" t="s">
        <v>433</v>
      </c>
    </row>
    <row r="255" spans="1:21" x14ac:dyDescent="0.35">
      <c r="A255" s="1" t="s">
        <v>409</v>
      </c>
      <c r="B255" s="5" t="s">
        <v>30</v>
      </c>
      <c r="C255" s="1">
        <v>59019541</v>
      </c>
      <c r="D255" s="5" t="s">
        <v>410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 t="shared" si="10"/>
        <v>9</v>
      </c>
      <c r="K255" s="5" t="s">
        <v>295</v>
      </c>
      <c r="L255" s="5" t="s">
        <v>296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 t="shared" si="14"/>
        <v>210000</v>
      </c>
      <c r="R255" s="7">
        <v>46091</v>
      </c>
      <c r="S255" s="16">
        <f t="shared" si="11"/>
        <v>9</v>
      </c>
      <c r="T255" s="5" t="s">
        <v>367</v>
      </c>
      <c r="U255" s="6" t="s">
        <v>433</v>
      </c>
    </row>
    <row r="256" spans="1:21" x14ac:dyDescent="0.35">
      <c r="A256" s="3" t="s">
        <v>411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 t="shared" si="10"/>
        <v>14</v>
      </c>
      <c r="K256" s="5" t="s">
        <v>295</v>
      </c>
      <c r="L256" s="5" t="s">
        <v>296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 t="shared" si="14"/>
        <v>210000</v>
      </c>
      <c r="R256" s="7">
        <v>46091</v>
      </c>
      <c r="S256" s="16">
        <f t="shared" si="11"/>
        <v>64</v>
      </c>
      <c r="T256" s="5" t="s">
        <v>367</v>
      </c>
      <c r="U256" s="6" t="s">
        <v>433</v>
      </c>
    </row>
    <row r="257" spans="1:21" x14ac:dyDescent="0.35">
      <c r="A257" s="6" t="s">
        <v>412</v>
      </c>
      <c r="B257" s="6" t="s">
        <v>43</v>
      </c>
      <c r="C257" s="6">
        <v>47899159</v>
      </c>
      <c r="D257" s="6" t="s">
        <v>413</v>
      </c>
      <c r="E257" s="6" t="s">
        <v>414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 t="shared" si="10"/>
        <v>138</v>
      </c>
      <c r="K257" s="17" t="s">
        <v>295</v>
      </c>
      <c r="L257" s="5" t="s">
        <v>296</v>
      </c>
      <c r="M257" s="6" t="s">
        <v>24</v>
      </c>
      <c r="N257" s="6" t="s">
        <v>191</v>
      </c>
      <c r="O257" s="12">
        <v>0</v>
      </c>
      <c r="P257" s="12">
        <v>0</v>
      </c>
      <c r="Q257" s="30">
        <f t="shared" si="14"/>
        <v>0</v>
      </c>
      <c r="R257" s="7">
        <v>46091</v>
      </c>
      <c r="S257" s="16">
        <f t="shared" si="11"/>
        <v>164</v>
      </c>
      <c r="T257" s="5" t="s">
        <v>367</v>
      </c>
      <c r="U257" s="6" t="s">
        <v>433</v>
      </c>
    </row>
    <row r="258" spans="1:21" x14ac:dyDescent="0.35">
      <c r="A258" s="6" t="s">
        <v>412</v>
      </c>
      <c r="B258" s="6" t="s">
        <v>43</v>
      </c>
      <c r="C258" s="14">
        <v>48425163</v>
      </c>
      <c r="D258" s="5" t="s">
        <v>415</v>
      </c>
      <c r="E258" s="6" t="s">
        <v>416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 t="shared" ref="J258:J321" si="15">+NETWORKDAYS(H258,I258)</f>
        <v>130</v>
      </c>
      <c r="K258" s="17" t="s">
        <v>295</v>
      </c>
      <c r="L258" s="5" t="s">
        <v>296</v>
      </c>
      <c r="M258" s="6" t="s">
        <v>24</v>
      </c>
      <c r="N258" s="6" t="s">
        <v>191</v>
      </c>
      <c r="O258" s="12">
        <v>0</v>
      </c>
      <c r="P258" s="12">
        <v>0</v>
      </c>
      <c r="Q258" s="30">
        <f t="shared" si="14"/>
        <v>0</v>
      </c>
      <c r="R258" s="7">
        <v>46091</v>
      </c>
      <c r="S258" s="16">
        <f t="shared" ref="S258:S321" si="16">NETWORKDAYS(H258,R258)</f>
        <v>152</v>
      </c>
      <c r="T258" s="5" t="s">
        <v>367</v>
      </c>
      <c r="U258" s="6" t="s">
        <v>433</v>
      </c>
    </row>
    <row r="259" spans="1:21" x14ac:dyDescent="0.35">
      <c r="A259" s="6" t="s">
        <v>417</v>
      </c>
      <c r="B259" s="6" t="s">
        <v>43</v>
      </c>
      <c r="C259" s="6">
        <v>53934458</v>
      </c>
      <c r="D259" s="6" t="s">
        <v>275</v>
      </c>
      <c r="E259" s="6" t="s">
        <v>418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 t="shared" si="15"/>
        <v>49</v>
      </c>
      <c r="K259" s="17" t="s">
        <v>344</v>
      </c>
      <c r="L259" s="5" t="s">
        <v>296</v>
      </c>
      <c r="M259" s="6" t="s">
        <v>24</v>
      </c>
      <c r="N259" s="6" t="s">
        <v>117</v>
      </c>
      <c r="O259" s="33">
        <v>0</v>
      </c>
      <c r="P259" s="33">
        <v>0</v>
      </c>
      <c r="Q259" s="30">
        <f t="shared" si="14"/>
        <v>0</v>
      </c>
      <c r="R259" s="7">
        <v>46091</v>
      </c>
      <c r="S259" s="16">
        <f t="shared" si="16"/>
        <v>69</v>
      </c>
      <c r="T259" s="5" t="s">
        <v>367</v>
      </c>
      <c r="U259" s="6" t="s">
        <v>433</v>
      </c>
    </row>
    <row r="260" spans="1:21" x14ac:dyDescent="0.35">
      <c r="A260" s="6" t="s">
        <v>364</v>
      </c>
      <c r="B260" s="6" t="s">
        <v>43</v>
      </c>
      <c r="C260" s="6">
        <v>54968651</v>
      </c>
      <c r="D260" s="6" t="s">
        <v>365</v>
      </c>
      <c r="E260" s="6" t="s">
        <v>366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 t="shared" si="15"/>
        <v>53</v>
      </c>
      <c r="K260" s="17" t="s">
        <v>344</v>
      </c>
      <c r="L260" s="5" t="s">
        <v>318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 t="shared" si="14"/>
        <v>2700000</v>
      </c>
      <c r="R260" s="7">
        <v>46090</v>
      </c>
      <c r="S260" s="16">
        <f t="shared" si="16"/>
        <v>63</v>
      </c>
      <c r="T260" s="5" t="s">
        <v>367</v>
      </c>
      <c r="U260" s="6" t="s">
        <v>433</v>
      </c>
    </row>
    <row r="261" spans="1:21" x14ac:dyDescent="0.35">
      <c r="A261" s="6" t="s">
        <v>364</v>
      </c>
      <c r="B261" s="6" t="s">
        <v>43</v>
      </c>
      <c r="C261" s="6">
        <v>54971775</v>
      </c>
      <c r="D261" s="6" t="s">
        <v>368</v>
      </c>
      <c r="E261" s="6" t="s">
        <v>369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 t="shared" si="15"/>
        <v>40</v>
      </c>
      <c r="K261" s="17" t="s">
        <v>295</v>
      </c>
      <c r="L261" s="5" t="s">
        <v>318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 t="shared" si="14"/>
        <v>2700000</v>
      </c>
      <c r="R261" s="7">
        <v>46090</v>
      </c>
      <c r="S261" s="16">
        <f t="shared" si="16"/>
        <v>63</v>
      </c>
      <c r="T261" s="5" t="s">
        <v>367</v>
      </c>
      <c r="U261" s="6" t="s">
        <v>433</v>
      </c>
    </row>
    <row r="262" spans="1:21" x14ac:dyDescent="0.35">
      <c r="A262" s="6" t="s">
        <v>364</v>
      </c>
      <c r="B262" s="6" t="s">
        <v>43</v>
      </c>
      <c r="C262" s="6">
        <v>54973833</v>
      </c>
      <c r="D262" s="6" t="s">
        <v>370</v>
      </c>
      <c r="E262" s="6" t="s">
        <v>371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 t="shared" si="15"/>
        <v>14</v>
      </c>
      <c r="K262" s="17" t="s">
        <v>295</v>
      </c>
      <c r="L262" s="5" t="s">
        <v>296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 t="shared" si="14"/>
        <v>1950000</v>
      </c>
      <c r="R262" s="7">
        <v>46090</v>
      </c>
      <c r="S262" s="16">
        <f t="shared" si="16"/>
        <v>63</v>
      </c>
      <c r="T262" s="5" t="s">
        <v>367</v>
      </c>
      <c r="U262" s="6" t="s">
        <v>433</v>
      </c>
    </row>
    <row r="263" spans="1:21" x14ac:dyDescent="0.35">
      <c r="A263" s="6" t="s">
        <v>364</v>
      </c>
      <c r="B263" s="6" t="s">
        <v>43</v>
      </c>
      <c r="C263" s="6">
        <v>54980338</v>
      </c>
      <c r="D263" s="6" t="s">
        <v>372</v>
      </c>
      <c r="E263" s="6" t="s">
        <v>373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 t="shared" si="15"/>
        <v>17</v>
      </c>
      <c r="K263" s="17" t="s">
        <v>295</v>
      </c>
      <c r="L263" s="5" t="s">
        <v>296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 t="shared" si="14"/>
        <v>1800000</v>
      </c>
      <c r="R263" s="7">
        <v>46090</v>
      </c>
      <c r="S263" s="16">
        <f t="shared" si="16"/>
        <v>63</v>
      </c>
      <c r="T263" s="5" t="s">
        <v>367</v>
      </c>
      <c r="U263" s="6" t="s">
        <v>433</v>
      </c>
    </row>
    <row r="264" spans="1:21" x14ac:dyDescent="0.35">
      <c r="A264" s="6" t="s">
        <v>364</v>
      </c>
      <c r="B264" s="6" t="s">
        <v>43</v>
      </c>
      <c r="C264" s="6">
        <v>55103426</v>
      </c>
      <c r="D264" s="6" t="s">
        <v>374</v>
      </c>
      <c r="E264" s="6" t="s">
        <v>375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 t="shared" si="15"/>
        <v>27</v>
      </c>
      <c r="K264" s="17" t="s">
        <v>344</v>
      </c>
      <c r="L264" s="5" t="s">
        <v>296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 t="shared" si="14"/>
        <v>1800000</v>
      </c>
      <c r="R264" s="7">
        <v>46090</v>
      </c>
      <c r="S264" s="16">
        <f t="shared" si="16"/>
        <v>61</v>
      </c>
      <c r="T264" s="5" t="s">
        <v>367</v>
      </c>
      <c r="U264" s="6" t="s">
        <v>433</v>
      </c>
    </row>
    <row r="265" spans="1:21" x14ac:dyDescent="0.35">
      <c r="A265" s="6" t="s">
        <v>364</v>
      </c>
      <c r="B265" s="6" t="s">
        <v>43</v>
      </c>
      <c r="C265" s="6">
        <v>54979384</v>
      </c>
      <c r="D265" s="6" t="s">
        <v>376</v>
      </c>
      <c r="E265" s="6" t="s">
        <v>377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 t="shared" si="15"/>
        <v>46</v>
      </c>
      <c r="K265" s="17" t="s">
        <v>295</v>
      </c>
      <c r="L265" s="5" t="s">
        <v>318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 t="shared" si="14"/>
        <v>1550000</v>
      </c>
      <c r="R265" s="7">
        <v>46090</v>
      </c>
      <c r="S265" s="16">
        <f t="shared" si="16"/>
        <v>63</v>
      </c>
      <c r="T265" s="5" t="s">
        <v>367</v>
      </c>
      <c r="U265" s="6" t="s">
        <v>433</v>
      </c>
    </row>
    <row r="266" spans="1:21" x14ac:dyDescent="0.35">
      <c r="A266" s="6" t="s">
        <v>364</v>
      </c>
      <c r="B266" s="6" t="s">
        <v>43</v>
      </c>
      <c r="C266" s="6">
        <v>54979901</v>
      </c>
      <c r="D266" s="6" t="s">
        <v>378</v>
      </c>
      <c r="E266" s="6" t="s">
        <v>379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 t="shared" si="15"/>
        <v>25</v>
      </c>
      <c r="K266" s="17" t="s">
        <v>344</v>
      </c>
      <c r="L266" s="5" t="s">
        <v>296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 t="shared" si="14"/>
        <v>1800000</v>
      </c>
      <c r="R266" s="7">
        <v>46090</v>
      </c>
      <c r="S266" s="16">
        <f t="shared" si="16"/>
        <v>63</v>
      </c>
      <c r="T266" s="5" t="s">
        <v>367</v>
      </c>
      <c r="U266" s="6" t="s">
        <v>433</v>
      </c>
    </row>
    <row r="267" spans="1:21" x14ac:dyDescent="0.35">
      <c r="A267" s="6" t="s">
        <v>364</v>
      </c>
      <c r="B267" s="6" t="s">
        <v>43</v>
      </c>
      <c r="C267" s="6">
        <v>54981048</v>
      </c>
      <c r="D267" s="6" t="s">
        <v>380</v>
      </c>
      <c r="E267" s="5" t="s">
        <v>381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 t="shared" si="15"/>
        <v>33</v>
      </c>
      <c r="K267" s="17" t="s">
        <v>344</v>
      </c>
      <c r="L267" s="5" t="s">
        <v>318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 t="shared" si="14"/>
        <v>1800000</v>
      </c>
      <c r="R267" s="7">
        <v>46090</v>
      </c>
      <c r="S267" s="16">
        <f t="shared" si="16"/>
        <v>63</v>
      </c>
      <c r="T267" s="5" t="s">
        <v>367</v>
      </c>
      <c r="U267" s="6" t="s">
        <v>433</v>
      </c>
    </row>
    <row r="268" spans="1:21" x14ac:dyDescent="0.35">
      <c r="A268" s="6" t="s">
        <v>364</v>
      </c>
      <c r="B268" s="6" t="s">
        <v>43</v>
      </c>
      <c r="C268" s="32">
        <v>55105863</v>
      </c>
      <c r="D268" s="6" t="s">
        <v>382</v>
      </c>
      <c r="E268" s="6" t="s">
        <v>383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 t="shared" si="15"/>
        <v>44</v>
      </c>
      <c r="K268" s="17" t="s">
        <v>295</v>
      </c>
      <c r="L268" s="5" t="s">
        <v>318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 t="shared" si="14"/>
        <v>2550000</v>
      </c>
      <c r="R268" s="7">
        <v>46090</v>
      </c>
      <c r="S268" s="16">
        <f t="shared" si="16"/>
        <v>61</v>
      </c>
      <c r="T268" s="5" t="s">
        <v>367</v>
      </c>
      <c r="U268" s="6" t="s">
        <v>433</v>
      </c>
    </row>
    <row r="269" spans="1:21" x14ac:dyDescent="0.35">
      <c r="A269" s="6" t="s">
        <v>364</v>
      </c>
      <c r="B269" s="6" t="s">
        <v>43</v>
      </c>
      <c r="C269" s="6">
        <v>55104619</v>
      </c>
      <c r="D269" s="6" t="s">
        <v>384</v>
      </c>
      <c r="E269" s="6" t="s">
        <v>385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 t="shared" si="15"/>
        <v>55</v>
      </c>
      <c r="K269" s="17" t="s">
        <v>295</v>
      </c>
      <c r="L269" s="5" t="s">
        <v>318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 t="shared" si="14"/>
        <v>2700000</v>
      </c>
      <c r="R269" s="7">
        <v>46090</v>
      </c>
      <c r="S269" s="16">
        <f t="shared" si="16"/>
        <v>61</v>
      </c>
      <c r="T269" s="5" t="s">
        <v>367</v>
      </c>
      <c r="U269" s="6" t="s">
        <v>433</v>
      </c>
    </row>
    <row r="270" spans="1:21" x14ac:dyDescent="0.35">
      <c r="A270" s="6" t="s">
        <v>364</v>
      </c>
      <c r="B270" s="6" t="s">
        <v>43</v>
      </c>
      <c r="C270" s="6">
        <v>54978747</v>
      </c>
      <c r="D270" s="6" t="s">
        <v>386</v>
      </c>
      <c r="E270" s="6" t="s">
        <v>387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 t="shared" si="15"/>
        <v>23</v>
      </c>
      <c r="K270" s="17" t="s">
        <v>344</v>
      </c>
      <c r="L270" s="5" t="s">
        <v>296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 t="shared" si="14"/>
        <v>1550000</v>
      </c>
      <c r="R270" s="7">
        <v>46090</v>
      </c>
      <c r="S270" s="16">
        <f t="shared" si="16"/>
        <v>63</v>
      </c>
      <c r="T270" s="5" t="s">
        <v>367</v>
      </c>
      <c r="U270" s="6" t="s">
        <v>433</v>
      </c>
    </row>
    <row r="271" spans="1:21" x14ac:dyDescent="0.35">
      <c r="A271" s="6" t="s">
        <v>364</v>
      </c>
      <c r="B271" s="6" t="s">
        <v>43</v>
      </c>
      <c r="C271" s="6">
        <v>54978242</v>
      </c>
      <c r="D271" s="6" t="s">
        <v>388</v>
      </c>
      <c r="E271" s="6" t="s">
        <v>389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 t="shared" si="15"/>
        <v>28</v>
      </c>
      <c r="K271" s="5" t="s">
        <v>344</v>
      </c>
      <c r="L271" s="5" t="s">
        <v>318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 t="shared" si="14"/>
        <v>2200000</v>
      </c>
      <c r="R271" s="7">
        <v>46090</v>
      </c>
      <c r="S271" s="16">
        <f t="shared" si="16"/>
        <v>63</v>
      </c>
      <c r="T271" s="5" t="s">
        <v>367</v>
      </c>
      <c r="U271" s="6" t="s">
        <v>433</v>
      </c>
    </row>
    <row r="272" spans="1:21" x14ac:dyDescent="0.35">
      <c r="A272" s="6" t="s">
        <v>364</v>
      </c>
      <c r="B272" s="6" t="s">
        <v>43</v>
      </c>
      <c r="C272" s="6">
        <v>55105778</v>
      </c>
      <c r="D272" s="6" t="s">
        <v>390</v>
      </c>
      <c r="E272" s="6" t="s">
        <v>391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 t="shared" si="15"/>
        <v>54</v>
      </c>
      <c r="K272" s="17" t="s">
        <v>295</v>
      </c>
      <c r="L272" s="5" t="s">
        <v>318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 t="shared" si="14"/>
        <v>2300000</v>
      </c>
      <c r="R272" s="7">
        <v>46090</v>
      </c>
      <c r="S272" s="16">
        <f t="shared" si="16"/>
        <v>61</v>
      </c>
      <c r="T272" s="5" t="s">
        <v>367</v>
      </c>
      <c r="U272" s="6" t="s">
        <v>433</v>
      </c>
    </row>
    <row r="273" spans="1:21" x14ac:dyDescent="0.35">
      <c r="A273" s="6" t="s">
        <v>364</v>
      </c>
      <c r="B273" s="6" t="s">
        <v>43</v>
      </c>
      <c r="C273" s="6">
        <v>54973195</v>
      </c>
      <c r="D273" s="6" t="s">
        <v>392</v>
      </c>
      <c r="E273" s="6" t="s">
        <v>393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 t="shared" si="15"/>
        <v>18</v>
      </c>
      <c r="K273" s="5" t="s">
        <v>295</v>
      </c>
      <c r="L273" s="5" t="s">
        <v>296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 t="shared" si="14"/>
        <v>2200000</v>
      </c>
      <c r="R273" s="7">
        <v>46090</v>
      </c>
      <c r="S273" s="16">
        <f t="shared" si="16"/>
        <v>63</v>
      </c>
      <c r="T273" s="5" t="s">
        <v>367</v>
      </c>
      <c r="U273" s="6" t="s">
        <v>433</v>
      </c>
    </row>
    <row r="274" spans="1:21" x14ac:dyDescent="0.35">
      <c r="A274" s="6" t="s">
        <v>364</v>
      </c>
      <c r="B274" s="6" t="s">
        <v>43</v>
      </c>
      <c r="C274" s="6">
        <v>55105296</v>
      </c>
      <c r="D274" s="6" t="s">
        <v>394</v>
      </c>
      <c r="E274" s="6" t="s">
        <v>395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 t="shared" si="15"/>
        <v>22</v>
      </c>
      <c r="K274" s="5" t="s">
        <v>295</v>
      </c>
      <c r="L274" s="5" t="s">
        <v>296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 t="shared" si="14"/>
        <v>2800000</v>
      </c>
      <c r="R274" s="7">
        <v>46090</v>
      </c>
      <c r="S274" s="16">
        <f t="shared" si="16"/>
        <v>61</v>
      </c>
      <c r="T274" s="5" t="s">
        <v>367</v>
      </c>
      <c r="U274" s="6" t="s">
        <v>433</v>
      </c>
    </row>
    <row r="275" spans="1:21" x14ac:dyDescent="0.35">
      <c r="A275" s="6" t="s">
        <v>364</v>
      </c>
      <c r="B275" s="6" t="s">
        <v>43</v>
      </c>
      <c r="C275" s="1">
        <v>54976425</v>
      </c>
      <c r="D275" s="6" t="s">
        <v>396</v>
      </c>
      <c r="E275" s="6" t="s">
        <v>397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 t="shared" si="15"/>
        <v>17</v>
      </c>
      <c r="K275" s="5" t="s">
        <v>295</v>
      </c>
      <c r="L275" s="5" t="s">
        <v>296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 t="shared" si="14"/>
        <v>2550000</v>
      </c>
      <c r="R275" s="7">
        <v>46090</v>
      </c>
      <c r="S275" s="16">
        <f t="shared" si="16"/>
        <v>63</v>
      </c>
      <c r="T275" s="5" t="s">
        <v>367</v>
      </c>
      <c r="U275" s="6" t="s">
        <v>433</v>
      </c>
    </row>
    <row r="276" spans="1:21" x14ac:dyDescent="0.35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363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 t="shared" si="15"/>
        <v>17</v>
      </c>
      <c r="K276" s="17" t="s">
        <v>295</v>
      </c>
      <c r="L276" s="5" t="s">
        <v>296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 t="shared" si="14"/>
        <v>2380000</v>
      </c>
      <c r="R276" s="7">
        <v>46087</v>
      </c>
      <c r="S276" s="16">
        <f t="shared" si="16"/>
        <v>18</v>
      </c>
      <c r="T276" s="5" t="s">
        <v>338</v>
      </c>
      <c r="U276" s="5" t="s">
        <v>432</v>
      </c>
    </row>
    <row r="277" spans="1:21" x14ac:dyDescent="0.35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351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 t="shared" si="15"/>
        <v>53</v>
      </c>
      <c r="K277" s="17" t="s">
        <v>295</v>
      </c>
      <c r="L277" s="5" t="s">
        <v>318</v>
      </c>
      <c r="M277" s="5" t="s">
        <v>24</v>
      </c>
      <c r="N277" s="6" t="s">
        <v>193</v>
      </c>
      <c r="O277" s="12">
        <v>0</v>
      </c>
      <c r="P277" s="12">
        <v>0</v>
      </c>
      <c r="Q277" s="30">
        <f t="shared" si="14"/>
        <v>0</v>
      </c>
      <c r="R277" s="7">
        <v>46086</v>
      </c>
      <c r="S277" s="16">
        <f t="shared" si="16"/>
        <v>55</v>
      </c>
      <c r="T277" s="6" t="s">
        <v>338</v>
      </c>
      <c r="U277" s="5" t="s">
        <v>432</v>
      </c>
    </row>
    <row r="278" spans="1:21" x14ac:dyDescent="0.35">
      <c r="A278" s="6" t="s">
        <v>352</v>
      </c>
      <c r="B278" s="6" t="s">
        <v>43</v>
      </c>
      <c r="C278" s="6">
        <v>58853643</v>
      </c>
      <c r="D278" s="6" t="s">
        <v>353</v>
      </c>
      <c r="E278" s="6" t="s">
        <v>354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 t="shared" si="15"/>
        <v>5</v>
      </c>
      <c r="K278" s="17" t="s">
        <v>295</v>
      </c>
      <c r="L278" s="5" t="s">
        <v>296</v>
      </c>
      <c r="M278" s="6" t="s">
        <v>24</v>
      </c>
      <c r="N278" s="6" t="s">
        <v>146</v>
      </c>
      <c r="O278" s="12">
        <v>0</v>
      </c>
      <c r="P278" s="12">
        <v>0</v>
      </c>
      <c r="Q278" s="30">
        <f t="shared" si="14"/>
        <v>0</v>
      </c>
      <c r="R278" s="7">
        <v>46086</v>
      </c>
      <c r="S278" s="16">
        <f t="shared" si="16"/>
        <v>6</v>
      </c>
      <c r="T278" s="6" t="s">
        <v>338</v>
      </c>
      <c r="U278" s="5" t="s">
        <v>433</v>
      </c>
    </row>
    <row r="279" spans="1:21" x14ac:dyDescent="0.35">
      <c r="A279" s="1" t="s">
        <v>42</v>
      </c>
      <c r="B279" s="1" t="s">
        <v>43</v>
      </c>
      <c r="C279" s="6">
        <v>54479742</v>
      </c>
      <c r="D279" s="5" t="s">
        <v>355</v>
      </c>
      <c r="E279" s="6" t="s">
        <v>356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 t="shared" si="15"/>
        <v>66</v>
      </c>
      <c r="K279" s="17" t="s">
        <v>295</v>
      </c>
      <c r="L279" s="5" t="s">
        <v>296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 t="shared" si="14"/>
        <v>6064001</v>
      </c>
      <c r="R279" s="7">
        <v>46086</v>
      </c>
      <c r="S279" s="16">
        <f t="shared" si="16"/>
        <v>68</v>
      </c>
      <c r="T279" s="6" t="s">
        <v>338</v>
      </c>
      <c r="U279" s="5" t="s">
        <v>432</v>
      </c>
    </row>
    <row r="280" spans="1:21" x14ac:dyDescent="0.35">
      <c r="A280" s="1" t="s">
        <v>357</v>
      </c>
      <c r="B280" s="6" t="s">
        <v>85</v>
      </c>
      <c r="C280" s="1">
        <v>58932414</v>
      </c>
      <c r="D280" s="6" t="s">
        <v>358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 t="shared" si="15"/>
        <v>7</v>
      </c>
      <c r="K280" s="17" t="s">
        <v>295</v>
      </c>
      <c r="L280" s="5" t="s">
        <v>296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 t="shared" si="14"/>
        <v>1495000</v>
      </c>
      <c r="R280" s="7">
        <v>46086</v>
      </c>
      <c r="S280" s="16">
        <f t="shared" si="16"/>
        <v>7</v>
      </c>
      <c r="T280" s="6" t="s">
        <v>338</v>
      </c>
      <c r="U280" s="5" t="s">
        <v>432</v>
      </c>
    </row>
    <row r="281" spans="1:21" x14ac:dyDescent="0.35">
      <c r="A281" s="6" t="s">
        <v>359</v>
      </c>
      <c r="B281" s="6" t="s">
        <v>19</v>
      </c>
      <c r="C281" s="6">
        <v>57932962</v>
      </c>
      <c r="D281" s="6" t="s">
        <v>20</v>
      </c>
      <c r="E281" s="6" t="s">
        <v>360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 t="shared" si="15"/>
        <v>19</v>
      </c>
      <c r="K281" s="17" t="s">
        <v>295</v>
      </c>
      <c r="L281" s="5" t="s">
        <v>296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 t="shared" si="14"/>
        <v>687644</v>
      </c>
      <c r="R281" s="7">
        <v>46086</v>
      </c>
      <c r="S281" s="16">
        <f t="shared" si="16"/>
        <v>20</v>
      </c>
      <c r="T281" s="5" t="s">
        <v>338</v>
      </c>
      <c r="U281" s="5" t="s">
        <v>432</v>
      </c>
    </row>
    <row r="282" spans="1:21" x14ac:dyDescent="0.35">
      <c r="A282" s="6" t="s">
        <v>361</v>
      </c>
      <c r="B282" s="6" t="s">
        <v>19</v>
      </c>
      <c r="C282" s="6">
        <v>58272102</v>
      </c>
      <c r="D282" s="6" t="s">
        <v>35</v>
      </c>
      <c r="E282" s="6" t="s">
        <v>362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 t="shared" si="15"/>
        <v>12</v>
      </c>
      <c r="K282" s="17" t="s">
        <v>295</v>
      </c>
      <c r="L282" s="5" t="s">
        <v>296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 t="shared" ref="Q282:Q313" si="17">P282+O282</f>
        <v>3288468</v>
      </c>
      <c r="R282" s="7">
        <v>46086</v>
      </c>
      <c r="S282" s="16">
        <f t="shared" si="16"/>
        <v>15</v>
      </c>
      <c r="T282" s="5" t="s">
        <v>338</v>
      </c>
      <c r="U282" s="5" t="s">
        <v>432</v>
      </c>
    </row>
    <row r="283" spans="1:21" x14ac:dyDescent="0.35">
      <c r="A283" s="6" t="s">
        <v>315</v>
      </c>
      <c r="B283" s="6" t="s">
        <v>19</v>
      </c>
      <c r="C283" s="6">
        <v>57847231</v>
      </c>
      <c r="D283" s="6" t="s">
        <v>316</v>
      </c>
      <c r="E283" s="6" t="s">
        <v>340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 t="shared" si="15"/>
        <v>15</v>
      </c>
      <c r="K283" s="6" t="s">
        <v>344</v>
      </c>
      <c r="L283" s="6" t="s">
        <v>296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 t="shared" si="17"/>
        <v>736605</v>
      </c>
      <c r="R283" s="8">
        <v>46085</v>
      </c>
      <c r="S283" s="16">
        <f t="shared" si="16"/>
        <v>20</v>
      </c>
      <c r="T283" s="6" t="s">
        <v>338</v>
      </c>
      <c r="U283" s="5" t="s">
        <v>432</v>
      </c>
    </row>
    <row r="284" spans="1:21" x14ac:dyDescent="0.35">
      <c r="A284" s="6" t="s">
        <v>341</v>
      </c>
      <c r="B284" s="6" t="s">
        <v>19</v>
      </c>
      <c r="C284" s="6">
        <v>24190516</v>
      </c>
      <c r="D284" s="6" t="s">
        <v>342</v>
      </c>
      <c r="E284" s="6" t="s">
        <v>343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 t="shared" si="15"/>
        <v>585</v>
      </c>
      <c r="K284" s="6" t="s">
        <v>295</v>
      </c>
      <c r="L284" s="6" t="s">
        <v>318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 t="shared" si="17"/>
        <v>8818371</v>
      </c>
      <c r="R284" s="8">
        <v>46085</v>
      </c>
      <c r="S284" s="16">
        <f t="shared" si="16"/>
        <v>589</v>
      </c>
      <c r="T284" s="6" t="s">
        <v>338</v>
      </c>
      <c r="U284" s="5" t="s">
        <v>432</v>
      </c>
    </row>
    <row r="285" spans="1:21" x14ac:dyDescent="0.35">
      <c r="A285" s="6" t="s">
        <v>345</v>
      </c>
      <c r="B285" s="6" t="s">
        <v>19</v>
      </c>
      <c r="C285" s="6">
        <v>58227435</v>
      </c>
      <c r="D285" s="6" t="s">
        <v>20</v>
      </c>
      <c r="E285" s="6" t="s">
        <v>346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 t="shared" si="15"/>
        <v>11</v>
      </c>
      <c r="K285" s="6" t="s">
        <v>295</v>
      </c>
      <c r="L285" s="6" t="s">
        <v>296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 t="shared" si="17"/>
        <v>430500</v>
      </c>
      <c r="R285" s="8">
        <v>46085</v>
      </c>
      <c r="S285" s="16">
        <f t="shared" si="16"/>
        <v>13</v>
      </c>
      <c r="T285" s="6" t="s">
        <v>338</v>
      </c>
      <c r="U285" s="5" t="s">
        <v>432</v>
      </c>
    </row>
    <row r="286" spans="1:21" x14ac:dyDescent="0.35">
      <c r="A286" s="6" t="s">
        <v>143</v>
      </c>
      <c r="B286" s="6" t="s">
        <v>43</v>
      </c>
      <c r="C286" s="6">
        <v>54990268</v>
      </c>
      <c r="D286" s="6" t="s">
        <v>347</v>
      </c>
      <c r="E286" s="6" t="s">
        <v>348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 t="shared" si="15"/>
        <v>59</v>
      </c>
      <c r="K286" s="6" t="s">
        <v>295</v>
      </c>
      <c r="L286" s="6" t="s">
        <v>318</v>
      </c>
      <c r="M286" s="6" t="s">
        <v>24</v>
      </c>
      <c r="N286" s="6" t="s">
        <v>53</v>
      </c>
      <c r="O286" s="30">
        <v>0</v>
      </c>
      <c r="P286" s="30">
        <v>0</v>
      </c>
      <c r="Q286" s="30">
        <f t="shared" si="17"/>
        <v>0</v>
      </c>
      <c r="R286" s="8">
        <v>46085</v>
      </c>
      <c r="S286" s="16">
        <f t="shared" si="16"/>
        <v>60</v>
      </c>
      <c r="T286" s="6" t="s">
        <v>338</v>
      </c>
      <c r="U286" s="5" t="s">
        <v>433</v>
      </c>
    </row>
    <row r="287" spans="1:21" x14ac:dyDescent="0.35">
      <c r="A287" s="6" t="s">
        <v>349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 t="shared" si="15"/>
        <v>13</v>
      </c>
      <c r="K287" s="6" t="s">
        <v>295</v>
      </c>
      <c r="L287" s="6" t="s">
        <v>296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 t="shared" si="17"/>
        <v>210000</v>
      </c>
      <c r="R287" s="8">
        <v>46085</v>
      </c>
      <c r="S287" s="16">
        <f t="shared" si="16"/>
        <v>21</v>
      </c>
      <c r="T287" s="6" t="s">
        <v>338</v>
      </c>
      <c r="U287" s="5" t="s">
        <v>432</v>
      </c>
    </row>
    <row r="288" spans="1:21" x14ac:dyDescent="0.35">
      <c r="A288" s="6" t="s">
        <v>350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 t="shared" si="15"/>
        <v>9</v>
      </c>
      <c r="K288" s="6" t="s">
        <v>295</v>
      </c>
      <c r="L288" s="6" t="s">
        <v>296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 t="shared" si="17"/>
        <v>210000</v>
      </c>
      <c r="R288" s="8">
        <v>46085</v>
      </c>
      <c r="S288" s="16">
        <f t="shared" si="16"/>
        <v>10</v>
      </c>
      <c r="T288" s="6" t="s">
        <v>338</v>
      </c>
      <c r="U288" s="5" t="s">
        <v>432</v>
      </c>
    </row>
    <row r="289" spans="1:21" x14ac:dyDescent="0.35">
      <c r="A289" s="6" t="s">
        <v>335</v>
      </c>
      <c r="B289" s="6" t="s">
        <v>43</v>
      </c>
      <c r="C289" s="6">
        <v>57664431</v>
      </c>
      <c r="D289" s="6" t="s">
        <v>336</v>
      </c>
      <c r="E289" s="6" t="s">
        <v>337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 t="shared" si="15"/>
        <v>21</v>
      </c>
      <c r="K289" s="6" t="s">
        <v>295</v>
      </c>
      <c r="L289" s="6" t="s">
        <v>296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 t="shared" si="17"/>
        <v>4825347</v>
      </c>
      <c r="R289" s="8">
        <v>46084</v>
      </c>
      <c r="S289" s="16">
        <f t="shared" si="16"/>
        <v>22</v>
      </c>
      <c r="T289" s="6" t="s">
        <v>338</v>
      </c>
      <c r="U289" s="5" t="s">
        <v>432</v>
      </c>
    </row>
    <row r="290" spans="1:21" x14ac:dyDescent="0.35">
      <c r="A290" s="6" t="s">
        <v>339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 t="shared" si="15"/>
        <v>24</v>
      </c>
      <c r="K290" s="6" t="s">
        <v>295</v>
      </c>
      <c r="L290" s="6" t="s">
        <v>296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 t="shared" si="17"/>
        <v>190000</v>
      </c>
      <c r="R290" s="8">
        <v>46084</v>
      </c>
      <c r="S290" s="16">
        <f t="shared" si="16"/>
        <v>25</v>
      </c>
      <c r="T290" s="6" t="s">
        <v>338</v>
      </c>
      <c r="U290" s="5" t="s">
        <v>432</v>
      </c>
    </row>
    <row r="291" spans="1:21" x14ac:dyDescent="0.35">
      <c r="A291" s="14" t="s">
        <v>57</v>
      </c>
      <c r="B291" s="6" t="s">
        <v>19</v>
      </c>
      <c r="C291" s="6">
        <v>53927179</v>
      </c>
      <c r="D291" s="6" t="s">
        <v>333</v>
      </c>
      <c r="E291" s="6" t="s">
        <v>334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 t="shared" si="15"/>
        <v>65</v>
      </c>
      <c r="K291" s="17" t="s">
        <v>295</v>
      </c>
      <c r="L291" s="5" t="s">
        <v>318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 t="shared" si="17"/>
        <v>0</v>
      </c>
      <c r="R291" s="7">
        <v>46081</v>
      </c>
      <c r="S291" s="16">
        <f t="shared" si="16"/>
        <v>69</v>
      </c>
      <c r="T291" s="5" t="s">
        <v>792</v>
      </c>
      <c r="U291" s="34" t="s">
        <v>432</v>
      </c>
    </row>
    <row r="292" spans="1:21" x14ac:dyDescent="0.35">
      <c r="A292" s="6" t="s">
        <v>322</v>
      </c>
      <c r="B292" s="5" t="s">
        <v>19</v>
      </c>
      <c r="C292" s="6">
        <v>58040642</v>
      </c>
      <c r="D292" s="5" t="s">
        <v>20</v>
      </c>
      <c r="E292" s="6" t="s">
        <v>323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 t="shared" si="15"/>
        <v>14</v>
      </c>
      <c r="K292" s="17" t="s">
        <v>295</v>
      </c>
      <c r="L292" s="5" t="s">
        <v>296</v>
      </c>
      <c r="M292" s="5" t="s">
        <v>24</v>
      </c>
      <c r="N292" s="5" t="s">
        <v>38</v>
      </c>
      <c r="O292" s="31">
        <v>842820</v>
      </c>
      <c r="P292" s="31">
        <v>0</v>
      </c>
      <c r="Q292" s="31">
        <f t="shared" si="17"/>
        <v>842820</v>
      </c>
      <c r="R292" s="7">
        <v>46080</v>
      </c>
      <c r="S292" s="16">
        <f t="shared" si="16"/>
        <v>15</v>
      </c>
      <c r="T292" s="5" t="s">
        <v>792</v>
      </c>
      <c r="U292" s="34" t="s">
        <v>432</v>
      </c>
    </row>
    <row r="293" spans="1:21" x14ac:dyDescent="0.35">
      <c r="A293" s="6" t="s">
        <v>324</v>
      </c>
      <c r="B293" s="6" t="s">
        <v>19</v>
      </c>
      <c r="C293" s="6">
        <v>58223807</v>
      </c>
      <c r="D293" s="6" t="s">
        <v>55</v>
      </c>
      <c r="E293" s="6" t="s">
        <v>325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 t="shared" si="15"/>
        <v>9</v>
      </c>
      <c r="K293" s="17" t="s">
        <v>295</v>
      </c>
      <c r="L293" s="5" t="s">
        <v>296</v>
      </c>
      <c r="M293" s="5" t="s">
        <v>24</v>
      </c>
      <c r="N293" s="6" t="s">
        <v>191</v>
      </c>
      <c r="O293" s="30">
        <v>3986938</v>
      </c>
      <c r="P293" s="30">
        <v>400908</v>
      </c>
      <c r="Q293" s="31">
        <f t="shared" si="17"/>
        <v>4387846</v>
      </c>
      <c r="R293" s="7">
        <v>46080</v>
      </c>
      <c r="S293" s="16">
        <f t="shared" si="16"/>
        <v>12</v>
      </c>
      <c r="T293" s="5" t="s">
        <v>792</v>
      </c>
      <c r="U293" s="34" t="s">
        <v>432</v>
      </c>
    </row>
    <row r="294" spans="1:21" x14ac:dyDescent="0.35">
      <c r="A294" s="6" t="s">
        <v>326</v>
      </c>
      <c r="B294" s="6" t="s">
        <v>19</v>
      </c>
      <c r="C294" s="6">
        <v>53413810</v>
      </c>
      <c r="D294" s="6" t="s">
        <v>327</v>
      </c>
      <c r="E294" s="6" t="s">
        <v>328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 t="shared" si="15"/>
        <v>20</v>
      </c>
      <c r="K294" s="17" t="s">
        <v>295</v>
      </c>
      <c r="L294" s="5" t="s">
        <v>296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 t="shared" si="17"/>
        <v>620000</v>
      </c>
      <c r="R294" s="7">
        <v>46080</v>
      </c>
      <c r="S294" s="16">
        <f t="shared" si="16"/>
        <v>79</v>
      </c>
      <c r="T294" s="5" t="s">
        <v>792</v>
      </c>
      <c r="U294" s="34" t="s">
        <v>432</v>
      </c>
    </row>
    <row r="295" spans="1:21" x14ac:dyDescent="0.35">
      <c r="A295" s="6" t="s">
        <v>138</v>
      </c>
      <c r="B295" s="6" t="s">
        <v>43</v>
      </c>
      <c r="C295" s="6">
        <v>56615604</v>
      </c>
      <c r="D295" s="6" t="s">
        <v>329</v>
      </c>
      <c r="E295" s="6" t="s">
        <v>330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 t="shared" si="15"/>
        <v>13</v>
      </c>
      <c r="K295" s="5" t="s">
        <v>295</v>
      </c>
      <c r="L295" s="5" t="s">
        <v>296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 t="shared" si="17"/>
        <v>1965500</v>
      </c>
      <c r="R295" s="7">
        <v>46080</v>
      </c>
      <c r="S295" s="16">
        <f t="shared" si="16"/>
        <v>34</v>
      </c>
      <c r="T295" s="5" t="s">
        <v>792</v>
      </c>
      <c r="U295" s="34" t="s">
        <v>432</v>
      </c>
    </row>
    <row r="296" spans="1:21" x14ac:dyDescent="0.35">
      <c r="A296" s="6" t="s">
        <v>138</v>
      </c>
      <c r="B296" s="6" t="s">
        <v>43</v>
      </c>
      <c r="C296" s="6">
        <v>56615304</v>
      </c>
      <c r="D296" s="6" t="s">
        <v>331</v>
      </c>
      <c r="E296" s="6" t="s">
        <v>332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 t="shared" si="15"/>
        <v>14</v>
      </c>
      <c r="K296" s="5" t="s">
        <v>295</v>
      </c>
      <c r="L296" s="5" t="s">
        <v>296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 t="shared" si="17"/>
        <v>2300000</v>
      </c>
      <c r="R296" s="7">
        <v>46080</v>
      </c>
      <c r="S296" s="16">
        <f t="shared" si="16"/>
        <v>34</v>
      </c>
      <c r="T296" s="5" t="s">
        <v>792</v>
      </c>
      <c r="U296" s="34" t="s">
        <v>432</v>
      </c>
    </row>
    <row r="297" spans="1:21" x14ac:dyDescent="0.35">
      <c r="A297" s="3" t="s">
        <v>311</v>
      </c>
      <c r="B297" s="5" t="s">
        <v>85</v>
      </c>
      <c r="C297" s="1">
        <v>56916429</v>
      </c>
      <c r="D297" s="5" t="s">
        <v>195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 t="shared" si="15"/>
        <v>28</v>
      </c>
      <c r="K297" s="17" t="s">
        <v>295</v>
      </c>
      <c r="L297" s="5" t="s">
        <v>296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 t="shared" si="17"/>
        <v>400000</v>
      </c>
      <c r="R297" s="7">
        <v>46079</v>
      </c>
      <c r="S297" s="16">
        <f t="shared" si="16"/>
        <v>29</v>
      </c>
      <c r="T297" s="5" t="s">
        <v>792</v>
      </c>
      <c r="U297" s="34" t="s">
        <v>432</v>
      </c>
    </row>
    <row r="298" spans="1:21" x14ac:dyDescent="0.35">
      <c r="A298" s="3" t="s">
        <v>312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 t="shared" si="15"/>
        <v>10</v>
      </c>
      <c r="K298" s="17" t="s">
        <v>295</v>
      </c>
      <c r="L298" s="5" t="s">
        <v>296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 t="shared" si="17"/>
        <v>150000</v>
      </c>
      <c r="R298" s="7">
        <v>46079</v>
      </c>
      <c r="S298" s="16">
        <f t="shared" si="16"/>
        <v>11</v>
      </c>
      <c r="T298" s="5" t="s">
        <v>792</v>
      </c>
      <c r="U298" s="34" t="s">
        <v>432</v>
      </c>
    </row>
    <row r="299" spans="1:21" x14ac:dyDescent="0.35">
      <c r="A299" s="3" t="s">
        <v>312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 t="shared" si="15"/>
        <v>10</v>
      </c>
      <c r="K299" s="17" t="s">
        <v>295</v>
      </c>
      <c r="L299" s="5" t="s">
        <v>296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 t="shared" si="17"/>
        <v>1000000</v>
      </c>
      <c r="R299" s="7">
        <v>46079</v>
      </c>
      <c r="S299" s="16">
        <f t="shared" si="16"/>
        <v>11</v>
      </c>
      <c r="T299" s="5" t="s">
        <v>792</v>
      </c>
      <c r="U299" s="34" t="s">
        <v>432</v>
      </c>
    </row>
    <row r="300" spans="1:21" x14ac:dyDescent="0.35">
      <c r="A300" s="3" t="s">
        <v>313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 t="shared" si="15"/>
        <v>11</v>
      </c>
      <c r="K300" s="17" t="s">
        <v>295</v>
      </c>
      <c r="L300" s="5" t="s">
        <v>296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 t="shared" si="17"/>
        <v>1000000</v>
      </c>
      <c r="R300" s="7">
        <v>46079</v>
      </c>
      <c r="S300" s="16">
        <f t="shared" si="16"/>
        <v>12</v>
      </c>
      <c r="T300" s="5" t="s">
        <v>792</v>
      </c>
      <c r="U300" s="34" t="s">
        <v>432</v>
      </c>
    </row>
    <row r="301" spans="1:21" x14ac:dyDescent="0.35">
      <c r="A301" s="3" t="s">
        <v>314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 t="shared" si="15"/>
        <v>75</v>
      </c>
      <c r="K301" s="17" t="s">
        <v>295</v>
      </c>
      <c r="L301" s="5" t="s">
        <v>296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 t="shared" si="17"/>
        <v>108000</v>
      </c>
      <c r="R301" s="7">
        <v>46079</v>
      </c>
      <c r="S301" s="16">
        <f t="shared" si="16"/>
        <v>76</v>
      </c>
      <c r="T301" s="5" t="s">
        <v>792</v>
      </c>
      <c r="U301" s="34" t="s">
        <v>432</v>
      </c>
    </row>
    <row r="302" spans="1:21" x14ac:dyDescent="0.35">
      <c r="A302" s="1" t="s">
        <v>315</v>
      </c>
      <c r="B302" s="5" t="s">
        <v>30</v>
      </c>
      <c r="C302" s="1">
        <v>57849289</v>
      </c>
      <c r="D302" s="5" t="s">
        <v>316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 t="shared" si="15"/>
        <v>16</v>
      </c>
      <c r="K302" s="17" t="s">
        <v>295</v>
      </c>
      <c r="L302" s="5" t="s">
        <v>302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 t="shared" si="17"/>
        <v>341435</v>
      </c>
      <c r="R302" s="7">
        <v>46079</v>
      </c>
      <c r="S302" s="16">
        <f t="shared" si="16"/>
        <v>16</v>
      </c>
      <c r="T302" s="5" t="s">
        <v>792</v>
      </c>
      <c r="U302" s="34" t="s">
        <v>432</v>
      </c>
    </row>
    <row r="303" spans="1:21" x14ac:dyDescent="0.35">
      <c r="A303" s="1" t="s">
        <v>317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 t="shared" si="15"/>
        <v>261</v>
      </c>
      <c r="K303" s="17" t="s">
        <v>295</v>
      </c>
      <c r="L303" s="5" t="s">
        <v>318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 t="shared" si="17"/>
        <v>3139050</v>
      </c>
      <c r="R303" s="7">
        <v>46079</v>
      </c>
      <c r="S303" s="16">
        <f t="shared" si="16"/>
        <v>261</v>
      </c>
      <c r="T303" s="5" t="s">
        <v>792</v>
      </c>
      <c r="U303" s="34" t="s">
        <v>432</v>
      </c>
    </row>
    <row r="304" spans="1:21" x14ac:dyDescent="0.35">
      <c r="A304" s="6" t="s">
        <v>319</v>
      </c>
      <c r="B304" s="6" t="s">
        <v>19</v>
      </c>
      <c r="C304" s="6">
        <v>57048937</v>
      </c>
      <c r="D304" s="6" t="s">
        <v>320</v>
      </c>
      <c r="E304" s="6" t="s">
        <v>321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 t="shared" si="15"/>
        <v>23</v>
      </c>
      <c r="K304" s="17" t="s">
        <v>295</v>
      </c>
      <c r="L304" s="5" t="s">
        <v>296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 t="shared" si="17"/>
        <v>547989</v>
      </c>
      <c r="R304" s="7">
        <v>46079</v>
      </c>
      <c r="S304" s="16">
        <f t="shared" si="16"/>
        <v>27</v>
      </c>
      <c r="T304" s="5" t="s">
        <v>792</v>
      </c>
      <c r="U304" s="34" t="s">
        <v>432</v>
      </c>
    </row>
    <row r="305" spans="1:21" x14ac:dyDescent="0.35">
      <c r="A305" s="14" t="s">
        <v>303</v>
      </c>
      <c r="B305" s="6" t="s">
        <v>43</v>
      </c>
      <c r="C305" s="1">
        <v>56312533</v>
      </c>
      <c r="D305" s="6" t="s">
        <v>49</v>
      </c>
      <c r="E305" s="6" t="s">
        <v>304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 t="shared" si="15"/>
        <v>33</v>
      </c>
      <c r="K305" s="17" t="s">
        <v>295</v>
      </c>
      <c r="L305" s="5" t="s">
        <v>296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 t="shared" si="17"/>
        <v>2463000</v>
      </c>
      <c r="R305" s="7">
        <v>46078</v>
      </c>
      <c r="S305" s="16">
        <f t="shared" si="16"/>
        <v>36</v>
      </c>
      <c r="T305" s="5" t="s">
        <v>792</v>
      </c>
      <c r="U305" s="34" t="s">
        <v>432</v>
      </c>
    </row>
    <row r="306" spans="1:21" x14ac:dyDescent="0.35">
      <c r="A306" s="6" t="s">
        <v>303</v>
      </c>
      <c r="B306" s="6" t="s">
        <v>43</v>
      </c>
      <c r="C306" s="19">
        <v>54079438</v>
      </c>
      <c r="D306" s="6" t="s">
        <v>35</v>
      </c>
      <c r="E306" s="6" t="s">
        <v>305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 t="shared" si="15"/>
        <v>64</v>
      </c>
      <c r="K306" s="17" t="s">
        <v>295</v>
      </c>
      <c r="L306" s="5" t="s">
        <v>302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 t="shared" si="17"/>
        <v>850000</v>
      </c>
      <c r="R306" s="7">
        <v>46078</v>
      </c>
      <c r="S306" s="16">
        <f t="shared" si="16"/>
        <v>67</v>
      </c>
      <c r="T306" s="5" t="s">
        <v>792</v>
      </c>
      <c r="U306" s="34" t="s">
        <v>432</v>
      </c>
    </row>
    <row r="307" spans="1:21" x14ac:dyDescent="0.35">
      <c r="A307" s="6" t="s">
        <v>308</v>
      </c>
      <c r="B307" s="6" t="s">
        <v>43</v>
      </c>
      <c r="C307" s="6">
        <v>57173200</v>
      </c>
      <c r="D307" s="6" t="s">
        <v>309</v>
      </c>
      <c r="E307" s="6" t="s">
        <v>310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 t="shared" si="15"/>
        <v>19</v>
      </c>
      <c r="K307" s="17" t="s">
        <v>295</v>
      </c>
      <c r="L307" s="5" t="s">
        <v>296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 t="shared" si="17"/>
        <v>5000000</v>
      </c>
      <c r="R307" s="7">
        <v>46078</v>
      </c>
      <c r="S307" s="16">
        <f t="shared" si="16"/>
        <v>24</v>
      </c>
      <c r="T307" s="5" t="s">
        <v>792</v>
      </c>
      <c r="U307" s="34" t="s">
        <v>432</v>
      </c>
    </row>
    <row r="308" spans="1:21" x14ac:dyDescent="0.35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299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 t="shared" si="15"/>
        <v>10</v>
      </c>
      <c r="K308" s="17" t="s">
        <v>295</v>
      </c>
      <c r="L308" s="5" t="s">
        <v>296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 t="shared" si="17"/>
        <v>0</v>
      </c>
      <c r="R308" s="7">
        <v>46077</v>
      </c>
      <c r="S308" s="16">
        <f t="shared" si="16"/>
        <v>11</v>
      </c>
      <c r="T308" s="5" t="s">
        <v>792</v>
      </c>
      <c r="U308" s="34" t="s">
        <v>432</v>
      </c>
    </row>
    <row r="309" spans="1:21" x14ac:dyDescent="0.35">
      <c r="A309" s="1" t="s">
        <v>300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 t="shared" si="15"/>
        <v>15</v>
      </c>
      <c r="K309" s="17" t="s">
        <v>295</v>
      </c>
      <c r="L309" s="5" t="s">
        <v>296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 t="shared" si="17"/>
        <v>341435</v>
      </c>
      <c r="R309" s="7">
        <v>46077</v>
      </c>
      <c r="S309" s="16">
        <f t="shared" si="16"/>
        <v>15</v>
      </c>
      <c r="T309" s="5" t="s">
        <v>792</v>
      </c>
      <c r="U309" s="34" t="s">
        <v>432</v>
      </c>
    </row>
    <row r="310" spans="1:21" x14ac:dyDescent="0.35">
      <c r="A310" s="3" t="s">
        <v>301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 t="shared" si="15"/>
        <v>69</v>
      </c>
      <c r="K310" s="17" t="s">
        <v>295</v>
      </c>
      <c r="L310" s="5" t="s">
        <v>302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 t="shared" si="17"/>
        <v>452495</v>
      </c>
      <c r="R310" s="7">
        <v>46077</v>
      </c>
      <c r="S310" s="16">
        <f t="shared" si="16"/>
        <v>76</v>
      </c>
      <c r="T310" s="5" t="s">
        <v>792</v>
      </c>
      <c r="U310" s="34" t="s">
        <v>432</v>
      </c>
    </row>
    <row r="311" spans="1:21" x14ac:dyDescent="0.35">
      <c r="A311" s="6" t="s">
        <v>293</v>
      </c>
      <c r="B311" s="6" t="s">
        <v>43</v>
      </c>
      <c r="C311" s="6">
        <v>57643823</v>
      </c>
      <c r="D311" s="6" t="s">
        <v>49</v>
      </c>
      <c r="E311" s="6" t="s">
        <v>294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 t="shared" si="15"/>
        <v>7</v>
      </c>
      <c r="K311" s="17" t="s">
        <v>295</v>
      </c>
      <c r="L311" s="5" t="s">
        <v>296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 t="shared" si="17"/>
        <v>1574962</v>
      </c>
      <c r="R311" s="7">
        <v>46076</v>
      </c>
      <c r="S311" s="16">
        <f t="shared" si="16"/>
        <v>16</v>
      </c>
      <c r="T311" s="5" t="s">
        <v>792</v>
      </c>
      <c r="U311" s="34" t="s">
        <v>432</v>
      </c>
    </row>
    <row r="312" spans="1:21" x14ac:dyDescent="0.35">
      <c r="A312" s="6" t="s">
        <v>297</v>
      </c>
      <c r="B312" s="6" t="s">
        <v>43</v>
      </c>
      <c r="C312" s="6">
        <v>56336786</v>
      </c>
      <c r="D312" s="6" t="s">
        <v>99</v>
      </c>
      <c r="E312" s="6" t="s">
        <v>298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 t="shared" si="15"/>
        <v>21</v>
      </c>
      <c r="K312" s="17" t="s">
        <v>295</v>
      </c>
      <c r="L312" s="5" t="s">
        <v>296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 t="shared" si="17"/>
        <v>1574962</v>
      </c>
      <c r="R312" s="7">
        <v>46076</v>
      </c>
      <c r="S312" s="16">
        <f t="shared" si="16"/>
        <v>34</v>
      </c>
      <c r="T312" s="5" t="s">
        <v>792</v>
      </c>
      <c r="U312" s="34" t="s">
        <v>432</v>
      </c>
    </row>
    <row r="313" spans="1:21" x14ac:dyDescent="0.35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 t="shared" si="15"/>
        <v>45</v>
      </c>
      <c r="K313" s="17" t="s">
        <v>295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 t="shared" si="17"/>
        <v>1833527</v>
      </c>
      <c r="R313" s="7">
        <v>46066</v>
      </c>
      <c r="S313" s="16">
        <f t="shared" si="16"/>
        <v>47</v>
      </c>
      <c r="T313" s="5" t="s">
        <v>791</v>
      </c>
      <c r="U313" s="34" t="s">
        <v>432</v>
      </c>
    </row>
    <row r="314" spans="1:21" x14ac:dyDescent="0.35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 t="shared" si="15"/>
        <v>13</v>
      </c>
      <c r="K314" s="17" t="s">
        <v>295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 t="shared" ref="Q314:Q345" si="18">P314+O314</f>
        <v>888248</v>
      </c>
      <c r="R314" s="7">
        <v>46066</v>
      </c>
      <c r="S314" s="16">
        <f t="shared" si="16"/>
        <v>14</v>
      </c>
      <c r="T314" s="5" t="s">
        <v>791</v>
      </c>
      <c r="U314" s="34" t="s">
        <v>432</v>
      </c>
    </row>
    <row r="315" spans="1:21" x14ac:dyDescent="0.35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 t="shared" si="15"/>
        <v>46</v>
      </c>
      <c r="K315" s="17" t="s">
        <v>295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 t="shared" si="18"/>
        <v>60000</v>
      </c>
      <c r="R315" s="7">
        <v>46065</v>
      </c>
      <c r="S315" s="16">
        <f t="shared" si="16"/>
        <v>51</v>
      </c>
      <c r="T315" s="5" t="s">
        <v>791</v>
      </c>
      <c r="U315" s="34" t="s">
        <v>432</v>
      </c>
    </row>
    <row r="316" spans="1:21" x14ac:dyDescent="0.35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 t="shared" si="15"/>
        <v>17</v>
      </c>
      <c r="K316" s="17" t="s">
        <v>295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 t="shared" si="18"/>
        <v>60000</v>
      </c>
      <c r="R316" s="7">
        <v>46065</v>
      </c>
      <c r="S316" s="16">
        <f t="shared" si="16"/>
        <v>19</v>
      </c>
      <c r="T316" s="5" t="s">
        <v>791</v>
      </c>
      <c r="U316" s="34" t="s">
        <v>432</v>
      </c>
    </row>
    <row r="317" spans="1:21" x14ac:dyDescent="0.35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 t="shared" si="15"/>
        <v>12</v>
      </c>
      <c r="K317" s="17" t="s">
        <v>295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 t="shared" si="18"/>
        <v>190000</v>
      </c>
      <c r="R317" s="7">
        <v>46065</v>
      </c>
      <c r="S317" s="16">
        <f t="shared" si="16"/>
        <v>13</v>
      </c>
      <c r="T317" s="5" t="s">
        <v>791</v>
      </c>
      <c r="U317" s="34" t="s">
        <v>432</v>
      </c>
    </row>
    <row r="318" spans="1:21" x14ac:dyDescent="0.35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 t="shared" si="15"/>
        <v>9</v>
      </c>
      <c r="K318" s="17" t="s">
        <v>295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 t="shared" si="18"/>
        <v>1231750</v>
      </c>
      <c r="R318" s="7">
        <v>46065</v>
      </c>
      <c r="S318" s="16">
        <f t="shared" si="16"/>
        <v>10</v>
      </c>
      <c r="T318" s="5" t="s">
        <v>791</v>
      </c>
      <c r="U318" s="34" t="s">
        <v>432</v>
      </c>
    </row>
    <row r="319" spans="1:21" x14ac:dyDescent="0.35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 t="shared" si="15"/>
        <v>8</v>
      </c>
      <c r="K319" s="17" t="s">
        <v>295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 t="shared" si="18"/>
        <v>210000</v>
      </c>
      <c r="R319" s="7">
        <v>46065</v>
      </c>
      <c r="S319" s="16">
        <f t="shared" si="16"/>
        <v>9</v>
      </c>
      <c r="T319" s="5" t="s">
        <v>791</v>
      </c>
      <c r="U319" s="34" t="s">
        <v>432</v>
      </c>
    </row>
    <row r="320" spans="1:21" x14ac:dyDescent="0.35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 t="shared" si="15"/>
        <v>27</v>
      </c>
      <c r="K320" s="17" t="s">
        <v>295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 t="shared" si="18"/>
        <v>1035588</v>
      </c>
      <c r="R320" s="7">
        <v>46065</v>
      </c>
      <c r="S320" s="16">
        <f t="shared" si="16"/>
        <v>35</v>
      </c>
      <c r="T320" s="5" t="s">
        <v>791</v>
      </c>
      <c r="U320" s="34" t="s">
        <v>432</v>
      </c>
    </row>
    <row r="321" spans="1:23" x14ac:dyDescent="0.35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 t="shared" si="15"/>
        <v>43</v>
      </c>
      <c r="K321" s="17" t="s">
        <v>295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 t="shared" si="18"/>
        <v>200000</v>
      </c>
      <c r="R321" s="7">
        <v>46064</v>
      </c>
      <c r="S321" s="16">
        <f t="shared" si="16"/>
        <v>43</v>
      </c>
      <c r="T321" s="5" t="s">
        <v>791</v>
      </c>
      <c r="U321" s="34" t="s">
        <v>432</v>
      </c>
    </row>
    <row r="322" spans="1:23" x14ac:dyDescent="0.35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 t="shared" ref="J322:J385" si="19">+NETWORKDAYS(H322,I322)</f>
        <v>123</v>
      </c>
      <c r="K322" s="17" t="s">
        <v>295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 t="shared" si="18"/>
        <v>2148649</v>
      </c>
      <c r="R322" s="7">
        <v>46064</v>
      </c>
      <c r="S322" s="16">
        <f t="shared" ref="S322:S385" si="20">NETWORKDAYS(H322,R322)</f>
        <v>122</v>
      </c>
      <c r="T322" s="5" t="s">
        <v>791</v>
      </c>
      <c r="U322" s="34" t="s">
        <v>432</v>
      </c>
    </row>
    <row r="323" spans="1:23" x14ac:dyDescent="0.35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 t="shared" si="19"/>
        <v>11</v>
      </c>
      <c r="K323" s="17" t="s">
        <v>295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 t="shared" si="18"/>
        <v>2030656</v>
      </c>
      <c r="R323" s="7">
        <v>46063</v>
      </c>
      <c r="S323" s="16">
        <f t="shared" si="20"/>
        <v>22</v>
      </c>
      <c r="T323" s="5" t="s">
        <v>791</v>
      </c>
      <c r="U323" s="34" t="s">
        <v>432</v>
      </c>
    </row>
    <row r="324" spans="1:23" ht="24.5" x14ac:dyDescent="0.35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 t="shared" si="19"/>
        <v>11</v>
      </c>
      <c r="K324" s="17" t="s">
        <v>295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 t="shared" si="18"/>
        <v>1090836</v>
      </c>
      <c r="R324" s="7">
        <v>46063</v>
      </c>
      <c r="S324" s="16">
        <f t="shared" si="20"/>
        <v>22</v>
      </c>
      <c r="T324" s="5" t="s">
        <v>791</v>
      </c>
      <c r="U324" s="34" t="s">
        <v>432</v>
      </c>
    </row>
    <row r="325" spans="1:23" x14ac:dyDescent="0.35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 t="shared" si="19"/>
        <v>14</v>
      </c>
      <c r="K325" s="17" t="s">
        <v>295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 t="shared" si="18"/>
        <v>200000</v>
      </c>
      <c r="R325" s="7">
        <v>46063</v>
      </c>
      <c r="S325" s="16">
        <f t="shared" si="20"/>
        <v>17</v>
      </c>
      <c r="T325" s="5" t="s">
        <v>791</v>
      </c>
      <c r="U325" s="34" t="s">
        <v>432</v>
      </c>
    </row>
    <row r="326" spans="1:23" x14ac:dyDescent="0.35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 t="shared" si="19"/>
        <v>15</v>
      </c>
      <c r="K326" s="17" t="s">
        <v>295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 t="shared" si="18"/>
        <v>0</v>
      </c>
      <c r="R326" s="7">
        <v>46063</v>
      </c>
      <c r="S326" s="16">
        <f t="shared" si="20"/>
        <v>17</v>
      </c>
      <c r="T326" s="5" t="s">
        <v>791</v>
      </c>
      <c r="U326" s="34" t="s">
        <v>432</v>
      </c>
    </row>
    <row r="327" spans="1:23" x14ac:dyDescent="0.35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 t="shared" si="19"/>
        <v>12</v>
      </c>
      <c r="K327" s="17" t="s">
        <v>295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 t="shared" si="18"/>
        <v>452495</v>
      </c>
      <c r="R327" s="7">
        <v>46063</v>
      </c>
      <c r="S327" s="16">
        <f t="shared" si="20"/>
        <v>24</v>
      </c>
      <c r="T327" s="5" t="s">
        <v>791</v>
      </c>
      <c r="U327" s="34" t="s">
        <v>432</v>
      </c>
    </row>
    <row r="328" spans="1:23" ht="36" x14ac:dyDescent="0.35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 t="shared" si="19"/>
        <v>1</v>
      </c>
      <c r="K328" s="17" t="s">
        <v>295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 t="shared" si="18"/>
        <v>1495000</v>
      </c>
      <c r="R328" s="7">
        <v>46063</v>
      </c>
      <c r="S328" s="16">
        <f t="shared" si="20"/>
        <v>7</v>
      </c>
      <c r="T328" s="5" t="s">
        <v>791</v>
      </c>
      <c r="U328" s="34" t="s">
        <v>432</v>
      </c>
    </row>
    <row r="329" spans="1:23" x14ac:dyDescent="0.35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 t="shared" si="19"/>
        <v>144</v>
      </c>
      <c r="K329" s="17" t="s">
        <v>344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 t="shared" si="18"/>
        <v>2720807</v>
      </c>
      <c r="R329" s="7">
        <v>46063</v>
      </c>
      <c r="S329" s="16">
        <f t="shared" si="20"/>
        <v>161</v>
      </c>
      <c r="T329" s="5" t="s">
        <v>791</v>
      </c>
      <c r="U329" s="34" t="s">
        <v>432</v>
      </c>
      <c r="W329" s="35"/>
    </row>
    <row r="330" spans="1:23" x14ac:dyDescent="0.35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 t="shared" si="19"/>
        <v>76</v>
      </c>
      <c r="K330" s="17" t="s">
        <v>295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 t="shared" si="18"/>
        <v>725636</v>
      </c>
      <c r="R330" s="7">
        <v>46063</v>
      </c>
      <c r="S330" s="16">
        <f t="shared" si="20"/>
        <v>78</v>
      </c>
      <c r="T330" s="5" t="s">
        <v>791</v>
      </c>
      <c r="U330" s="34" t="s">
        <v>433</v>
      </c>
      <c r="W330" s="35"/>
    </row>
    <row r="331" spans="1:23" ht="36.5" x14ac:dyDescent="0.35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 t="shared" si="19"/>
        <v>18</v>
      </c>
      <c r="K331" s="17" t="s">
        <v>295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 t="shared" si="18"/>
        <v>1715054</v>
      </c>
      <c r="R331" s="7">
        <v>46063</v>
      </c>
      <c r="S331" s="16">
        <f t="shared" si="20"/>
        <v>20</v>
      </c>
      <c r="T331" s="5" t="s">
        <v>791</v>
      </c>
      <c r="U331" s="34" t="s">
        <v>432</v>
      </c>
      <c r="W331" s="35"/>
    </row>
    <row r="332" spans="1:23" x14ac:dyDescent="0.35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 t="shared" si="19"/>
        <v>35</v>
      </c>
      <c r="K332" s="17" t="s">
        <v>295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 t="shared" si="18"/>
        <v>0</v>
      </c>
      <c r="R332" s="7">
        <v>46063</v>
      </c>
      <c r="S332" s="16">
        <f t="shared" si="20"/>
        <v>56</v>
      </c>
      <c r="T332" s="5" t="s">
        <v>791</v>
      </c>
      <c r="U332" s="34" t="s">
        <v>432</v>
      </c>
      <c r="W332" s="35"/>
    </row>
    <row r="333" spans="1:23" x14ac:dyDescent="0.35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 t="shared" si="19"/>
        <v>17</v>
      </c>
      <c r="K333" s="17" t="s">
        <v>295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 t="shared" si="18"/>
        <v>0</v>
      </c>
      <c r="R333" s="7">
        <v>46063</v>
      </c>
      <c r="S333" s="16">
        <f t="shared" si="20"/>
        <v>56</v>
      </c>
      <c r="T333" s="5" t="s">
        <v>791</v>
      </c>
      <c r="U333" s="34" t="s">
        <v>432</v>
      </c>
      <c r="W333" s="35"/>
    </row>
    <row r="334" spans="1:23" x14ac:dyDescent="0.35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 t="shared" si="19"/>
        <v>9</v>
      </c>
      <c r="K334" s="17" t="s">
        <v>295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 t="shared" si="18"/>
        <v>6705731</v>
      </c>
      <c r="R334" s="7">
        <v>46062</v>
      </c>
      <c r="S334" s="16">
        <f t="shared" si="20"/>
        <v>11</v>
      </c>
      <c r="T334" s="5" t="s">
        <v>791</v>
      </c>
      <c r="U334" s="34" t="s">
        <v>432</v>
      </c>
      <c r="W334" s="35"/>
    </row>
    <row r="335" spans="1:23" x14ac:dyDescent="0.35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 t="shared" si="19"/>
        <v>79</v>
      </c>
      <c r="K335" s="17" t="s">
        <v>295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 t="shared" si="18"/>
        <v>1000000</v>
      </c>
      <c r="R335" s="7">
        <v>46059</v>
      </c>
      <c r="S335" s="16">
        <f t="shared" si="20"/>
        <v>81</v>
      </c>
      <c r="T335" s="5" t="s">
        <v>790</v>
      </c>
      <c r="U335" s="34" t="s">
        <v>432</v>
      </c>
      <c r="W335" s="35"/>
    </row>
    <row r="336" spans="1:23" x14ac:dyDescent="0.35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 t="shared" si="19"/>
        <v>6</v>
      </c>
      <c r="K336" s="17" t="s">
        <v>295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 t="shared" si="18"/>
        <v>1361679</v>
      </c>
      <c r="R336" s="7">
        <v>46059</v>
      </c>
      <c r="S336" s="16">
        <f t="shared" si="20"/>
        <v>10</v>
      </c>
      <c r="T336" s="5" t="s">
        <v>790</v>
      </c>
      <c r="U336" s="34" t="s">
        <v>432</v>
      </c>
      <c r="W336" s="35"/>
    </row>
    <row r="337" spans="1:23" x14ac:dyDescent="0.35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 t="shared" si="19"/>
        <v>12</v>
      </c>
      <c r="K337" s="17" t="s">
        <v>295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 t="shared" si="18"/>
        <v>1538647</v>
      </c>
      <c r="R337" s="7">
        <v>46059</v>
      </c>
      <c r="S337" s="16">
        <f t="shared" si="20"/>
        <v>16</v>
      </c>
      <c r="T337" s="5" t="s">
        <v>790</v>
      </c>
      <c r="U337" s="34" t="s">
        <v>432</v>
      </c>
      <c r="W337" s="35"/>
    </row>
    <row r="338" spans="1:23" x14ac:dyDescent="0.35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 t="shared" si="19"/>
        <v>9</v>
      </c>
      <c r="K338" s="17" t="s">
        <v>295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 t="shared" si="18"/>
        <v>200000</v>
      </c>
      <c r="R338" s="7">
        <v>46058</v>
      </c>
      <c r="S338" s="16">
        <f t="shared" si="20"/>
        <v>14</v>
      </c>
      <c r="T338" s="5" t="s">
        <v>790</v>
      </c>
      <c r="U338" s="34" t="s">
        <v>432</v>
      </c>
      <c r="W338" s="35"/>
    </row>
    <row r="339" spans="1:23" x14ac:dyDescent="0.35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 t="shared" si="19"/>
        <v>9</v>
      </c>
      <c r="K339" s="17" t="s">
        <v>295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 t="shared" si="18"/>
        <v>200000</v>
      </c>
      <c r="R339" s="7">
        <v>46058</v>
      </c>
      <c r="S339" s="16">
        <f t="shared" si="20"/>
        <v>14</v>
      </c>
      <c r="T339" s="5" t="s">
        <v>790</v>
      </c>
      <c r="U339" s="34" t="s">
        <v>432</v>
      </c>
      <c r="W339" s="35"/>
    </row>
    <row r="340" spans="1:23" s="18" customFormat="1" x14ac:dyDescent="0.35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 t="shared" si="19"/>
        <v>47</v>
      </c>
      <c r="K340" s="17" t="s">
        <v>295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 t="shared" si="18"/>
        <v>0</v>
      </c>
      <c r="R340" s="7">
        <v>46058</v>
      </c>
      <c r="S340" s="16">
        <f t="shared" si="20"/>
        <v>70</v>
      </c>
      <c r="T340" s="5" t="s">
        <v>790</v>
      </c>
      <c r="U340" s="34" t="s">
        <v>432</v>
      </c>
    </row>
    <row r="341" spans="1:23" s="18" customFormat="1" x14ac:dyDescent="0.35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 t="shared" si="19"/>
        <v>39</v>
      </c>
      <c r="K341" s="17" t="s">
        <v>295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 t="shared" si="18"/>
        <v>512495</v>
      </c>
      <c r="R341" s="8">
        <v>46058</v>
      </c>
      <c r="S341" s="16">
        <f t="shared" si="20"/>
        <v>42</v>
      </c>
      <c r="T341" s="5" t="s">
        <v>790</v>
      </c>
      <c r="U341" s="34" t="s">
        <v>432</v>
      </c>
    </row>
    <row r="342" spans="1:23" s="18" customFormat="1" x14ac:dyDescent="0.35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 t="shared" si="19"/>
        <v>11</v>
      </c>
      <c r="K342" s="17" t="s">
        <v>295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 t="shared" si="18"/>
        <v>0</v>
      </c>
      <c r="R342" s="8">
        <v>46058</v>
      </c>
      <c r="S342" s="16">
        <f t="shared" si="20"/>
        <v>13</v>
      </c>
      <c r="T342" s="5" t="s">
        <v>790</v>
      </c>
      <c r="U342" s="34" t="s">
        <v>432</v>
      </c>
    </row>
    <row r="343" spans="1:23" s="18" customFormat="1" x14ac:dyDescent="0.35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 t="shared" si="19"/>
        <v>23</v>
      </c>
      <c r="K343" s="17" t="s">
        <v>295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 t="shared" si="18"/>
        <v>791635</v>
      </c>
      <c r="R343" s="7">
        <v>46057</v>
      </c>
      <c r="S343" s="16">
        <f t="shared" si="20"/>
        <v>36</v>
      </c>
      <c r="T343" s="5" t="s">
        <v>790</v>
      </c>
      <c r="U343" s="34" t="s">
        <v>432</v>
      </c>
    </row>
    <row r="344" spans="1:23" s="18" customFormat="1" x14ac:dyDescent="0.35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 t="shared" si="19"/>
        <v>21</v>
      </c>
      <c r="K344" s="17" t="s">
        <v>295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 t="shared" si="18"/>
        <v>1300000</v>
      </c>
      <c r="R344" s="7">
        <v>46055</v>
      </c>
      <c r="S344" s="16">
        <f t="shared" si="20"/>
        <v>30</v>
      </c>
      <c r="T344" s="5" t="s">
        <v>790</v>
      </c>
      <c r="U344" s="34" t="s">
        <v>432</v>
      </c>
    </row>
    <row r="345" spans="1:23" s="18" customFormat="1" x14ac:dyDescent="0.35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 t="shared" si="19"/>
        <v>13</v>
      </c>
      <c r="K345" s="17" t="s">
        <v>295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 t="shared" si="18"/>
        <v>1392535</v>
      </c>
      <c r="R345" s="7">
        <v>46055</v>
      </c>
      <c r="S345" s="16">
        <f t="shared" si="20"/>
        <v>22</v>
      </c>
      <c r="T345" s="5" t="s">
        <v>790</v>
      </c>
      <c r="U345" s="34" t="s">
        <v>432</v>
      </c>
    </row>
    <row r="346" spans="1:23" s="18" customFormat="1" x14ac:dyDescent="0.35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 t="shared" si="19"/>
        <v>6</v>
      </c>
      <c r="K346" s="17" t="s">
        <v>295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 t="shared" ref="Q346:Q377" si="21">P346+O346</f>
        <v>190000</v>
      </c>
      <c r="R346" s="7">
        <v>46055</v>
      </c>
      <c r="S346" s="16">
        <f t="shared" si="20"/>
        <v>7</v>
      </c>
      <c r="T346" s="5" t="s">
        <v>790</v>
      </c>
      <c r="U346" s="34" t="s">
        <v>432</v>
      </c>
    </row>
    <row r="347" spans="1:23" x14ac:dyDescent="0.35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 t="shared" si="19"/>
        <v>25</v>
      </c>
      <c r="K347" s="17" t="s">
        <v>295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 t="shared" si="21"/>
        <v>891740</v>
      </c>
      <c r="R347" s="7">
        <v>46055</v>
      </c>
      <c r="S347" s="16">
        <f t="shared" si="20"/>
        <v>32</v>
      </c>
      <c r="T347" s="5" t="s">
        <v>790</v>
      </c>
      <c r="U347" s="34" t="s">
        <v>432</v>
      </c>
    </row>
    <row r="348" spans="1:23" x14ac:dyDescent="0.35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 t="shared" si="19"/>
        <v>25</v>
      </c>
      <c r="K348" s="17" t="s">
        <v>295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 t="shared" si="21"/>
        <v>1288712</v>
      </c>
      <c r="R348" s="7">
        <v>46055</v>
      </c>
      <c r="S348" s="16">
        <f t="shared" si="20"/>
        <v>32</v>
      </c>
      <c r="T348" s="5" t="s">
        <v>790</v>
      </c>
      <c r="U348" s="34" t="s">
        <v>432</v>
      </c>
    </row>
    <row r="349" spans="1:23" x14ac:dyDescent="0.35">
      <c r="A349" s="6" t="s">
        <v>251</v>
      </c>
      <c r="B349" s="6" t="s">
        <v>19</v>
      </c>
      <c r="C349" s="6">
        <v>56545909</v>
      </c>
      <c r="D349" s="6" t="s">
        <v>252</v>
      </c>
      <c r="E349" s="6" t="s">
        <v>253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 t="shared" si="19"/>
        <v>7</v>
      </c>
      <c r="K349" s="17" t="s">
        <v>295</v>
      </c>
      <c r="L349" s="22"/>
      <c r="M349" s="5" t="s">
        <v>24</v>
      </c>
      <c r="N349" s="6" t="s">
        <v>254</v>
      </c>
      <c r="O349" s="30">
        <v>133779304</v>
      </c>
      <c r="P349" s="30">
        <v>5620246</v>
      </c>
      <c r="Q349" s="31">
        <f t="shared" si="21"/>
        <v>139399550</v>
      </c>
      <c r="R349" s="7">
        <v>46045</v>
      </c>
      <c r="S349" s="16">
        <f t="shared" si="20"/>
        <v>10</v>
      </c>
      <c r="T349" s="5" t="s">
        <v>789</v>
      </c>
      <c r="U349" s="34" t="s">
        <v>432</v>
      </c>
    </row>
    <row r="350" spans="1:23" x14ac:dyDescent="0.35">
      <c r="A350" s="6" t="s">
        <v>251</v>
      </c>
      <c r="B350" s="6" t="s">
        <v>19</v>
      </c>
      <c r="C350" s="6">
        <v>56545898</v>
      </c>
      <c r="D350" s="6" t="s">
        <v>252</v>
      </c>
      <c r="E350" s="6" t="s">
        <v>255</v>
      </c>
      <c r="F350" s="6" t="s">
        <v>190</v>
      </c>
      <c r="G350" s="6" t="s">
        <v>37</v>
      </c>
      <c r="H350" s="8">
        <v>46034</v>
      </c>
      <c r="I350" s="8">
        <v>46042</v>
      </c>
      <c r="J350" s="16">
        <f t="shared" si="19"/>
        <v>7</v>
      </c>
      <c r="K350" s="17" t="s">
        <v>295</v>
      </c>
      <c r="L350" s="22"/>
      <c r="M350" s="5" t="s">
        <v>24</v>
      </c>
      <c r="N350" s="6" t="s">
        <v>254</v>
      </c>
      <c r="O350" s="30">
        <v>0</v>
      </c>
      <c r="P350" s="30">
        <v>500000</v>
      </c>
      <c r="Q350" s="31">
        <f t="shared" si="21"/>
        <v>500000</v>
      </c>
      <c r="R350" s="7">
        <v>46045</v>
      </c>
      <c r="S350" s="16">
        <f t="shared" si="20"/>
        <v>10</v>
      </c>
      <c r="T350" s="5" t="s">
        <v>789</v>
      </c>
      <c r="U350" s="34" t="s">
        <v>432</v>
      </c>
    </row>
    <row r="351" spans="1:23" x14ac:dyDescent="0.35">
      <c r="A351" s="6" t="s">
        <v>245</v>
      </c>
      <c r="B351" s="6" t="s">
        <v>19</v>
      </c>
      <c r="C351" s="6">
        <v>47250615</v>
      </c>
      <c r="D351" s="6" t="s">
        <v>246</v>
      </c>
      <c r="E351" s="5" t="s">
        <v>256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 t="shared" si="19"/>
        <v>139</v>
      </c>
      <c r="K351" s="17" t="s">
        <v>295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 t="shared" si="21"/>
        <v>433989</v>
      </c>
      <c r="R351" s="7">
        <v>46045</v>
      </c>
      <c r="S351" s="16">
        <f t="shared" si="20"/>
        <v>142</v>
      </c>
      <c r="T351" s="5" t="s">
        <v>789</v>
      </c>
      <c r="U351" s="34" t="s">
        <v>432</v>
      </c>
    </row>
    <row r="352" spans="1:23" x14ac:dyDescent="0.35">
      <c r="A352" s="6" t="s">
        <v>257</v>
      </c>
      <c r="B352" s="6" t="s">
        <v>19</v>
      </c>
      <c r="C352" s="6">
        <v>47435897</v>
      </c>
      <c r="D352" s="6" t="s">
        <v>195</v>
      </c>
      <c r="E352" s="6" t="s">
        <v>258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 t="shared" si="19"/>
        <v>140</v>
      </c>
      <c r="K352" s="17" t="s">
        <v>295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 t="shared" si="21"/>
        <v>900000</v>
      </c>
      <c r="R352" s="7">
        <v>46045</v>
      </c>
      <c r="S352" s="16">
        <f t="shared" si="20"/>
        <v>140</v>
      </c>
      <c r="T352" s="5" t="s">
        <v>789</v>
      </c>
      <c r="U352" s="34" t="s">
        <v>432</v>
      </c>
    </row>
    <row r="353" spans="1:21" x14ac:dyDescent="0.35">
      <c r="A353" s="6" t="s">
        <v>259</v>
      </c>
      <c r="B353" s="6" t="s">
        <v>19</v>
      </c>
      <c r="C353" s="6">
        <v>56403851</v>
      </c>
      <c r="D353" s="6" t="s">
        <v>260</v>
      </c>
      <c r="E353" s="6" t="s">
        <v>261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 t="shared" si="19"/>
        <v>10</v>
      </c>
      <c r="K353" s="17" t="s">
        <v>295</v>
      </c>
      <c r="L353" s="22"/>
      <c r="M353" s="5" t="s">
        <v>24</v>
      </c>
      <c r="N353" s="6" t="s">
        <v>262</v>
      </c>
      <c r="O353" s="30">
        <v>1109000</v>
      </c>
      <c r="P353" s="30">
        <v>935000</v>
      </c>
      <c r="Q353" s="31">
        <f t="shared" si="21"/>
        <v>2044000</v>
      </c>
      <c r="R353" s="7">
        <v>46045</v>
      </c>
      <c r="S353" s="16">
        <f t="shared" si="20"/>
        <v>12</v>
      </c>
      <c r="T353" s="5" t="s">
        <v>789</v>
      </c>
      <c r="U353" s="34" t="s">
        <v>432</v>
      </c>
    </row>
    <row r="354" spans="1:21" x14ac:dyDescent="0.35">
      <c r="A354" s="6" t="s">
        <v>240</v>
      </c>
      <c r="B354" s="6" t="s">
        <v>19</v>
      </c>
      <c r="C354" s="6">
        <v>56376202</v>
      </c>
      <c r="D354" s="6" t="s">
        <v>35</v>
      </c>
      <c r="E354" s="6" t="s">
        <v>241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 t="shared" si="19"/>
        <v>10</v>
      </c>
      <c r="K354" s="17" t="s">
        <v>295</v>
      </c>
      <c r="L354" s="22"/>
      <c r="M354" s="5" t="s">
        <v>24</v>
      </c>
      <c r="N354" s="6" t="s">
        <v>169</v>
      </c>
      <c r="O354" s="30">
        <v>2000000</v>
      </c>
      <c r="P354" s="30">
        <v>646323</v>
      </c>
      <c r="Q354" s="31">
        <f t="shared" si="21"/>
        <v>2646323</v>
      </c>
      <c r="R354" s="7">
        <v>46044</v>
      </c>
      <c r="S354" s="16">
        <f t="shared" si="20"/>
        <v>11</v>
      </c>
      <c r="T354" s="5" t="s">
        <v>789</v>
      </c>
      <c r="U354" s="34" t="s">
        <v>432</v>
      </c>
    </row>
    <row r="355" spans="1:21" x14ac:dyDescent="0.35">
      <c r="A355" s="6" t="s">
        <v>242</v>
      </c>
      <c r="B355" s="6" t="s">
        <v>43</v>
      </c>
      <c r="C355" s="6">
        <v>56227462</v>
      </c>
      <c r="D355" s="6" t="s">
        <v>97</v>
      </c>
      <c r="E355" s="6" t="s">
        <v>243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 t="shared" si="19"/>
        <v>10</v>
      </c>
      <c r="K355" s="17" t="s">
        <v>295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 t="shared" si="21"/>
        <v>0</v>
      </c>
      <c r="R355" s="7">
        <v>46044</v>
      </c>
      <c r="S355" s="16">
        <f t="shared" si="20"/>
        <v>13</v>
      </c>
      <c r="T355" s="5" t="s">
        <v>789</v>
      </c>
      <c r="U355" s="34" t="s">
        <v>433</v>
      </c>
    </row>
    <row r="356" spans="1:21" x14ac:dyDescent="0.35">
      <c r="A356" s="6" t="s">
        <v>242</v>
      </c>
      <c r="B356" s="6" t="s">
        <v>43</v>
      </c>
      <c r="C356" s="6">
        <v>56229871</v>
      </c>
      <c r="D356" s="6" t="s">
        <v>201</v>
      </c>
      <c r="E356" s="6" t="s">
        <v>244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 t="shared" si="19"/>
        <v>10</v>
      </c>
      <c r="K356" s="17" t="s">
        <v>295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 t="shared" si="21"/>
        <v>825000</v>
      </c>
      <c r="R356" s="7">
        <v>46044</v>
      </c>
      <c r="S356" s="16">
        <f t="shared" si="20"/>
        <v>13</v>
      </c>
      <c r="T356" s="5" t="s">
        <v>789</v>
      </c>
      <c r="U356" s="34" t="s">
        <v>433</v>
      </c>
    </row>
    <row r="357" spans="1:21" x14ac:dyDescent="0.35">
      <c r="A357" s="6" t="s">
        <v>245</v>
      </c>
      <c r="B357" s="6" t="s">
        <v>19</v>
      </c>
      <c r="C357" s="6">
        <v>47247106</v>
      </c>
      <c r="D357" s="6" t="s">
        <v>246</v>
      </c>
      <c r="E357" s="5" t="s">
        <v>247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 t="shared" si="19"/>
        <v>138</v>
      </c>
      <c r="K357" s="17" t="s">
        <v>295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 t="shared" si="21"/>
        <v>433989</v>
      </c>
      <c r="R357" s="7">
        <v>46044</v>
      </c>
      <c r="S357" s="16">
        <f t="shared" si="20"/>
        <v>141</v>
      </c>
      <c r="T357" s="5" t="s">
        <v>789</v>
      </c>
      <c r="U357" s="34" t="s">
        <v>432</v>
      </c>
    </row>
    <row r="358" spans="1:21" x14ac:dyDescent="0.35">
      <c r="A358" s="3" t="s">
        <v>248</v>
      </c>
      <c r="B358" s="5" t="s">
        <v>30</v>
      </c>
      <c r="C358" s="3">
        <v>46636869</v>
      </c>
      <c r="D358" s="5" t="s">
        <v>249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 t="shared" si="19"/>
        <v>149</v>
      </c>
      <c r="K358" s="17" t="s">
        <v>295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 t="shared" si="21"/>
        <v>190000</v>
      </c>
      <c r="R358" s="7">
        <v>46044</v>
      </c>
      <c r="S358" s="16">
        <f t="shared" si="20"/>
        <v>150</v>
      </c>
      <c r="T358" s="5" t="s">
        <v>789</v>
      </c>
      <c r="U358" s="34" t="s">
        <v>432</v>
      </c>
    </row>
    <row r="359" spans="1:21" x14ac:dyDescent="0.35">
      <c r="A359" s="1" t="s">
        <v>250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 t="shared" si="19"/>
        <v>23</v>
      </c>
      <c r="K359" s="17" t="s">
        <v>295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 t="shared" si="21"/>
        <v>1231750</v>
      </c>
      <c r="R359" s="7">
        <v>46044</v>
      </c>
      <c r="S359" s="16">
        <f t="shared" si="20"/>
        <v>23</v>
      </c>
      <c r="T359" s="5" t="s">
        <v>789</v>
      </c>
      <c r="U359" s="34" t="s">
        <v>432</v>
      </c>
    </row>
    <row r="360" spans="1:21" x14ac:dyDescent="0.35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234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 t="shared" si="19"/>
        <v>51</v>
      </c>
      <c r="K360" s="17" t="s">
        <v>295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 t="shared" si="21"/>
        <v>217691</v>
      </c>
      <c r="R360" s="7">
        <v>46043</v>
      </c>
      <c r="S360" s="16">
        <f t="shared" si="20"/>
        <v>63</v>
      </c>
      <c r="T360" s="5" t="s">
        <v>789</v>
      </c>
      <c r="U360" s="34" t="s">
        <v>433</v>
      </c>
    </row>
    <row r="361" spans="1:21" x14ac:dyDescent="0.35">
      <c r="A361" s="6" t="s">
        <v>235</v>
      </c>
      <c r="B361" s="6" t="s">
        <v>19</v>
      </c>
      <c r="C361" s="6">
        <v>55096581</v>
      </c>
      <c r="D361" s="6" t="s">
        <v>236</v>
      </c>
      <c r="E361" s="6" t="s">
        <v>237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 t="shared" si="19"/>
        <v>18</v>
      </c>
      <c r="K361" s="17" t="s">
        <v>295</v>
      </c>
      <c r="L361" s="22"/>
      <c r="M361" s="5" t="s">
        <v>24</v>
      </c>
      <c r="N361" s="6" t="s">
        <v>191</v>
      </c>
      <c r="O361" s="30">
        <v>2362401</v>
      </c>
      <c r="P361" s="30">
        <v>300000</v>
      </c>
      <c r="Q361" s="31">
        <f t="shared" si="21"/>
        <v>2662401</v>
      </c>
      <c r="R361" s="7">
        <v>46043</v>
      </c>
      <c r="S361" s="16">
        <f t="shared" si="20"/>
        <v>28</v>
      </c>
      <c r="T361" s="5" t="s">
        <v>789</v>
      </c>
      <c r="U361" s="34" t="s">
        <v>432</v>
      </c>
    </row>
    <row r="362" spans="1:21" x14ac:dyDescent="0.35">
      <c r="A362" s="6" t="s">
        <v>238</v>
      </c>
      <c r="B362" s="5" t="s">
        <v>43</v>
      </c>
      <c r="C362" s="6">
        <v>54649168</v>
      </c>
      <c r="D362" s="5" t="s">
        <v>49</v>
      </c>
      <c r="E362" s="6" t="s">
        <v>239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 t="shared" si="19"/>
        <v>27</v>
      </c>
      <c r="K362" s="17" t="s">
        <v>295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 t="shared" si="21"/>
        <v>0</v>
      </c>
      <c r="R362" s="7">
        <v>46043</v>
      </c>
      <c r="S362" s="16">
        <f t="shared" si="20"/>
        <v>34</v>
      </c>
      <c r="T362" s="5" t="s">
        <v>789</v>
      </c>
      <c r="U362" s="34" t="s">
        <v>432</v>
      </c>
    </row>
    <row r="363" spans="1:21" x14ac:dyDescent="0.35">
      <c r="A363" s="1" t="s">
        <v>228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 t="shared" si="19"/>
        <v>62</v>
      </c>
      <c r="K363" s="17" t="s">
        <v>295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 t="shared" si="21"/>
        <v>210000</v>
      </c>
      <c r="R363" s="7">
        <v>46042</v>
      </c>
      <c r="S363" s="16">
        <f t="shared" si="20"/>
        <v>64</v>
      </c>
      <c r="T363" s="5" t="s">
        <v>789</v>
      </c>
      <c r="U363" s="34" t="s">
        <v>432</v>
      </c>
    </row>
    <row r="364" spans="1:21" x14ac:dyDescent="0.35">
      <c r="A364" s="3" t="s">
        <v>229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 t="shared" si="19"/>
        <v>24</v>
      </c>
      <c r="K364" s="17" t="s">
        <v>295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 t="shared" si="21"/>
        <v>210000</v>
      </c>
      <c r="R364" s="7">
        <v>46042</v>
      </c>
      <c r="S364" s="16">
        <f t="shared" si="20"/>
        <v>32</v>
      </c>
      <c r="T364" s="5" t="s">
        <v>789</v>
      </c>
      <c r="U364" s="34" t="s">
        <v>432</v>
      </c>
    </row>
    <row r="365" spans="1:21" x14ac:dyDescent="0.35">
      <c r="A365" s="3" t="s">
        <v>230</v>
      </c>
      <c r="B365" s="5" t="s">
        <v>19</v>
      </c>
      <c r="C365" s="3">
        <v>56604835</v>
      </c>
      <c r="D365" s="5" t="s">
        <v>20</v>
      </c>
      <c r="E365" s="3" t="s">
        <v>231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 t="shared" si="19"/>
        <v>5</v>
      </c>
      <c r="K365" s="17" t="s">
        <v>295</v>
      </c>
      <c r="L365" s="22"/>
      <c r="M365" s="5" t="s">
        <v>24</v>
      </c>
      <c r="N365" s="5" t="s">
        <v>169</v>
      </c>
      <c r="O365" s="31">
        <v>955437</v>
      </c>
      <c r="P365" s="31">
        <v>0</v>
      </c>
      <c r="Q365" s="31">
        <f t="shared" si="21"/>
        <v>955437</v>
      </c>
      <c r="R365" s="7">
        <v>46042</v>
      </c>
      <c r="S365" s="16">
        <f t="shared" si="20"/>
        <v>6</v>
      </c>
      <c r="T365" s="5" t="s">
        <v>789</v>
      </c>
      <c r="U365" s="34" t="s">
        <v>432</v>
      </c>
    </row>
    <row r="366" spans="1:21" x14ac:dyDescent="0.35">
      <c r="A366" s="6" t="s">
        <v>232</v>
      </c>
      <c r="B366" s="5" t="s">
        <v>19</v>
      </c>
      <c r="C366" s="6">
        <v>55303164</v>
      </c>
      <c r="D366" s="5" t="s">
        <v>44</v>
      </c>
      <c r="E366" s="6" t="s">
        <v>233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 t="shared" si="19"/>
        <v>19</v>
      </c>
      <c r="K366" s="17" t="s">
        <v>295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 t="shared" si="21"/>
        <v>500000</v>
      </c>
      <c r="R366" s="7">
        <v>46042</v>
      </c>
      <c r="S366" s="16">
        <f t="shared" si="20"/>
        <v>25</v>
      </c>
      <c r="T366" s="5" t="s">
        <v>789</v>
      </c>
      <c r="U366" s="34" t="s">
        <v>432</v>
      </c>
    </row>
    <row r="367" spans="1:21" x14ac:dyDescent="0.35">
      <c r="A367" s="6" t="s">
        <v>224</v>
      </c>
      <c r="B367" s="5" t="s">
        <v>19</v>
      </c>
      <c r="C367" s="19">
        <v>55658281</v>
      </c>
      <c r="D367" s="5" t="s">
        <v>67</v>
      </c>
      <c r="E367" s="6" t="s">
        <v>225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 t="shared" si="19"/>
        <v>17</v>
      </c>
      <c r="K367" s="17" t="s">
        <v>295</v>
      </c>
      <c r="L367" s="22"/>
      <c r="M367" s="5" t="s">
        <v>24</v>
      </c>
      <c r="N367" s="5" t="s">
        <v>146</v>
      </c>
      <c r="O367" s="31">
        <v>0</v>
      </c>
      <c r="P367" s="31">
        <v>0</v>
      </c>
      <c r="Q367" s="31">
        <f t="shared" si="21"/>
        <v>0</v>
      </c>
      <c r="R367" s="7">
        <v>46041</v>
      </c>
      <c r="S367" s="16">
        <f t="shared" si="20"/>
        <v>20</v>
      </c>
      <c r="T367" s="5" t="s">
        <v>789</v>
      </c>
      <c r="U367" s="34" t="s">
        <v>432</v>
      </c>
    </row>
    <row r="368" spans="1:21" x14ac:dyDescent="0.35">
      <c r="A368" s="6" t="s">
        <v>226</v>
      </c>
      <c r="B368" s="6" t="s">
        <v>19</v>
      </c>
      <c r="C368" s="6">
        <v>55316532</v>
      </c>
      <c r="D368" s="6" t="s">
        <v>20</v>
      </c>
      <c r="E368" s="6" t="s">
        <v>227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 t="shared" si="19"/>
        <v>21</v>
      </c>
      <c r="K368" s="17" t="s">
        <v>295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 t="shared" si="21"/>
        <v>1000000</v>
      </c>
      <c r="R368" s="7">
        <v>46041</v>
      </c>
      <c r="S368" s="16">
        <f t="shared" si="20"/>
        <v>24</v>
      </c>
      <c r="T368" s="5" t="s">
        <v>789</v>
      </c>
      <c r="U368" s="34" t="s">
        <v>432</v>
      </c>
    </row>
    <row r="369" spans="1:21" x14ac:dyDescent="0.35">
      <c r="A369" s="6" t="s">
        <v>221</v>
      </c>
      <c r="B369" s="6" t="s">
        <v>19</v>
      </c>
      <c r="C369" s="6">
        <v>54984896</v>
      </c>
      <c r="D369" s="6" t="s">
        <v>112</v>
      </c>
      <c r="E369" s="6" t="s">
        <v>222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 t="shared" si="19"/>
        <v>15</v>
      </c>
      <c r="K369" s="17" t="s">
        <v>295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 t="shared" si="21"/>
        <v>189985</v>
      </c>
      <c r="R369" s="7">
        <v>46038</v>
      </c>
      <c r="S369" s="16">
        <f t="shared" si="20"/>
        <v>24</v>
      </c>
      <c r="T369" s="5" t="s">
        <v>787</v>
      </c>
      <c r="U369" s="34" t="s">
        <v>432</v>
      </c>
    </row>
    <row r="370" spans="1:21" x14ac:dyDescent="0.35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223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 t="shared" si="19"/>
        <v>44</v>
      </c>
      <c r="K370" s="17" t="s">
        <v>295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 t="shared" si="21"/>
        <v>92730</v>
      </c>
      <c r="R370" s="7">
        <v>46038</v>
      </c>
      <c r="S370" s="16">
        <f t="shared" si="20"/>
        <v>61</v>
      </c>
      <c r="T370" s="5" t="s">
        <v>787</v>
      </c>
      <c r="U370" s="34" t="s">
        <v>433</v>
      </c>
    </row>
    <row r="371" spans="1:21" x14ac:dyDescent="0.35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213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 t="shared" si="19"/>
        <v>45</v>
      </c>
      <c r="K371" s="17" t="s">
        <v>295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 t="shared" si="21"/>
        <v>170681</v>
      </c>
      <c r="R371" s="7">
        <v>46037</v>
      </c>
      <c r="S371" s="16">
        <f t="shared" si="20"/>
        <v>63</v>
      </c>
      <c r="T371" s="5" t="s">
        <v>787</v>
      </c>
      <c r="U371" s="34" t="s">
        <v>433</v>
      </c>
    </row>
    <row r="372" spans="1:21" x14ac:dyDescent="0.35">
      <c r="A372" s="6" t="s">
        <v>89</v>
      </c>
      <c r="B372" s="6" t="s">
        <v>43</v>
      </c>
      <c r="C372" s="6">
        <v>52385158</v>
      </c>
      <c r="D372" s="6" t="s">
        <v>195</v>
      </c>
      <c r="E372" s="6" t="s">
        <v>214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 t="shared" si="19"/>
        <v>46</v>
      </c>
      <c r="K372" s="17" t="s">
        <v>295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 t="shared" si="21"/>
        <v>92730</v>
      </c>
      <c r="R372" s="7">
        <v>46037</v>
      </c>
      <c r="S372" s="16">
        <f t="shared" si="20"/>
        <v>62</v>
      </c>
      <c r="T372" s="5" t="s">
        <v>787</v>
      </c>
      <c r="U372" s="34" t="s">
        <v>433</v>
      </c>
    </row>
    <row r="373" spans="1:21" x14ac:dyDescent="0.35">
      <c r="A373" s="6" t="s">
        <v>89</v>
      </c>
      <c r="B373" s="6" t="s">
        <v>43</v>
      </c>
      <c r="C373" s="6">
        <v>52460207</v>
      </c>
      <c r="D373" s="6" t="s">
        <v>195</v>
      </c>
      <c r="E373" s="6" t="s">
        <v>215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 t="shared" si="19"/>
        <v>46</v>
      </c>
      <c r="K373" s="17" t="s">
        <v>295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 t="shared" si="21"/>
        <v>92730</v>
      </c>
      <c r="R373" s="7">
        <v>46037</v>
      </c>
      <c r="S373" s="16">
        <f t="shared" si="20"/>
        <v>62</v>
      </c>
      <c r="T373" s="5" t="s">
        <v>787</v>
      </c>
      <c r="U373" s="34" t="s">
        <v>433</v>
      </c>
    </row>
    <row r="374" spans="1:21" x14ac:dyDescent="0.35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216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 t="shared" si="19"/>
        <v>47</v>
      </c>
      <c r="K374" s="17" t="s">
        <v>295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 t="shared" si="21"/>
        <v>92730</v>
      </c>
      <c r="R374" s="7">
        <v>46037</v>
      </c>
      <c r="S374" s="16">
        <f t="shared" si="20"/>
        <v>63</v>
      </c>
      <c r="T374" s="5" t="s">
        <v>787</v>
      </c>
      <c r="U374" s="34" t="s">
        <v>433</v>
      </c>
    </row>
    <row r="375" spans="1:21" x14ac:dyDescent="0.35">
      <c r="A375" s="6" t="s">
        <v>89</v>
      </c>
      <c r="B375" s="6" t="s">
        <v>43</v>
      </c>
      <c r="C375" s="6">
        <v>52383783</v>
      </c>
      <c r="D375" s="5" t="s">
        <v>217</v>
      </c>
      <c r="E375" s="6" t="s">
        <v>218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 t="shared" si="19"/>
        <v>46</v>
      </c>
      <c r="K375" s="17" t="s">
        <v>295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 t="shared" si="21"/>
        <v>92730</v>
      </c>
      <c r="R375" s="7">
        <v>46037</v>
      </c>
      <c r="S375" s="16">
        <f t="shared" si="20"/>
        <v>62</v>
      </c>
      <c r="T375" s="5" t="s">
        <v>787</v>
      </c>
      <c r="U375" s="34" t="s">
        <v>433</v>
      </c>
    </row>
    <row r="376" spans="1:21" x14ac:dyDescent="0.35">
      <c r="A376" s="6" t="s">
        <v>219</v>
      </c>
      <c r="B376" s="6" t="s">
        <v>19</v>
      </c>
      <c r="C376" s="26">
        <v>54887240</v>
      </c>
      <c r="D376" s="6" t="s">
        <v>67</v>
      </c>
      <c r="E376" s="6" t="s">
        <v>220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 t="shared" si="19"/>
        <v>14</v>
      </c>
      <c r="K376" s="17" t="s">
        <v>295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 t="shared" si="21"/>
        <v>2667554</v>
      </c>
      <c r="R376" s="7">
        <v>46037</v>
      </c>
      <c r="S376" s="16">
        <f t="shared" si="20"/>
        <v>27</v>
      </c>
      <c r="T376" s="5" t="s">
        <v>787</v>
      </c>
      <c r="U376" s="34" t="s">
        <v>432</v>
      </c>
    </row>
    <row r="377" spans="1:21" x14ac:dyDescent="0.35">
      <c r="A377" s="6" t="s">
        <v>206</v>
      </c>
      <c r="B377" s="6" t="s">
        <v>43</v>
      </c>
      <c r="C377" s="14">
        <v>32892220</v>
      </c>
      <c r="D377" s="6" t="s">
        <v>207</v>
      </c>
      <c r="E377" s="6" t="s">
        <v>208</v>
      </c>
      <c r="F377" s="6" t="s">
        <v>209</v>
      </c>
      <c r="G377" s="6" t="s">
        <v>23</v>
      </c>
      <c r="H377" s="8">
        <v>45525</v>
      </c>
      <c r="I377" s="8">
        <v>45807</v>
      </c>
      <c r="J377" s="16">
        <f t="shared" si="19"/>
        <v>203</v>
      </c>
      <c r="K377" s="17" t="s">
        <v>295</v>
      </c>
      <c r="L377" s="22"/>
      <c r="M377" s="5" t="s">
        <v>24</v>
      </c>
      <c r="N377" s="6" t="s">
        <v>191</v>
      </c>
      <c r="O377" s="30">
        <v>32214683</v>
      </c>
      <c r="P377" s="30">
        <v>6403996</v>
      </c>
      <c r="Q377" s="31">
        <f t="shared" si="21"/>
        <v>38618679</v>
      </c>
      <c r="R377" s="7">
        <v>46036</v>
      </c>
      <c r="S377" s="16">
        <f t="shared" si="20"/>
        <v>366</v>
      </c>
      <c r="T377" s="5" t="s">
        <v>787</v>
      </c>
      <c r="U377" s="34" t="s">
        <v>432</v>
      </c>
    </row>
    <row r="378" spans="1:21" x14ac:dyDescent="0.35">
      <c r="A378" s="1" t="s">
        <v>210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 t="shared" si="19"/>
        <v>15</v>
      </c>
      <c r="K378" s="17" t="s">
        <v>295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 t="shared" ref="Q378:Q407" si="22">P378+O378</f>
        <v>190000</v>
      </c>
      <c r="R378" s="7">
        <v>46036</v>
      </c>
      <c r="S378" s="16">
        <f t="shared" si="20"/>
        <v>16</v>
      </c>
      <c r="T378" s="5" t="s">
        <v>787</v>
      </c>
      <c r="U378" s="34" t="s">
        <v>432</v>
      </c>
    </row>
    <row r="379" spans="1:21" x14ac:dyDescent="0.35">
      <c r="A379" s="1" t="s">
        <v>211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 t="shared" si="19"/>
        <v>11</v>
      </c>
      <c r="K379" s="17" t="s">
        <v>295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 t="shared" si="22"/>
        <v>40000</v>
      </c>
      <c r="R379" s="7">
        <v>46036</v>
      </c>
      <c r="S379" s="16">
        <f t="shared" si="20"/>
        <v>12</v>
      </c>
      <c r="T379" s="5" t="s">
        <v>787</v>
      </c>
      <c r="U379" s="34" t="s">
        <v>432</v>
      </c>
    </row>
    <row r="380" spans="1:21" x14ac:dyDescent="0.35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212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 t="shared" si="19"/>
        <v>13</v>
      </c>
      <c r="K380" s="17" t="s">
        <v>295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 t="shared" si="22"/>
        <v>1705164</v>
      </c>
      <c r="R380" s="7">
        <v>46036</v>
      </c>
      <c r="S380" s="16">
        <f t="shared" si="20"/>
        <v>42</v>
      </c>
      <c r="T380" s="5" t="s">
        <v>787</v>
      </c>
      <c r="U380" s="34" t="s">
        <v>432</v>
      </c>
    </row>
    <row r="381" spans="1:21" x14ac:dyDescent="0.35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192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 t="shared" si="19"/>
        <v>245</v>
      </c>
      <c r="K381" s="17" t="s">
        <v>295</v>
      </c>
      <c r="L381" s="22"/>
      <c r="M381" s="5" t="s">
        <v>24</v>
      </c>
      <c r="N381" s="6" t="s">
        <v>193</v>
      </c>
      <c r="O381" s="30">
        <v>2000000</v>
      </c>
      <c r="P381" s="30">
        <v>380000</v>
      </c>
      <c r="Q381" s="31">
        <f t="shared" si="22"/>
        <v>2380000</v>
      </c>
      <c r="R381" s="7">
        <v>46035</v>
      </c>
      <c r="S381" s="16">
        <f t="shared" si="20"/>
        <v>249</v>
      </c>
      <c r="T381" s="5" t="s">
        <v>787</v>
      </c>
      <c r="U381" s="34" t="s">
        <v>432</v>
      </c>
    </row>
    <row r="382" spans="1:21" x14ac:dyDescent="0.35">
      <c r="A382" s="6" t="s">
        <v>194</v>
      </c>
      <c r="B382" s="6" t="s">
        <v>43</v>
      </c>
      <c r="C382" s="6">
        <v>54215173</v>
      </c>
      <c r="D382" s="6" t="s">
        <v>195</v>
      </c>
      <c r="E382" s="6" t="s">
        <v>196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 t="shared" si="19"/>
        <v>31</v>
      </c>
      <c r="K382" s="17" t="s">
        <v>295</v>
      </c>
      <c r="L382" s="22"/>
      <c r="M382" s="25" t="s">
        <v>24</v>
      </c>
      <c r="N382" s="6" t="s">
        <v>28</v>
      </c>
      <c r="O382" s="25">
        <v>0</v>
      </c>
      <c r="P382" s="30">
        <v>0</v>
      </c>
      <c r="Q382" s="31">
        <f t="shared" si="22"/>
        <v>0</v>
      </c>
      <c r="R382" s="7">
        <v>46035</v>
      </c>
      <c r="S382" s="16">
        <f t="shared" si="20"/>
        <v>34</v>
      </c>
      <c r="T382" s="5" t="s">
        <v>787</v>
      </c>
      <c r="U382" s="34" t="s">
        <v>432</v>
      </c>
    </row>
    <row r="383" spans="1:21" x14ac:dyDescent="0.35">
      <c r="A383" s="6" t="s">
        <v>197</v>
      </c>
      <c r="B383" s="6" t="s">
        <v>43</v>
      </c>
      <c r="C383" s="6">
        <v>55655854</v>
      </c>
      <c r="D383" s="6" t="s">
        <v>67</v>
      </c>
      <c r="E383" s="6" t="s">
        <v>198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 t="shared" si="19"/>
        <v>13</v>
      </c>
      <c r="K383" s="17" t="s">
        <v>295</v>
      </c>
      <c r="L383" s="22"/>
      <c r="M383" s="5" t="s">
        <v>24</v>
      </c>
      <c r="N383" s="5" t="s">
        <v>28</v>
      </c>
      <c r="O383" s="30">
        <v>0</v>
      </c>
      <c r="P383" s="30">
        <v>0</v>
      </c>
      <c r="Q383" s="31">
        <f t="shared" si="22"/>
        <v>0</v>
      </c>
      <c r="R383" s="7">
        <v>46035</v>
      </c>
      <c r="S383" s="16">
        <f t="shared" si="20"/>
        <v>16</v>
      </c>
      <c r="T383" s="5" t="s">
        <v>787</v>
      </c>
      <c r="U383" s="34" t="s">
        <v>432</v>
      </c>
    </row>
    <row r="384" spans="1:21" x14ac:dyDescent="0.35">
      <c r="A384" s="1" t="s">
        <v>199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 t="shared" si="19"/>
        <v>29</v>
      </c>
      <c r="K384" s="17" t="s">
        <v>295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 t="shared" si="22"/>
        <v>144000</v>
      </c>
      <c r="R384" s="7">
        <v>46035</v>
      </c>
      <c r="S384" s="16">
        <f t="shared" si="20"/>
        <v>33</v>
      </c>
      <c r="T384" s="5" t="s">
        <v>787</v>
      </c>
      <c r="U384" s="34" t="s">
        <v>432</v>
      </c>
    </row>
    <row r="385" spans="1:21" x14ac:dyDescent="0.35">
      <c r="A385" s="1" t="s">
        <v>200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 t="shared" si="19"/>
        <v>16</v>
      </c>
      <c r="K385" s="17" t="s">
        <v>295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 t="shared" si="22"/>
        <v>1000000</v>
      </c>
      <c r="R385" s="7">
        <v>46035</v>
      </c>
      <c r="S385" s="16">
        <f t="shared" si="20"/>
        <v>20</v>
      </c>
      <c r="T385" s="5" t="s">
        <v>787</v>
      </c>
      <c r="U385" s="34" t="s">
        <v>432</v>
      </c>
    </row>
    <row r="386" spans="1:21" x14ac:dyDescent="0.35">
      <c r="A386" s="6" t="s">
        <v>167</v>
      </c>
      <c r="B386" s="6" t="s">
        <v>43</v>
      </c>
      <c r="C386" s="6">
        <v>55418390</v>
      </c>
      <c r="D386" s="6" t="s">
        <v>201</v>
      </c>
      <c r="E386" s="6" t="s">
        <v>202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 t="shared" ref="J386:J435" si="23">+NETWORKDAYS(H386,I386)</f>
        <v>15</v>
      </c>
      <c r="K386" s="17" t="s">
        <v>295</v>
      </c>
      <c r="L386" s="22"/>
      <c r="M386" s="5" t="s">
        <v>24</v>
      </c>
      <c r="N386" s="5" t="s">
        <v>169</v>
      </c>
      <c r="O386" s="30">
        <v>847200</v>
      </c>
      <c r="P386" s="30">
        <v>0</v>
      </c>
      <c r="Q386" s="31">
        <f t="shared" si="22"/>
        <v>847200</v>
      </c>
      <c r="R386" s="7">
        <v>46035</v>
      </c>
      <c r="S386" s="16">
        <f t="shared" ref="S386:S435" si="24">NETWORKDAYS(H386,R386)</f>
        <v>19</v>
      </c>
      <c r="T386" s="5" t="s">
        <v>787</v>
      </c>
      <c r="U386" s="34" t="s">
        <v>432</v>
      </c>
    </row>
    <row r="387" spans="1:21" s="18" customFormat="1" x14ac:dyDescent="0.35">
      <c r="A387" s="6" t="s">
        <v>203</v>
      </c>
      <c r="B387" s="6" t="s">
        <v>43</v>
      </c>
      <c r="C387" s="6">
        <v>55671110</v>
      </c>
      <c r="D387" s="6" t="s">
        <v>204</v>
      </c>
      <c r="E387" s="6" t="s">
        <v>205</v>
      </c>
      <c r="F387" s="6" t="s">
        <v>190</v>
      </c>
      <c r="G387" s="6" t="s">
        <v>23</v>
      </c>
      <c r="H387" s="8">
        <v>46014</v>
      </c>
      <c r="I387" s="8">
        <v>46029</v>
      </c>
      <c r="J387" s="16">
        <f t="shared" si="23"/>
        <v>12</v>
      </c>
      <c r="K387" s="17" t="s">
        <v>295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 t="shared" si="22"/>
        <v>2780000</v>
      </c>
      <c r="R387" s="7">
        <v>46035</v>
      </c>
      <c r="S387" s="16">
        <f t="shared" si="24"/>
        <v>16</v>
      </c>
      <c r="T387" s="5" t="s">
        <v>787</v>
      </c>
      <c r="U387" s="34" t="s">
        <v>432</v>
      </c>
    </row>
    <row r="388" spans="1:21" x14ac:dyDescent="0.35">
      <c r="A388" s="6" t="s">
        <v>187</v>
      </c>
      <c r="B388" s="6" t="s">
        <v>19</v>
      </c>
      <c r="C388" s="6">
        <v>51830827</v>
      </c>
      <c r="D388" s="6" t="s">
        <v>188</v>
      </c>
      <c r="E388" s="6" t="s">
        <v>189</v>
      </c>
      <c r="F388" s="6" t="s">
        <v>190</v>
      </c>
      <c r="G388" s="6" t="s">
        <v>23</v>
      </c>
      <c r="H388" s="8">
        <v>45944</v>
      </c>
      <c r="I388" s="8">
        <v>46030</v>
      </c>
      <c r="J388" s="16">
        <f t="shared" si="23"/>
        <v>63</v>
      </c>
      <c r="K388" s="17" t="s">
        <v>295</v>
      </c>
      <c r="L388" s="22"/>
      <c r="M388" s="5" t="s">
        <v>24</v>
      </c>
      <c r="N388" s="6" t="s">
        <v>191</v>
      </c>
      <c r="O388" s="30">
        <v>3000000</v>
      </c>
      <c r="P388" s="30">
        <v>270000</v>
      </c>
      <c r="Q388" s="31">
        <f t="shared" si="22"/>
        <v>3270000</v>
      </c>
      <c r="R388" s="7">
        <v>46031</v>
      </c>
      <c r="S388" s="16">
        <f t="shared" si="24"/>
        <v>64</v>
      </c>
      <c r="T388" s="5" t="s">
        <v>788</v>
      </c>
      <c r="U388" s="34" t="s">
        <v>432</v>
      </c>
    </row>
    <row r="389" spans="1:21" x14ac:dyDescent="0.35">
      <c r="A389" s="14" t="s">
        <v>172</v>
      </c>
      <c r="B389" s="6" t="s">
        <v>19</v>
      </c>
      <c r="C389" s="6">
        <v>54826025</v>
      </c>
      <c r="D389" s="6" t="s">
        <v>170</v>
      </c>
      <c r="E389" s="6" t="s">
        <v>173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 t="shared" si="23"/>
        <v>7</v>
      </c>
      <c r="K389" s="17" t="s">
        <v>295</v>
      </c>
      <c r="L389" s="22"/>
      <c r="M389" s="5" t="s">
        <v>24</v>
      </c>
      <c r="N389" s="6" t="s">
        <v>174</v>
      </c>
      <c r="O389" s="30">
        <v>1500000</v>
      </c>
      <c r="P389" s="30">
        <v>571781</v>
      </c>
      <c r="Q389" s="31">
        <f t="shared" si="22"/>
        <v>2071781</v>
      </c>
      <c r="R389" s="7">
        <v>46030</v>
      </c>
      <c r="S389" s="16">
        <f t="shared" si="24"/>
        <v>21</v>
      </c>
      <c r="T389" s="5" t="s">
        <v>788</v>
      </c>
      <c r="U389" s="34" t="s">
        <v>432</v>
      </c>
    </row>
    <row r="390" spans="1:21" s="18" customFormat="1" x14ac:dyDescent="0.35">
      <c r="A390" s="14" t="s">
        <v>152</v>
      </c>
      <c r="B390" s="6" t="s">
        <v>19</v>
      </c>
      <c r="C390" s="6">
        <v>55474207</v>
      </c>
      <c r="D390" s="6" t="s">
        <v>175</v>
      </c>
      <c r="E390" s="5" t="s">
        <v>176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 t="shared" si="23"/>
        <v>15</v>
      </c>
      <c r="K390" s="17" t="s">
        <v>295</v>
      </c>
      <c r="L390" s="22"/>
      <c r="M390" s="25" t="s">
        <v>24</v>
      </c>
      <c r="N390" s="12" t="s">
        <v>28</v>
      </c>
      <c r="O390" s="9">
        <v>0</v>
      </c>
      <c r="P390" s="9">
        <v>0</v>
      </c>
      <c r="Q390" s="31">
        <f t="shared" si="22"/>
        <v>0</v>
      </c>
      <c r="R390" s="7">
        <v>46030</v>
      </c>
      <c r="S390" s="16">
        <f t="shared" si="24"/>
        <v>15</v>
      </c>
      <c r="T390" s="5" t="s">
        <v>788</v>
      </c>
      <c r="U390" s="34" t="s">
        <v>433</v>
      </c>
    </row>
    <row r="391" spans="1:21" s="18" customFormat="1" x14ac:dyDescent="0.35">
      <c r="A391" s="14" t="s">
        <v>152</v>
      </c>
      <c r="B391" s="6" t="s">
        <v>43</v>
      </c>
      <c r="C391" s="6">
        <v>55475267</v>
      </c>
      <c r="D391" s="6" t="s">
        <v>175</v>
      </c>
      <c r="E391" s="5" t="s">
        <v>177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 t="shared" si="23"/>
        <v>15</v>
      </c>
      <c r="K391" s="17" t="s">
        <v>295</v>
      </c>
      <c r="L391" s="22"/>
      <c r="M391" s="25" t="s">
        <v>24</v>
      </c>
      <c r="N391" s="12" t="s">
        <v>28</v>
      </c>
      <c r="O391" s="9">
        <v>0</v>
      </c>
      <c r="P391" s="9">
        <v>0</v>
      </c>
      <c r="Q391" s="31">
        <f t="shared" si="22"/>
        <v>0</v>
      </c>
      <c r="R391" s="7">
        <v>46030</v>
      </c>
      <c r="S391" s="16">
        <f t="shared" si="24"/>
        <v>15</v>
      </c>
      <c r="T391" s="5" t="s">
        <v>788</v>
      </c>
      <c r="U391" s="34" t="s">
        <v>433</v>
      </c>
    </row>
    <row r="392" spans="1:21" s="18" customFormat="1" x14ac:dyDescent="0.35">
      <c r="A392" s="6" t="s">
        <v>167</v>
      </c>
      <c r="B392" s="6" t="s">
        <v>43</v>
      </c>
      <c r="C392" s="6">
        <v>55419176</v>
      </c>
      <c r="D392" s="6" t="s">
        <v>35</v>
      </c>
      <c r="E392" s="6" t="s">
        <v>178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 t="shared" si="23"/>
        <v>12</v>
      </c>
      <c r="K392" s="17" t="s">
        <v>295</v>
      </c>
      <c r="L392" s="22"/>
      <c r="M392" s="25" t="s">
        <v>24</v>
      </c>
      <c r="N392" s="6" t="s">
        <v>169</v>
      </c>
      <c r="O392" s="30">
        <v>847200</v>
      </c>
      <c r="P392" s="30">
        <v>0</v>
      </c>
      <c r="Q392" s="31">
        <f t="shared" si="22"/>
        <v>847200</v>
      </c>
      <c r="R392" s="7">
        <v>46030</v>
      </c>
      <c r="S392" s="16">
        <f t="shared" si="24"/>
        <v>16</v>
      </c>
      <c r="T392" s="5" t="s">
        <v>788</v>
      </c>
      <c r="U392" s="34" t="s">
        <v>432</v>
      </c>
    </row>
    <row r="393" spans="1:21" s="18" customFormat="1" x14ac:dyDescent="0.35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179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 t="shared" si="23"/>
        <v>15</v>
      </c>
      <c r="K393" s="17" t="s">
        <v>295</v>
      </c>
      <c r="L393" s="22"/>
      <c r="M393" s="5" t="s">
        <v>24</v>
      </c>
      <c r="N393" s="6" t="s">
        <v>146</v>
      </c>
      <c r="O393" s="30">
        <v>0</v>
      </c>
      <c r="P393" s="30">
        <v>0</v>
      </c>
      <c r="Q393" s="31">
        <f t="shared" si="22"/>
        <v>0</v>
      </c>
      <c r="R393" s="7">
        <v>46030</v>
      </c>
      <c r="S393" s="16">
        <f t="shared" si="24"/>
        <v>15</v>
      </c>
      <c r="T393" s="5" t="s">
        <v>788</v>
      </c>
      <c r="U393" s="34" t="s">
        <v>433</v>
      </c>
    </row>
    <row r="394" spans="1:21" s="18" customFormat="1" x14ac:dyDescent="0.35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180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 t="shared" si="23"/>
        <v>15</v>
      </c>
      <c r="K394" s="17" t="s">
        <v>295</v>
      </c>
      <c r="L394" s="22"/>
      <c r="M394" s="5" t="s">
        <v>24</v>
      </c>
      <c r="N394" s="6" t="s">
        <v>28</v>
      </c>
      <c r="O394" s="31">
        <v>0</v>
      </c>
      <c r="P394" s="31">
        <v>0</v>
      </c>
      <c r="Q394" s="31">
        <f t="shared" si="22"/>
        <v>0</v>
      </c>
      <c r="R394" s="7">
        <v>46030</v>
      </c>
      <c r="S394" s="16">
        <f t="shared" si="24"/>
        <v>15</v>
      </c>
      <c r="T394" s="5" t="s">
        <v>788</v>
      </c>
      <c r="U394" s="34" t="s">
        <v>433</v>
      </c>
    </row>
    <row r="395" spans="1:21" x14ac:dyDescent="0.35">
      <c r="A395" s="6" t="s">
        <v>181</v>
      </c>
      <c r="B395" s="6" t="s">
        <v>19</v>
      </c>
      <c r="C395" s="6">
        <v>53756974</v>
      </c>
      <c r="D395" s="6" t="s">
        <v>170</v>
      </c>
      <c r="E395" s="6" t="s">
        <v>182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 t="shared" si="23"/>
        <v>38</v>
      </c>
      <c r="K395" s="17" t="s">
        <v>295</v>
      </c>
      <c r="L395" s="22"/>
      <c r="M395" s="5" t="s">
        <v>24</v>
      </c>
      <c r="N395" s="6" t="s">
        <v>28</v>
      </c>
      <c r="O395" s="25">
        <v>0</v>
      </c>
      <c r="P395" s="30">
        <v>1588888</v>
      </c>
      <c r="Q395" s="31">
        <f t="shared" si="22"/>
        <v>1588888</v>
      </c>
      <c r="R395" s="7">
        <v>46030</v>
      </c>
      <c r="S395" s="16">
        <f t="shared" si="24"/>
        <v>38</v>
      </c>
      <c r="T395" s="5" t="s">
        <v>788</v>
      </c>
      <c r="U395" s="34" t="s">
        <v>432</v>
      </c>
    </row>
    <row r="396" spans="1:21" x14ac:dyDescent="0.35">
      <c r="A396" s="6" t="s">
        <v>183</v>
      </c>
      <c r="B396" s="6" t="s">
        <v>19</v>
      </c>
      <c r="C396" s="6">
        <v>55949415</v>
      </c>
      <c r="D396" s="6" t="s">
        <v>184</v>
      </c>
      <c r="E396" s="6" t="s">
        <v>185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 t="shared" si="23"/>
        <v>9</v>
      </c>
      <c r="K396" s="17" t="s">
        <v>295</v>
      </c>
      <c r="L396" s="22"/>
      <c r="M396" s="5" t="s">
        <v>24</v>
      </c>
      <c r="N396" s="6" t="s">
        <v>28</v>
      </c>
      <c r="O396" s="25">
        <v>1480000</v>
      </c>
      <c r="P396" s="30">
        <v>0</v>
      </c>
      <c r="Q396" s="31">
        <f t="shared" si="22"/>
        <v>1480000</v>
      </c>
      <c r="R396" s="7">
        <v>46030</v>
      </c>
      <c r="S396" s="16">
        <f t="shared" si="24"/>
        <v>9</v>
      </c>
      <c r="T396" s="5" t="s">
        <v>788</v>
      </c>
      <c r="U396" s="34" t="s">
        <v>432</v>
      </c>
    </row>
    <row r="397" spans="1:21" x14ac:dyDescent="0.35">
      <c r="A397" s="6" t="s">
        <v>183</v>
      </c>
      <c r="B397" s="6" t="s">
        <v>19</v>
      </c>
      <c r="C397" s="19">
        <v>55950285</v>
      </c>
      <c r="D397" s="6" t="s">
        <v>184</v>
      </c>
      <c r="E397" s="6" t="s">
        <v>186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 t="shared" si="23"/>
        <v>9</v>
      </c>
      <c r="K397" s="17" t="s">
        <v>775</v>
      </c>
      <c r="L397" s="22"/>
      <c r="M397" s="5" t="s">
        <v>24</v>
      </c>
      <c r="N397" s="5" t="s">
        <v>28</v>
      </c>
      <c r="O397" s="31">
        <v>0</v>
      </c>
      <c r="P397" s="31">
        <v>0</v>
      </c>
      <c r="Q397" s="31">
        <f t="shared" si="22"/>
        <v>0</v>
      </c>
      <c r="R397" s="7">
        <v>46030</v>
      </c>
      <c r="S397" s="16">
        <f t="shared" si="24"/>
        <v>9</v>
      </c>
      <c r="T397" s="5" t="s">
        <v>788</v>
      </c>
      <c r="U397" s="34" t="s">
        <v>432</v>
      </c>
    </row>
    <row r="398" spans="1:21" x14ac:dyDescent="0.35">
      <c r="A398" s="61" t="s">
        <v>164</v>
      </c>
      <c r="B398" s="61" t="s">
        <v>43</v>
      </c>
      <c r="C398" s="70">
        <v>51915231</v>
      </c>
      <c r="D398" s="61" t="s">
        <v>165</v>
      </c>
      <c r="E398" s="61" t="s">
        <v>166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 t="shared" si="23"/>
        <v>60</v>
      </c>
      <c r="K398" s="64" t="s">
        <v>295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 t="shared" si="22"/>
        <v>2101520</v>
      </c>
      <c r="R398" s="65">
        <v>46029</v>
      </c>
      <c r="S398" s="16">
        <f t="shared" si="24"/>
        <v>62</v>
      </c>
      <c r="T398" s="5" t="s">
        <v>788</v>
      </c>
      <c r="U398" s="67" t="s">
        <v>432</v>
      </c>
    </row>
    <row r="399" spans="1:21" x14ac:dyDescent="0.35">
      <c r="A399" s="6" t="s">
        <v>167</v>
      </c>
      <c r="B399" s="6" t="s">
        <v>43</v>
      </c>
      <c r="C399" s="6">
        <v>55419204</v>
      </c>
      <c r="D399" s="6" t="s">
        <v>35</v>
      </c>
      <c r="E399" s="6" t="s">
        <v>168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 t="shared" si="23"/>
        <v>12</v>
      </c>
      <c r="K399" s="17" t="s">
        <v>295</v>
      </c>
      <c r="L399" s="22"/>
      <c r="M399" s="5" t="s">
        <v>24</v>
      </c>
      <c r="N399" s="6" t="s">
        <v>169</v>
      </c>
      <c r="O399" s="30">
        <v>1977000</v>
      </c>
      <c r="P399" s="30">
        <v>0</v>
      </c>
      <c r="Q399" s="31">
        <f t="shared" si="22"/>
        <v>1977000</v>
      </c>
      <c r="R399" s="7">
        <v>46029</v>
      </c>
      <c r="S399" s="16">
        <f t="shared" si="24"/>
        <v>15</v>
      </c>
      <c r="T399" s="5" t="s">
        <v>788</v>
      </c>
      <c r="U399" s="34" t="s">
        <v>432</v>
      </c>
    </row>
    <row r="400" spans="1:21" x14ac:dyDescent="0.35">
      <c r="A400" s="6" t="s">
        <v>167</v>
      </c>
      <c r="B400" s="6" t="s">
        <v>43</v>
      </c>
      <c r="C400" s="6">
        <v>55418406</v>
      </c>
      <c r="D400" s="6" t="s">
        <v>170</v>
      </c>
      <c r="E400" s="6" t="s">
        <v>171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 t="shared" si="23"/>
        <v>15</v>
      </c>
      <c r="K400" s="17" t="s">
        <v>295</v>
      </c>
      <c r="L400" s="22"/>
      <c r="M400" s="5" t="s">
        <v>24</v>
      </c>
      <c r="N400" s="6" t="s">
        <v>169</v>
      </c>
      <c r="O400" s="30">
        <v>1977000</v>
      </c>
      <c r="P400" s="30">
        <v>0</v>
      </c>
      <c r="Q400" s="31">
        <f t="shared" si="22"/>
        <v>1977000</v>
      </c>
      <c r="R400" s="7">
        <v>46029</v>
      </c>
      <c r="S400" s="16">
        <f t="shared" si="24"/>
        <v>15</v>
      </c>
      <c r="T400" s="5" t="s">
        <v>788</v>
      </c>
      <c r="U400" s="34" t="s">
        <v>432</v>
      </c>
    </row>
    <row r="401" spans="1:21" x14ac:dyDescent="0.35">
      <c r="A401" s="6" t="s">
        <v>161</v>
      </c>
      <c r="B401" s="6" t="s">
        <v>19</v>
      </c>
      <c r="C401" s="6">
        <v>53397829</v>
      </c>
      <c r="D401" s="6" t="s">
        <v>35</v>
      </c>
      <c r="E401" s="6" t="s">
        <v>162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 t="shared" si="23"/>
        <v>34</v>
      </c>
      <c r="K401" s="17" t="s">
        <v>295</v>
      </c>
      <c r="L401" s="17"/>
      <c r="M401" s="7" t="s">
        <v>24</v>
      </c>
      <c r="N401" s="6" t="s">
        <v>163</v>
      </c>
      <c r="O401" s="30">
        <v>3264000</v>
      </c>
      <c r="P401" s="30">
        <v>408000</v>
      </c>
      <c r="Q401" s="31">
        <f t="shared" si="22"/>
        <v>3672000</v>
      </c>
      <c r="R401" s="7">
        <v>46028</v>
      </c>
      <c r="S401" s="16">
        <f t="shared" si="24"/>
        <v>41</v>
      </c>
      <c r="T401" s="5" t="s">
        <v>788</v>
      </c>
      <c r="U401" s="34" t="s">
        <v>432</v>
      </c>
    </row>
    <row r="402" spans="1:21" x14ac:dyDescent="0.35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157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 t="shared" si="23"/>
        <v>11</v>
      </c>
      <c r="K402" s="17" t="s">
        <v>295</v>
      </c>
      <c r="L402" s="17"/>
      <c r="M402" s="7" t="s">
        <v>24</v>
      </c>
      <c r="N402" s="6" t="s">
        <v>28</v>
      </c>
      <c r="O402" s="30">
        <v>0</v>
      </c>
      <c r="P402" s="30">
        <v>0</v>
      </c>
      <c r="Q402" s="31">
        <f t="shared" si="22"/>
        <v>0</v>
      </c>
      <c r="R402" s="7">
        <v>46027</v>
      </c>
      <c r="S402" s="16">
        <f t="shared" si="24"/>
        <v>12</v>
      </c>
      <c r="T402" s="5" t="s">
        <v>788</v>
      </c>
      <c r="U402" s="34" t="s">
        <v>433</v>
      </c>
    </row>
    <row r="403" spans="1:21" x14ac:dyDescent="0.35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158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 t="shared" si="23"/>
        <v>11</v>
      </c>
      <c r="K403" s="17" t="s">
        <v>295</v>
      </c>
      <c r="L403" s="17"/>
      <c r="M403" s="7" t="s">
        <v>24</v>
      </c>
      <c r="N403" s="6" t="s">
        <v>146</v>
      </c>
      <c r="O403" s="30">
        <v>0</v>
      </c>
      <c r="P403" s="30">
        <v>0</v>
      </c>
      <c r="Q403" s="31">
        <f t="shared" si="22"/>
        <v>0</v>
      </c>
      <c r="R403" s="7">
        <v>46027</v>
      </c>
      <c r="S403" s="16">
        <f t="shared" si="24"/>
        <v>12</v>
      </c>
      <c r="T403" s="5" t="s">
        <v>788</v>
      </c>
      <c r="U403" s="34" t="s">
        <v>433</v>
      </c>
    </row>
    <row r="404" spans="1:21" ht="36" x14ac:dyDescent="0.35">
      <c r="A404" s="4" t="s">
        <v>159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 t="shared" si="23"/>
        <v>31</v>
      </c>
      <c r="K404" s="17" t="s">
        <v>295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 t="shared" si="22"/>
        <v>341435</v>
      </c>
      <c r="R404" s="7">
        <v>46027</v>
      </c>
      <c r="S404" s="16">
        <f t="shared" si="24"/>
        <v>31</v>
      </c>
      <c r="T404" s="5" t="s">
        <v>788</v>
      </c>
      <c r="U404" s="34" t="s">
        <v>432</v>
      </c>
    </row>
    <row r="405" spans="1:21" x14ac:dyDescent="0.35">
      <c r="A405" s="4" t="s">
        <v>160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 t="shared" si="23"/>
        <v>28</v>
      </c>
      <c r="K405" s="17" t="s">
        <v>295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 t="shared" si="22"/>
        <v>190000</v>
      </c>
      <c r="R405" s="7">
        <v>46027</v>
      </c>
      <c r="S405" s="16">
        <f t="shared" si="24"/>
        <v>28</v>
      </c>
      <c r="T405" s="5" t="s">
        <v>788</v>
      </c>
      <c r="U405" s="34" t="s">
        <v>432</v>
      </c>
    </row>
    <row r="406" spans="1:21" x14ac:dyDescent="0.35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 t="shared" si="23"/>
        <v>4</v>
      </c>
      <c r="K406" s="17" t="s">
        <v>295</v>
      </c>
      <c r="L406" s="17"/>
      <c r="M406" s="7" t="s">
        <v>24</v>
      </c>
      <c r="N406" s="17" t="s">
        <v>28</v>
      </c>
      <c r="O406" s="29">
        <v>0</v>
      </c>
      <c r="P406" s="29">
        <v>0</v>
      </c>
      <c r="Q406" s="29">
        <f t="shared" si="22"/>
        <v>0</v>
      </c>
      <c r="R406" s="7">
        <v>46024</v>
      </c>
      <c r="S406" s="16">
        <f t="shared" si="24"/>
        <v>11</v>
      </c>
      <c r="T406" s="5" t="s">
        <v>786</v>
      </c>
      <c r="U406" s="34" t="s">
        <v>433</v>
      </c>
    </row>
    <row r="407" spans="1:21" x14ac:dyDescent="0.35">
      <c r="A407" s="1" t="s">
        <v>155</v>
      </c>
      <c r="B407" s="6" t="s">
        <v>85</v>
      </c>
      <c r="C407" s="1">
        <v>54831027</v>
      </c>
      <c r="D407" s="6" t="s">
        <v>156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 t="shared" si="23"/>
        <v>17</v>
      </c>
      <c r="K407" s="17" t="s">
        <v>295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 t="shared" si="22"/>
        <v>1231750</v>
      </c>
      <c r="R407" s="7">
        <v>46024</v>
      </c>
      <c r="S407" s="16">
        <f t="shared" si="24"/>
        <v>19</v>
      </c>
      <c r="T407" s="5" t="s">
        <v>786</v>
      </c>
      <c r="U407" s="34" t="s">
        <v>432</v>
      </c>
    </row>
    <row r="408" spans="1:21" x14ac:dyDescent="0.35">
      <c r="A408" s="6" t="s">
        <v>793</v>
      </c>
      <c r="B408" s="55" t="s">
        <v>19</v>
      </c>
      <c r="C408" s="55">
        <v>63720023</v>
      </c>
      <c r="D408" s="55" t="s">
        <v>741</v>
      </c>
      <c r="E408" s="55" t="s">
        <v>794</v>
      </c>
      <c r="F408" s="55" t="s">
        <v>46</v>
      </c>
      <c r="G408" s="55" t="s">
        <v>40</v>
      </c>
      <c r="H408" s="56">
        <v>46164</v>
      </c>
      <c r="I408" s="56">
        <v>46176</v>
      </c>
      <c r="J408" s="16">
        <f t="shared" si="23"/>
        <v>9</v>
      </c>
      <c r="K408" s="6" t="s">
        <v>295</v>
      </c>
      <c r="L408" s="6" t="s">
        <v>296</v>
      </c>
      <c r="M408" s="6" t="s">
        <v>24</v>
      </c>
      <c r="N408" s="6" t="s">
        <v>72</v>
      </c>
      <c r="O408" s="6">
        <v>0</v>
      </c>
      <c r="P408" s="6">
        <v>0</v>
      </c>
      <c r="Q408" s="12">
        <v>0</v>
      </c>
      <c r="R408" s="8">
        <v>46178</v>
      </c>
      <c r="S408" s="16">
        <f t="shared" si="24"/>
        <v>11</v>
      </c>
      <c r="T408" s="6" t="s">
        <v>785</v>
      </c>
      <c r="U408" s="6" t="s">
        <v>537</v>
      </c>
    </row>
    <row r="409" spans="1:21" x14ac:dyDescent="0.35">
      <c r="A409" s="6" t="s">
        <v>793</v>
      </c>
      <c r="B409" s="55" t="s">
        <v>19</v>
      </c>
      <c r="C409" s="55">
        <v>63720018</v>
      </c>
      <c r="D409" s="55" t="s">
        <v>741</v>
      </c>
      <c r="E409" s="55" t="s">
        <v>795</v>
      </c>
      <c r="F409" s="55" t="s">
        <v>46</v>
      </c>
      <c r="G409" s="55" t="s">
        <v>37</v>
      </c>
      <c r="H409" s="56">
        <v>46164</v>
      </c>
      <c r="I409" s="56">
        <v>46176</v>
      </c>
      <c r="J409" s="16">
        <f t="shared" si="23"/>
        <v>9</v>
      </c>
      <c r="K409" s="6" t="s">
        <v>295</v>
      </c>
      <c r="L409" s="6" t="s">
        <v>296</v>
      </c>
      <c r="M409" s="6" t="s">
        <v>24</v>
      </c>
      <c r="N409" s="6" t="s">
        <v>72</v>
      </c>
      <c r="O409" s="6">
        <v>0</v>
      </c>
      <c r="P409" s="6">
        <v>0</v>
      </c>
      <c r="Q409" s="12">
        <v>0</v>
      </c>
      <c r="R409" s="8">
        <v>46178</v>
      </c>
      <c r="S409" s="16">
        <f t="shared" si="24"/>
        <v>11</v>
      </c>
      <c r="T409" s="6" t="s">
        <v>785</v>
      </c>
      <c r="U409" s="6" t="s">
        <v>537</v>
      </c>
    </row>
    <row r="410" spans="1:21" x14ac:dyDescent="0.35">
      <c r="A410" s="6" t="s">
        <v>796</v>
      </c>
      <c r="B410" s="55" t="s">
        <v>19</v>
      </c>
      <c r="C410" s="55">
        <v>64027227</v>
      </c>
      <c r="D410" s="55" t="s">
        <v>20</v>
      </c>
      <c r="E410" s="55" t="s">
        <v>797</v>
      </c>
      <c r="F410" s="55" t="s">
        <v>46</v>
      </c>
      <c r="G410" s="55" t="s">
        <v>23</v>
      </c>
      <c r="H410" s="56">
        <v>46171</v>
      </c>
      <c r="I410" s="56">
        <v>46178</v>
      </c>
      <c r="J410" s="16">
        <f t="shared" si="23"/>
        <v>6</v>
      </c>
      <c r="K410" s="6" t="s">
        <v>295</v>
      </c>
      <c r="L410" s="6" t="s">
        <v>296</v>
      </c>
      <c r="M410" s="6" t="s">
        <v>24</v>
      </c>
      <c r="N410" s="6" t="s">
        <v>92</v>
      </c>
      <c r="O410" s="6">
        <v>0</v>
      </c>
      <c r="P410" s="6">
        <v>0</v>
      </c>
      <c r="Q410" s="12">
        <v>0</v>
      </c>
      <c r="R410" s="8">
        <v>46178</v>
      </c>
      <c r="S410" s="16">
        <f t="shared" si="24"/>
        <v>6</v>
      </c>
      <c r="T410" s="6" t="s">
        <v>785</v>
      </c>
      <c r="U410" s="6" t="s">
        <v>537</v>
      </c>
    </row>
    <row r="411" spans="1:21" x14ac:dyDescent="0.35">
      <c r="A411" s="6" t="s">
        <v>798</v>
      </c>
      <c r="B411" s="55" t="s">
        <v>19</v>
      </c>
      <c r="C411" s="55">
        <v>63702675</v>
      </c>
      <c r="D411" s="55" t="s">
        <v>670</v>
      </c>
      <c r="E411" s="55" t="s">
        <v>799</v>
      </c>
      <c r="F411" s="55" t="s">
        <v>46</v>
      </c>
      <c r="G411" s="55" t="s">
        <v>23</v>
      </c>
      <c r="H411" s="56">
        <v>46164</v>
      </c>
      <c r="I411" s="56">
        <v>46176</v>
      </c>
      <c r="J411" s="16">
        <f t="shared" si="23"/>
        <v>9</v>
      </c>
      <c r="K411" s="6" t="s">
        <v>295</v>
      </c>
      <c r="L411" s="6" t="s">
        <v>296</v>
      </c>
      <c r="M411" s="6" t="s">
        <v>24</v>
      </c>
      <c r="N411" s="6" t="s">
        <v>28</v>
      </c>
      <c r="O411" s="6">
        <v>0</v>
      </c>
      <c r="P411" s="6">
        <v>612500</v>
      </c>
      <c r="Q411" s="12">
        <v>612500</v>
      </c>
      <c r="R411" s="8">
        <v>46178</v>
      </c>
      <c r="S411" s="16">
        <f t="shared" si="24"/>
        <v>11</v>
      </c>
      <c r="T411" s="6" t="s">
        <v>785</v>
      </c>
      <c r="U411" s="6" t="s">
        <v>537</v>
      </c>
    </row>
    <row r="412" spans="1:21" x14ac:dyDescent="0.35">
      <c r="A412" s="6" t="s">
        <v>800</v>
      </c>
      <c r="B412" s="55" t="s">
        <v>30</v>
      </c>
      <c r="C412" s="55">
        <v>63495969</v>
      </c>
      <c r="D412" s="55" t="s">
        <v>20</v>
      </c>
      <c r="E412" s="55">
        <v>2722560180</v>
      </c>
      <c r="F412" s="55" t="s">
        <v>32</v>
      </c>
      <c r="G412" s="55" t="s">
        <v>23</v>
      </c>
      <c r="H412" s="56">
        <v>46160</v>
      </c>
      <c r="I412" s="56">
        <v>46177</v>
      </c>
      <c r="J412" s="16">
        <f t="shared" si="23"/>
        <v>14</v>
      </c>
      <c r="K412" s="55" t="s">
        <v>295</v>
      </c>
      <c r="L412" s="55" t="s">
        <v>296</v>
      </c>
      <c r="M412" s="55" t="s">
        <v>24</v>
      </c>
      <c r="N412" s="55" t="s">
        <v>56</v>
      </c>
      <c r="O412" s="55">
        <v>360000</v>
      </c>
      <c r="P412" s="55">
        <v>152495</v>
      </c>
      <c r="Q412" s="59">
        <v>512495</v>
      </c>
      <c r="R412" s="56">
        <v>46178</v>
      </c>
      <c r="S412" s="16">
        <f t="shared" si="24"/>
        <v>15</v>
      </c>
      <c r="T412" s="6" t="s">
        <v>785</v>
      </c>
      <c r="U412" s="6" t="s">
        <v>537</v>
      </c>
    </row>
    <row r="413" spans="1:21" x14ac:dyDescent="0.35">
      <c r="A413" s="6" t="s">
        <v>801</v>
      </c>
      <c r="B413" s="55" t="s">
        <v>30</v>
      </c>
      <c r="C413" s="55">
        <v>63986830</v>
      </c>
      <c r="D413" s="55" t="s">
        <v>49</v>
      </c>
      <c r="E413" s="55">
        <v>2721288558</v>
      </c>
      <c r="F413" s="55" t="s">
        <v>32</v>
      </c>
      <c r="G413" s="55" t="s">
        <v>23</v>
      </c>
      <c r="H413" s="56">
        <v>46170</v>
      </c>
      <c r="I413" s="56">
        <v>46178</v>
      </c>
      <c r="J413" s="16">
        <f t="shared" si="23"/>
        <v>7</v>
      </c>
      <c r="K413" s="55" t="s">
        <v>295</v>
      </c>
      <c r="L413" s="55" t="s">
        <v>296</v>
      </c>
      <c r="M413" s="55" t="s">
        <v>47</v>
      </c>
      <c r="N413" s="55" t="s">
        <v>33</v>
      </c>
      <c r="O413" s="55">
        <v>60000</v>
      </c>
      <c r="P413" s="55">
        <v>0</v>
      </c>
      <c r="Q413" s="59">
        <v>60000</v>
      </c>
      <c r="R413" s="56">
        <v>46178</v>
      </c>
      <c r="S413" s="16">
        <f t="shared" si="24"/>
        <v>7</v>
      </c>
      <c r="T413" s="6" t="s">
        <v>785</v>
      </c>
      <c r="U413" s="6" t="s">
        <v>537</v>
      </c>
    </row>
    <row r="414" spans="1:21" x14ac:dyDescent="0.35">
      <c r="A414" s="6" t="s">
        <v>802</v>
      </c>
      <c r="B414" s="55" t="s">
        <v>19</v>
      </c>
      <c r="C414" s="55">
        <v>63535613</v>
      </c>
      <c r="D414" s="55" t="s">
        <v>20</v>
      </c>
      <c r="E414" s="55" t="s">
        <v>803</v>
      </c>
      <c r="F414" s="55" t="s">
        <v>22</v>
      </c>
      <c r="G414" s="55" t="s">
        <v>23</v>
      </c>
      <c r="H414" s="56">
        <v>46161</v>
      </c>
      <c r="I414" s="56">
        <v>46177</v>
      </c>
      <c r="J414" s="16">
        <f t="shared" si="23"/>
        <v>13</v>
      </c>
      <c r="K414" s="55" t="s">
        <v>295</v>
      </c>
      <c r="L414" s="55" t="s">
        <v>296</v>
      </c>
      <c r="M414" s="55" t="s">
        <v>24</v>
      </c>
      <c r="N414" s="55" t="s">
        <v>174</v>
      </c>
      <c r="O414" s="55">
        <v>277235</v>
      </c>
      <c r="P414" s="55">
        <v>147989</v>
      </c>
      <c r="Q414" s="59">
        <v>425224</v>
      </c>
      <c r="R414" s="56">
        <v>46181</v>
      </c>
      <c r="S414" s="16">
        <f t="shared" si="24"/>
        <v>15</v>
      </c>
      <c r="T414" s="55" t="s">
        <v>815</v>
      </c>
      <c r="U414" s="55" t="s">
        <v>537</v>
      </c>
    </row>
    <row r="415" spans="1:21" x14ac:dyDescent="0.35">
      <c r="A415" s="6" t="s">
        <v>804</v>
      </c>
      <c r="B415" s="55" t="s">
        <v>19</v>
      </c>
      <c r="C415" s="55">
        <v>64257153</v>
      </c>
      <c r="D415" s="55" t="s">
        <v>35</v>
      </c>
      <c r="E415" s="55" t="s">
        <v>805</v>
      </c>
      <c r="F415" s="55" t="s">
        <v>22</v>
      </c>
      <c r="G415" s="55" t="s">
        <v>23</v>
      </c>
      <c r="H415" s="56">
        <v>46176</v>
      </c>
      <c r="I415" s="56">
        <v>46178</v>
      </c>
      <c r="J415" s="16">
        <f t="shared" si="23"/>
        <v>3</v>
      </c>
      <c r="K415" s="55" t="s">
        <v>295</v>
      </c>
      <c r="L415" s="55" t="s">
        <v>296</v>
      </c>
      <c r="M415" s="55" t="s">
        <v>24</v>
      </c>
      <c r="N415" s="55" t="s">
        <v>38</v>
      </c>
      <c r="O415" s="55">
        <v>800000</v>
      </c>
      <c r="P415" s="55">
        <v>887301</v>
      </c>
      <c r="Q415" s="59">
        <v>1687301</v>
      </c>
      <c r="R415" s="56">
        <v>46182</v>
      </c>
      <c r="S415" s="16">
        <f t="shared" si="24"/>
        <v>5</v>
      </c>
      <c r="T415" s="55" t="s">
        <v>815</v>
      </c>
      <c r="U415" s="55" t="s">
        <v>537</v>
      </c>
    </row>
    <row r="416" spans="1:21" x14ac:dyDescent="0.35">
      <c r="A416" s="6" t="s">
        <v>806</v>
      </c>
      <c r="B416" s="55" t="s">
        <v>19</v>
      </c>
      <c r="C416" s="55">
        <v>63643964</v>
      </c>
      <c r="D416" s="55" t="s">
        <v>807</v>
      </c>
      <c r="E416" s="55" t="s">
        <v>808</v>
      </c>
      <c r="F416" s="55" t="s">
        <v>22</v>
      </c>
      <c r="G416" s="55" t="s">
        <v>23</v>
      </c>
      <c r="H416" s="56">
        <v>46163</v>
      </c>
      <c r="I416" s="56">
        <v>46178</v>
      </c>
      <c r="J416" s="16">
        <f t="shared" si="23"/>
        <v>12</v>
      </c>
      <c r="K416" s="55" t="s">
        <v>295</v>
      </c>
      <c r="L416" s="55" t="s">
        <v>296</v>
      </c>
      <c r="M416" s="55" t="s">
        <v>24</v>
      </c>
      <c r="N416" s="55" t="s">
        <v>53</v>
      </c>
      <c r="O416" s="55">
        <v>1000000</v>
      </c>
      <c r="P416" s="55">
        <v>510000</v>
      </c>
      <c r="Q416" s="59">
        <v>1510000</v>
      </c>
      <c r="R416" s="56">
        <v>46181</v>
      </c>
      <c r="S416" s="16">
        <f t="shared" si="24"/>
        <v>13</v>
      </c>
      <c r="T416" s="55" t="s">
        <v>815</v>
      </c>
      <c r="U416" s="55" t="s">
        <v>537</v>
      </c>
    </row>
    <row r="417" spans="1:21" x14ac:dyDescent="0.35">
      <c r="A417" s="6" t="s">
        <v>318</v>
      </c>
      <c r="B417" s="55" t="s">
        <v>19</v>
      </c>
      <c r="C417" s="55">
        <v>64028024</v>
      </c>
      <c r="D417" s="55" t="s">
        <v>435</v>
      </c>
      <c r="E417" s="55" t="s">
        <v>809</v>
      </c>
      <c r="F417" s="55" t="s">
        <v>46</v>
      </c>
      <c r="G417" s="55" t="s">
        <v>23</v>
      </c>
      <c r="H417" s="56">
        <v>46171</v>
      </c>
      <c r="I417" s="56">
        <v>46181</v>
      </c>
      <c r="J417" s="16">
        <f t="shared" si="23"/>
        <v>7</v>
      </c>
      <c r="K417" s="55" t="s">
        <v>295</v>
      </c>
      <c r="L417" s="55" t="s">
        <v>296</v>
      </c>
      <c r="M417" s="6" t="s">
        <v>24</v>
      </c>
      <c r="N417" s="55" t="s">
        <v>38</v>
      </c>
      <c r="O417" s="55">
        <v>0</v>
      </c>
      <c r="P417" s="55">
        <v>0</v>
      </c>
      <c r="Q417" s="59">
        <v>0</v>
      </c>
      <c r="R417" s="56">
        <v>46182</v>
      </c>
      <c r="S417" s="16">
        <f t="shared" si="24"/>
        <v>8</v>
      </c>
      <c r="T417" s="55" t="s">
        <v>815</v>
      </c>
      <c r="U417" s="55" t="s">
        <v>433</v>
      </c>
    </row>
    <row r="418" spans="1:21" x14ac:dyDescent="0.35">
      <c r="A418" s="6" t="s">
        <v>810</v>
      </c>
      <c r="B418" s="55" t="s">
        <v>19</v>
      </c>
      <c r="C418" s="55">
        <v>62672234</v>
      </c>
      <c r="D418" s="55" t="s">
        <v>49</v>
      </c>
      <c r="E418" s="55" t="s">
        <v>811</v>
      </c>
      <c r="F418" s="55" t="s">
        <v>46</v>
      </c>
      <c r="G418" s="55" t="s">
        <v>40</v>
      </c>
      <c r="H418" s="56">
        <v>46146</v>
      </c>
      <c r="I418" s="56">
        <v>46182</v>
      </c>
      <c r="J418" s="16">
        <f t="shared" si="23"/>
        <v>27</v>
      </c>
      <c r="K418" s="55" t="s">
        <v>295</v>
      </c>
      <c r="L418" s="55" t="s">
        <v>318</v>
      </c>
      <c r="M418" s="6" t="s">
        <v>24</v>
      </c>
      <c r="N418" s="55" t="s">
        <v>38</v>
      </c>
      <c r="O418" s="55">
        <v>0</v>
      </c>
      <c r="P418" s="55">
        <v>0</v>
      </c>
      <c r="Q418" s="59">
        <v>0</v>
      </c>
      <c r="R418" s="56">
        <v>46182</v>
      </c>
      <c r="S418" s="16">
        <f t="shared" si="24"/>
        <v>27</v>
      </c>
      <c r="T418" s="55" t="s">
        <v>815</v>
      </c>
      <c r="U418" s="55" t="s">
        <v>433</v>
      </c>
    </row>
    <row r="419" spans="1:21" x14ac:dyDescent="0.35">
      <c r="A419" s="6" t="s">
        <v>812</v>
      </c>
      <c r="B419" s="55" t="s">
        <v>30</v>
      </c>
      <c r="C419" s="55">
        <v>63443742</v>
      </c>
      <c r="D419" s="55" t="s">
        <v>67</v>
      </c>
      <c r="E419" s="55">
        <v>2721712140</v>
      </c>
      <c r="F419" s="55" t="s">
        <v>32</v>
      </c>
      <c r="G419" s="55" t="s">
        <v>23</v>
      </c>
      <c r="H419" s="56">
        <v>46160</v>
      </c>
      <c r="I419" s="56">
        <v>46178</v>
      </c>
      <c r="J419" s="16">
        <f t="shared" si="23"/>
        <v>15</v>
      </c>
      <c r="K419" s="55" t="s">
        <v>295</v>
      </c>
      <c r="L419" s="55" t="s">
        <v>296</v>
      </c>
      <c r="M419" s="55" t="s">
        <v>24</v>
      </c>
      <c r="N419" s="55" t="s">
        <v>41</v>
      </c>
      <c r="O419" s="55">
        <v>570000</v>
      </c>
      <c r="P419" s="55">
        <v>141635</v>
      </c>
      <c r="Q419" s="59">
        <v>711635</v>
      </c>
      <c r="R419" s="56">
        <v>46182</v>
      </c>
      <c r="S419" s="16">
        <f t="shared" si="24"/>
        <v>17</v>
      </c>
      <c r="T419" s="55" t="s">
        <v>815</v>
      </c>
      <c r="U419" s="55" t="s">
        <v>537</v>
      </c>
    </row>
    <row r="420" spans="1:21" s="18" customFormat="1" x14ac:dyDescent="0.35">
      <c r="A420" s="6" t="s">
        <v>141</v>
      </c>
      <c r="B420" s="6" t="s">
        <v>43</v>
      </c>
      <c r="C420" s="6">
        <v>63519784</v>
      </c>
      <c r="D420" s="6" t="s">
        <v>813</v>
      </c>
      <c r="E420" s="6" t="s">
        <v>814</v>
      </c>
      <c r="F420" s="6" t="s">
        <v>22</v>
      </c>
      <c r="G420" s="6" t="s">
        <v>23</v>
      </c>
      <c r="H420" s="8">
        <v>46161</v>
      </c>
      <c r="I420" s="8">
        <v>46182</v>
      </c>
      <c r="J420" s="16">
        <f t="shared" si="23"/>
        <v>16</v>
      </c>
      <c r="K420" s="6" t="s">
        <v>295</v>
      </c>
      <c r="L420" s="6" t="s">
        <v>296</v>
      </c>
      <c r="M420" s="6" t="s">
        <v>24</v>
      </c>
      <c r="N420" s="6" t="s">
        <v>38</v>
      </c>
      <c r="O420" s="6">
        <v>1400000</v>
      </c>
      <c r="P420" s="6">
        <v>1287617</v>
      </c>
      <c r="Q420" s="12">
        <v>2687617</v>
      </c>
      <c r="R420" s="8">
        <v>46183</v>
      </c>
      <c r="S420" s="16">
        <f t="shared" si="24"/>
        <v>17</v>
      </c>
      <c r="T420" s="6" t="s">
        <v>815</v>
      </c>
      <c r="U420" s="6" t="s">
        <v>537</v>
      </c>
    </row>
    <row r="421" spans="1:21" s="18" customFormat="1" x14ac:dyDescent="0.35">
      <c r="A421" s="6" t="s">
        <v>816</v>
      </c>
      <c r="B421" s="6" t="s">
        <v>30</v>
      </c>
      <c r="C421" s="6">
        <v>63073782</v>
      </c>
      <c r="D421" s="6" t="s">
        <v>20</v>
      </c>
      <c r="E421" s="6">
        <v>2722220590</v>
      </c>
      <c r="F421" s="6" t="s">
        <v>32</v>
      </c>
      <c r="G421" s="6" t="s">
        <v>23</v>
      </c>
      <c r="H421" s="8">
        <v>46153</v>
      </c>
      <c r="I421" s="8">
        <v>46183</v>
      </c>
      <c r="J421" s="16">
        <f t="shared" si="23"/>
        <v>23</v>
      </c>
      <c r="K421" s="6" t="s">
        <v>295</v>
      </c>
      <c r="L421" s="6" t="s">
        <v>302</v>
      </c>
      <c r="M421" s="6" t="s">
        <v>24</v>
      </c>
      <c r="N421" s="6" t="s">
        <v>33</v>
      </c>
      <c r="O421" s="6">
        <v>150000</v>
      </c>
      <c r="P421" s="6">
        <v>40000</v>
      </c>
      <c r="Q421" s="12">
        <v>190000</v>
      </c>
      <c r="R421" s="8">
        <v>46184</v>
      </c>
      <c r="S421" s="16">
        <f t="shared" si="24"/>
        <v>24</v>
      </c>
      <c r="T421" s="6" t="s">
        <v>815</v>
      </c>
      <c r="U421" s="6" t="s">
        <v>537</v>
      </c>
    </row>
    <row r="422" spans="1:21" s="18" customFormat="1" x14ac:dyDescent="0.35">
      <c r="A422" s="6" t="s">
        <v>817</v>
      </c>
      <c r="B422" s="6" t="s">
        <v>19</v>
      </c>
      <c r="C422" s="6">
        <v>59466514</v>
      </c>
      <c r="D422" s="6" t="s">
        <v>87</v>
      </c>
      <c r="E422" s="6" t="s">
        <v>818</v>
      </c>
      <c r="F422" s="6" t="s">
        <v>22</v>
      </c>
      <c r="G422" s="6" t="s">
        <v>37</v>
      </c>
      <c r="H422" s="8">
        <v>46087</v>
      </c>
      <c r="I422" s="8">
        <v>46183</v>
      </c>
      <c r="J422" s="16">
        <f t="shared" si="23"/>
        <v>69</v>
      </c>
      <c r="K422" s="6" t="s">
        <v>295</v>
      </c>
      <c r="L422" s="6" t="s">
        <v>318</v>
      </c>
      <c r="M422" s="6" t="s">
        <v>24</v>
      </c>
      <c r="N422" s="6" t="s">
        <v>117</v>
      </c>
      <c r="O422" s="6">
        <v>3213390</v>
      </c>
      <c r="P422" s="6">
        <v>200000</v>
      </c>
      <c r="Q422" s="12">
        <v>3413390</v>
      </c>
      <c r="R422" s="8">
        <v>46184</v>
      </c>
      <c r="S422" s="16">
        <f t="shared" si="24"/>
        <v>70</v>
      </c>
      <c r="T422" s="6" t="s">
        <v>815</v>
      </c>
      <c r="U422" s="6" t="s">
        <v>537</v>
      </c>
    </row>
    <row r="423" spans="1:21" s="18" customFormat="1" x14ac:dyDescent="0.35">
      <c r="A423" s="6" t="s">
        <v>819</v>
      </c>
      <c r="B423" s="6" t="s">
        <v>43</v>
      </c>
      <c r="C423" s="6">
        <v>62898569</v>
      </c>
      <c r="D423" s="6" t="s">
        <v>702</v>
      </c>
      <c r="E423" s="6" t="s">
        <v>820</v>
      </c>
      <c r="F423" s="6" t="s">
        <v>46</v>
      </c>
      <c r="G423" s="6" t="s">
        <v>23</v>
      </c>
      <c r="H423" s="8">
        <v>46149</v>
      </c>
      <c r="I423" s="8">
        <v>46182</v>
      </c>
      <c r="J423" s="16">
        <f t="shared" si="23"/>
        <v>24</v>
      </c>
      <c r="K423" s="6" t="s">
        <v>295</v>
      </c>
      <c r="L423" s="6" t="s">
        <v>296</v>
      </c>
      <c r="M423" s="6" t="s">
        <v>24</v>
      </c>
      <c r="N423" s="6" t="s">
        <v>191</v>
      </c>
      <c r="O423" s="6">
        <v>1400000</v>
      </c>
      <c r="P423" s="6">
        <v>0</v>
      </c>
      <c r="Q423" s="12">
        <v>1400000</v>
      </c>
      <c r="R423" s="8">
        <v>46185</v>
      </c>
      <c r="S423" s="16">
        <f t="shared" si="24"/>
        <v>27</v>
      </c>
      <c r="T423" s="6" t="s">
        <v>815</v>
      </c>
      <c r="U423" s="6" t="s">
        <v>537</v>
      </c>
    </row>
    <row r="424" spans="1:21" s="18" customFormat="1" x14ac:dyDescent="0.35">
      <c r="A424" s="6" t="s">
        <v>42</v>
      </c>
      <c r="B424" s="6" t="s">
        <v>43</v>
      </c>
      <c r="C424" s="6">
        <v>63451685</v>
      </c>
      <c r="D424" s="6" t="s">
        <v>821</v>
      </c>
      <c r="E424" s="6" t="s">
        <v>822</v>
      </c>
      <c r="F424" s="6" t="s">
        <v>46</v>
      </c>
      <c r="G424" s="6" t="s">
        <v>23</v>
      </c>
      <c r="H424" s="8">
        <v>46160</v>
      </c>
      <c r="I424" s="8">
        <v>46183</v>
      </c>
      <c r="J424" s="16">
        <f t="shared" si="23"/>
        <v>18</v>
      </c>
      <c r="K424" s="6" t="s">
        <v>295</v>
      </c>
      <c r="L424" s="6" t="s">
        <v>296</v>
      </c>
      <c r="M424" s="6" t="s">
        <v>24</v>
      </c>
      <c r="N424" s="6" t="s">
        <v>48</v>
      </c>
      <c r="O424" s="6">
        <v>2000000</v>
      </c>
      <c r="P424" s="6">
        <v>462000</v>
      </c>
      <c r="Q424" s="12">
        <v>2462000</v>
      </c>
      <c r="R424" s="8">
        <v>46185</v>
      </c>
      <c r="S424" s="16">
        <f t="shared" si="24"/>
        <v>20</v>
      </c>
      <c r="T424" s="6" t="s">
        <v>815</v>
      </c>
      <c r="U424" s="6" t="s">
        <v>537</v>
      </c>
    </row>
    <row r="425" spans="1:21" x14ac:dyDescent="0.35">
      <c r="A425" s="6" t="s">
        <v>798</v>
      </c>
      <c r="B425" s="55" t="s">
        <v>30</v>
      </c>
      <c r="C425" s="55">
        <v>63674987</v>
      </c>
      <c r="D425" s="55" t="s">
        <v>670</v>
      </c>
      <c r="E425" s="55">
        <v>2723540540</v>
      </c>
      <c r="F425" s="55" t="s">
        <v>32</v>
      </c>
      <c r="G425" s="55" t="s">
        <v>23</v>
      </c>
      <c r="H425" s="56">
        <v>46163</v>
      </c>
      <c r="I425" s="56">
        <v>46185</v>
      </c>
      <c r="J425" s="16">
        <f t="shared" si="23"/>
        <v>17</v>
      </c>
      <c r="K425" s="55" t="s">
        <v>295</v>
      </c>
      <c r="L425" s="55" t="s">
        <v>296</v>
      </c>
      <c r="M425" s="55" t="s">
        <v>24</v>
      </c>
      <c r="N425" s="55" t="s">
        <v>56</v>
      </c>
      <c r="O425" s="55">
        <v>270000</v>
      </c>
      <c r="P425" s="55">
        <v>111435</v>
      </c>
      <c r="Q425" s="59">
        <v>381435</v>
      </c>
      <c r="R425" s="56">
        <v>46185</v>
      </c>
      <c r="S425" s="16">
        <f t="shared" si="24"/>
        <v>17</v>
      </c>
      <c r="T425" s="6" t="s">
        <v>815</v>
      </c>
      <c r="U425" s="6" t="s">
        <v>537</v>
      </c>
    </row>
    <row r="426" spans="1:21" x14ac:dyDescent="0.35">
      <c r="A426" s="6" t="s">
        <v>318</v>
      </c>
      <c r="B426" s="55" t="s">
        <v>43</v>
      </c>
      <c r="C426" s="55">
        <v>64029495</v>
      </c>
      <c r="D426" s="55" t="s">
        <v>20</v>
      </c>
      <c r="E426" s="55" t="s">
        <v>823</v>
      </c>
      <c r="F426" s="55" t="s">
        <v>46</v>
      </c>
      <c r="G426" s="55" t="s">
        <v>23</v>
      </c>
      <c r="H426" s="56">
        <v>46171</v>
      </c>
      <c r="I426" s="56">
        <v>46185</v>
      </c>
      <c r="J426" s="16">
        <f t="shared" si="23"/>
        <v>11</v>
      </c>
      <c r="K426" s="55" t="s">
        <v>295</v>
      </c>
      <c r="L426" s="58" t="s">
        <v>296</v>
      </c>
      <c r="M426" s="58" t="s">
        <v>24</v>
      </c>
      <c r="N426" s="58" t="s">
        <v>146</v>
      </c>
      <c r="O426" s="57">
        <v>0</v>
      </c>
      <c r="P426" s="57">
        <v>0</v>
      </c>
      <c r="Q426" s="57">
        <f>P426+O426</f>
        <v>0</v>
      </c>
      <c r="R426" s="60">
        <v>46185</v>
      </c>
      <c r="S426" s="16">
        <f t="shared" si="24"/>
        <v>11</v>
      </c>
      <c r="T426" s="6" t="s">
        <v>815</v>
      </c>
      <c r="U426" s="55" t="s">
        <v>432</v>
      </c>
    </row>
    <row r="427" spans="1:21" x14ac:dyDescent="0.35">
      <c r="A427" s="6" t="s">
        <v>824</v>
      </c>
      <c r="B427" s="55" t="s">
        <v>43</v>
      </c>
      <c r="C427" s="55">
        <v>64594376</v>
      </c>
      <c r="D427" s="55" t="s">
        <v>35</v>
      </c>
      <c r="E427" s="55" t="s">
        <v>825</v>
      </c>
      <c r="F427" s="55" t="s">
        <v>46</v>
      </c>
      <c r="G427" s="55" t="s">
        <v>23</v>
      </c>
      <c r="H427" s="56">
        <v>46182</v>
      </c>
      <c r="I427" s="56">
        <v>46184</v>
      </c>
      <c r="J427" s="16">
        <f t="shared" si="23"/>
        <v>3</v>
      </c>
      <c r="K427" s="55" t="s">
        <v>295</v>
      </c>
      <c r="L427" s="55" t="s">
        <v>296</v>
      </c>
      <c r="M427" s="55" t="s">
        <v>24</v>
      </c>
      <c r="N427" s="55" t="s">
        <v>193</v>
      </c>
      <c r="O427" s="55">
        <v>0</v>
      </c>
      <c r="P427" s="55">
        <v>144000</v>
      </c>
      <c r="Q427" s="59">
        <v>144000</v>
      </c>
      <c r="R427" s="56">
        <v>46188</v>
      </c>
      <c r="S427" s="16">
        <f t="shared" si="24"/>
        <v>5</v>
      </c>
      <c r="T427" s="55" t="s">
        <v>839</v>
      </c>
      <c r="U427" s="55" t="s">
        <v>537</v>
      </c>
    </row>
    <row r="428" spans="1:21" x14ac:dyDescent="0.35">
      <c r="A428" s="6" t="s">
        <v>826</v>
      </c>
      <c r="B428" s="55" t="s">
        <v>43</v>
      </c>
      <c r="C428" s="55">
        <v>63705970</v>
      </c>
      <c r="D428" s="55" t="s">
        <v>94</v>
      </c>
      <c r="E428" s="55" t="s">
        <v>827</v>
      </c>
      <c r="F428" s="55" t="s">
        <v>22</v>
      </c>
      <c r="G428" s="55" t="s">
        <v>23</v>
      </c>
      <c r="H428" s="56">
        <v>46164</v>
      </c>
      <c r="I428" s="56">
        <v>46185</v>
      </c>
      <c r="J428" s="16">
        <f t="shared" si="23"/>
        <v>16</v>
      </c>
      <c r="K428" s="55" t="s">
        <v>295</v>
      </c>
      <c r="L428" s="55" t="s">
        <v>296</v>
      </c>
      <c r="M428" s="55" t="s">
        <v>24</v>
      </c>
      <c r="N428" s="55" t="s">
        <v>191</v>
      </c>
      <c r="O428" s="55">
        <v>2500000</v>
      </c>
      <c r="P428" s="55">
        <v>270125</v>
      </c>
      <c r="Q428" s="59">
        <v>2770125</v>
      </c>
      <c r="R428" s="56">
        <v>46188</v>
      </c>
      <c r="S428" s="16">
        <f t="shared" si="24"/>
        <v>17</v>
      </c>
      <c r="T428" s="55" t="s">
        <v>839</v>
      </c>
      <c r="U428" s="55" t="s">
        <v>537</v>
      </c>
    </row>
    <row r="429" spans="1:21" x14ac:dyDescent="0.35">
      <c r="A429" s="6" t="s">
        <v>828</v>
      </c>
      <c r="B429" s="55" t="s">
        <v>43</v>
      </c>
      <c r="C429" s="55">
        <v>63210811</v>
      </c>
      <c r="D429" s="55" t="s">
        <v>829</v>
      </c>
      <c r="E429" s="55" t="s">
        <v>830</v>
      </c>
      <c r="F429" s="55" t="s">
        <v>22</v>
      </c>
      <c r="G429" s="55" t="s">
        <v>23</v>
      </c>
      <c r="H429" s="56">
        <v>46155</v>
      </c>
      <c r="I429" s="56">
        <v>46188</v>
      </c>
      <c r="J429" s="16">
        <f t="shared" si="23"/>
        <v>24</v>
      </c>
      <c r="K429" s="55" t="s">
        <v>295</v>
      </c>
      <c r="L429" s="55" t="s">
        <v>302</v>
      </c>
      <c r="M429" s="55" t="s">
        <v>24</v>
      </c>
      <c r="N429" s="55" t="s">
        <v>63</v>
      </c>
      <c r="O429" s="55">
        <v>800000</v>
      </c>
      <c r="P429" s="55">
        <v>400000</v>
      </c>
      <c r="Q429" s="59">
        <v>1200000</v>
      </c>
      <c r="R429" s="56">
        <v>46188</v>
      </c>
      <c r="S429" s="16">
        <f t="shared" si="24"/>
        <v>24</v>
      </c>
      <c r="T429" s="55" t="s">
        <v>839</v>
      </c>
      <c r="U429" s="55" t="s">
        <v>537</v>
      </c>
    </row>
    <row r="430" spans="1:21" x14ac:dyDescent="0.35">
      <c r="A430" s="6" t="s">
        <v>831</v>
      </c>
      <c r="B430" s="55" t="s">
        <v>30</v>
      </c>
      <c r="C430" s="55">
        <v>63689992</v>
      </c>
      <c r="D430" s="55" t="s">
        <v>20</v>
      </c>
      <c r="E430" s="55">
        <v>2722509970</v>
      </c>
      <c r="F430" s="55" t="s">
        <v>32</v>
      </c>
      <c r="G430" s="55" t="s">
        <v>23</v>
      </c>
      <c r="H430" s="56">
        <v>46164</v>
      </c>
      <c r="I430" s="56">
        <v>46187</v>
      </c>
      <c r="J430" s="16">
        <f t="shared" si="23"/>
        <v>16</v>
      </c>
      <c r="K430" s="55" t="s">
        <v>295</v>
      </c>
      <c r="L430" s="55" t="s">
        <v>296</v>
      </c>
      <c r="M430" s="55" t="s">
        <v>24</v>
      </c>
      <c r="N430" s="55" t="s">
        <v>56</v>
      </c>
      <c r="O430" s="55">
        <v>270000</v>
      </c>
      <c r="P430" s="55">
        <v>111435</v>
      </c>
      <c r="Q430" s="59">
        <v>381435</v>
      </c>
      <c r="R430" s="56">
        <v>46188</v>
      </c>
      <c r="S430" s="16">
        <f t="shared" si="24"/>
        <v>17</v>
      </c>
      <c r="T430" s="55" t="s">
        <v>839</v>
      </c>
      <c r="U430" s="55" t="s">
        <v>537</v>
      </c>
    </row>
    <row r="431" spans="1:21" x14ac:dyDescent="0.35">
      <c r="A431" s="6" t="s">
        <v>832</v>
      </c>
      <c r="B431" s="55" t="s">
        <v>19</v>
      </c>
      <c r="C431" s="55">
        <v>63577039</v>
      </c>
      <c r="D431" s="55" t="s">
        <v>49</v>
      </c>
      <c r="E431" s="55" t="s">
        <v>833</v>
      </c>
      <c r="F431" s="55" t="s">
        <v>22</v>
      </c>
      <c r="G431" s="55" t="s">
        <v>23</v>
      </c>
      <c r="H431" s="56">
        <v>46162</v>
      </c>
      <c r="I431" s="56">
        <v>46185</v>
      </c>
      <c r="J431" s="16">
        <f t="shared" si="23"/>
        <v>18</v>
      </c>
      <c r="K431" s="55" t="s">
        <v>295</v>
      </c>
      <c r="L431" s="55" t="s">
        <v>296</v>
      </c>
      <c r="M431" s="55" t="s">
        <v>24</v>
      </c>
      <c r="N431" s="55" t="s">
        <v>174</v>
      </c>
      <c r="O431" s="55">
        <v>299185</v>
      </c>
      <c r="P431" s="55">
        <v>571781</v>
      </c>
      <c r="Q431" s="59">
        <v>870966</v>
      </c>
      <c r="R431" s="56">
        <v>46188</v>
      </c>
      <c r="S431" s="16">
        <f t="shared" si="24"/>
        <v>19</v>
      </c>
      <c r="T431" s="55" t="s">
        <v>839</v>
      </c>
      <c r="U431" s="55" t="s">
        <v>537</v>
      </c>
    </row>
    <row r="432" spans="1:21" x14ac:dyDescent="0.35">
      <c r="A432" s="6" t="s">
        <v>834</v>
      </c>
      <c r="B432" s="55" t="s">
        <v>85</v>
      </c>
      <c r="C432" s="55">
        <v>61239047</v>
      </c>
      <c r="D432" s="55" t="s">
        <v>835</v>
      </c>
      <c r="E432" s="55">
        <v>2721599900</v>
      </c>
      <c r="F432" s="55" t="s">
        <v>32</v>
      </c>
      <c r="G432" s="55" t="s">
        <v>37</v>
      </c>
      <c r="H432" s="56">
        <v>46120</v>
      </c>
      <c r="I432" s="56">
        <v>46188</v>
      </c>
      <c r="J432" s="16">
        <f t="shared" si="23"/>
        <v>49</v>
      </c>
      <c r="K432" s="55" t="s">
        <v>295</v>
      </c>
      <c r="L432" s="55" t="s">
        <v>302</v>
      </c>
      <c r="M432" s="55" t="s">
        <v>24</v>
      </c>
      <c r="N432" s="55" t="s">
        <v>82</v>
      </c>
      <c r="O432" s="55">
        <v>0</v>
      </c>
      <c r="P432" s="55">
        <v>0</v>
      </c>
      <c r="Q432" s="59">
        <v>0</v>
      </c>
      <c r="R432" s="56">
        <v>46189</v>
      </c>
      <c r="S432" s="16">
        <f t="shared" si="24"/>
        <v>50</v>
      </c>
      <c r="T432" s="55" t="s">
        <v>839</v>
      </c>
      <c r="U432" s="55" t="s">
        <v>537</v>
      </c>
    </row>
    <row r="433" spans="1:21" x14ac:dyDescent="0.35">
      <c r="A433" s="6" t="s">
        <v>831</v>
      </c>
      <c r="B433" s="55" t="s">
        <v>19</v>
      </c>
      <c r="C433" s="55">
        <v>63688978</v>
      </c>
      <c r="D433" s="55" t="s">
        <v>515</v>
      </c>
      <c r="E433" s="55" t="s">
        <v>836</v>
      </c>
      <c r="F433" s="55" t="s">
        <v>22</v>
      </c>
      <c r="G433" s="55" t="s">
        <v>37</v>
      </c>
      <c r="H433" s="56">
        <v>46164</v>
      </c>
      <c r="I433" s="56">
        <v>46185</v>
      </c>
      <c r="J433" s="16">
        <f t="shared" si="23"/>
        <v>16</v>
      </c>
      <c r="K433" s="55" t="s">
        <v>295</v>
      </c>
      <c r="L433" s="55" t="s">
        <v>296</v>
      </c>
      <c r="M433" s="55" t="s">
        <v>24</v>
      </c>
      <c r="N433" s="55" t="s">
        <v>53</v>
      </c>
      <c r="O433" s="55">
        <v>1500000</v>
      </c>
      <c r="P433" s="55">
        <v>0</v>
      </c>
      <c r="Q433" s="59">
        <v>1500000</v>
      </c>
      <c r="R433" s="56">
        <v>46190</v>
      </c>
      <c r="S433" s="16">
        <f t="shared" si="24"/>
        <v>19</v>
      </c>
      <c r="T433" s="55" t="s">
        <v>839</v>
      </c>
      <c r="U433" s="55" t="s">
        <v>537</v>
      </c>
    </row>
    <row r="434" spans="1:21" x14ac:dyDescent="0.35">
      <c r="A434" s="6" t="s">
        <v>837</v>
      </c>
      <c r="B434" s="55" t="s">
        <v>30</v>
      </c>
      <c r="C434" s="55">
        <v>53702282</v>
      </c>
      <c r="D434" s="55" t="s">
        <v>35</v>
      </c>
      <c r="E434" s="55">
        <v>2720301240</v>
      </c>
      <c r="F434" s="55" t="s">
        <v>32</v>
      </c>
      <c r="G434" s="55" t="s">
        <v>23</v>
      </c>
      <c r="H434" s="56">
        <v>45978</v>
      </c>
      <c r="I434" s="56">
        <v>46190</v>
      </c>
      <c r="J434" s="16">
        <f t="shared" si="23"/>
        <v>153</v>
      </c>
      <c r="K434" s="55" t="s">
        <v>295</v>
      </c>
      <c r="L434" s="55" t="s">
        <v>318</v>
      </c>
      <c r="M434" s="55" t="s">
        <v>24</v>
      </c>
      <c r="N434" s="55" t="s">
        <v>33</v>
      </c>
      <c r="O434" s="55">
        <v>150000</v>
      </c>
      <c r="P434" s="55">
        <v>40000</v>
      </c>
      <c r="Q434" s="59">
        <v>190000</v>
      </c>
      <c r="R434" s="56">
        <v>46190</v>
      </c>
      <c r="S434" s="16">
        <f t="shared" si="24"/>
        <v>153</v>
      </c>
      <c r="T434" s="55" t="s">
        <v>839</v>
      </c>
      <c r="U434" s="55" t="s">
        <v>537</v>
      </c>
    </row>
    <row r="435" spans="1:21" x14ac:dyDescent="0.35">
      <c r="A435" s="6" t="s">
        <v>318</v>
      </c>
      <c r="B435" s="55" t="s">
        <v>19</v>
      </c>
      <c r="C435" s="55">
        <v>64785630</v>
      </c>
      <c r="D435" s="55" t="s">
        <v>702</v>
      </c>
      <c r="E435" s="55" t="s">
        <v>838</v>
      </c>
      <c r="F435" s="55" t="s">
        <v>46</v>
      </c>
      <c r="G435" s="55" t="s">
        <v>23</v>
      </c>
      <c r="H435" s="56">
        <v>46185</v>
      </c>
      <c r="I435" s="56">
        <v>46186</v>
      </c>
      <c r="J435" s="16">
        <f t="shared" si="23"/>
        <v>1</v>
      </c>
      <c r="K435" s="55" t="s">
        <v>295</v>
      </c>
      <c r="L435" s="55" t="s">
        <v>296</v>
      </c>
      <c r="M435" s="55" t="s">
        <v>24</v>
      </c>
      <c r="N435" s="55" t="s">
        <v>28</v>
      </c>
      <c r="O435" s="55">
        <v>0</v>
      </c>
      <c r="P435" s="55">
        <v>0</v>
      </c>
      <c r="Q435" s="59">
        <v>0</v>
      </c>
      <c r="R435" s="56">
        <v>46190</v>
      </c>
      <c r="S435" s="16">
        <f t="shared" si="24"/>
        <v>4</v>
      </c>
      <c r="T435" s="55" t="s">
        <v>839</v>
      </c>
      <c r="U435" s="55" t="s">
        <v>537</v>
      </c>
    </row>
  </sheetData>
  <autoFilter ref="A1:U435" xr:uid="{00000000-0001-0000-0000-000000000000}"/>
  <conditionalFormatting sqref="C1">
    <cfRule type="duplicateValues" dxfId="92" priority="90"/>
    <cfRule type="duplicateValues" dxfId="91" priority="91"/>
    <cfRule type="duplicateValues" dxfId="90" priority="92"/>
    <cfRule type="duplicateValues" dxfId="89" priority="87"/>
    <cfRule type="duplicateValues" dxfId="88" priority="89"/>
    <cfRule type="duplicateValues" dxfId="87" priority="93"/>
  </conditionalFormatting>
  <conditionalFormatting sqref="C1:C1048576">
    <cfRule type="duplicateValues" dxfId="86" priority="1"/>
  </conditionalFormatting>
  <conditionalFormatting sqref="C2:C15 C17:C31">
    <cfRule type="duplicateValues" dxfId="85" priority="68"/>
    <cfRule type="duplicateValues" dxfId="84" priority="67"/>
  </conditionalFormatting>
  <conditionalFormatting sqref="C2:C58">
    <cfRule type="duplicateValues" dxfId="83" priority="47"/>
    <cfRule type="duplicateValues" dxfId="82" priority="48"/>
  </conditionalFormatting>
  <conditionalFormatting sqref="C2:C70">
    <cfRule type="duplicateValues" dxfId="81" priority="45"/>
  </conditionalFormatting>
  <conditionalFormatting sqref="C8">
    <cfRule type="duplicateValues" dxfId="80" priority="66"/>
    <cfRule type="duplicateValues" dxfId="79" priority="65"/>
  </conditionalFormatting>
  <conditionalFormatting sqref="C9">
    <cfRule type="duplicateValues" dxfId="78" priority="64"/>
  </conditionalFormatting>
  <conditionalFormatting sqref="C10">
    <cfRule type="duplicateValues" dxfId="77" priority="63"/>
  </conditionalFormatting>
  <conditionalFormatting sqref="C12">
    <cfRule type="duplicateValues" dxfId="76" priority="62"/>
  </conditionalFormatting>
  <conditionalFormatting sqref="C15">
    <cfRule type="duplicateValues" dxfId="75" priority="61"/>
  </conditionalFormatting>
  <conditionalFormatting sqref="C16">
    <cfRule type="duplicateValues" dxfId="74" priority="53"/>
  </conditionalFormatting>
  <conditionalFormatting sqref="C20:C31">
    <cfRule type="duplicateValues" dxfId="73" priority="60"/>
  </conditionalFormatting>
  <conditionalFormatting sqref="C32">
    <cfRule type="duplicateValues" dxfId="72" priority="58"/>
  </conditionalFormatting>
  <conditionalFormatting sqref="C33:C37">
    <cfRule type="duplicateValues" dxfId="71" priority="57"/>
  </conditionalFormatting>
  <conditionalFormatting sqref="C39">
    <cfRule type="duplicateValues" dxfId="70" priority="55"/>
  </conditionalFormatting>
  <conditionalFormatting sqref="C40">
    <cfRule type="duplicateValues" dxfId="69" priority="54"/>
  </conditionalFormatting>
  <conditionalFormatting sqref="C47">
    <cfRule type="duplicateValues" dxfId="68" priority="51"/>
  </conditionalFormatting>
  <conditionalFormatting sqref="C59:C66">
    <cfRule type="duplicateValues" dxfId="67" priority="46"/>
  </conditionalFormatting>
  <conditionalFormatting sqref="C73">
    <cfRule type="duplicateValues" dxfId="66" priority="44"/>
  </conditionalFormatting>
  <conditionalFormatting sqref="C75">
    <cfRule type="duplicateValues" dxfId="65" priority="43"/>
  </conditionalFormatting>
  <conditionalFormatting sqref="C77">
    <cfRule type="duplicateValues" dxfId="64" priority="86"/>
  </conditionalFormatting>
  <conditionalFormatting sqref="C77:C109 C1">
    <cfRule type="duplicateValues" dxfId="63" priority="95"/>
  </conditionalFormatting>
  <conditionalFormatting sqref="C78">
    <cfRule type="duplicateValues" dxfId="62" priority="85"/>
  </conditionalFormatting>
  <conditionalFormatting sqref="C80:C81">
    <cfRule type="duplicateValues" dxfId="61" priority="84"/>
  </conditionalFormatting>
  <conditionalFormatting sqref="C85">
    <cfRule type="duplicateValues" dxfId="60" priority="83"/>
    <cfRule type="duplicateValues" dxfId="59" priority="82"/>
  </conditionalFormatting>
  <conditionalFormatting sqref="C92">
    <cfRule type="duplicateValues" dxfId="58" priority="81"/>
  </conditionalFormatting>
  <conditionalFormatting sqref="C93">
    <cfRule type="duplicateValues" dxfId="57" priority="80"/>
  </conditionalFormatting>
  <conditionalFormatting sqref="C98">
    <cfRule type="duplicateValues" dxfId="56" priority="78"/>
  </conditionalFormatting>
  <conditionalFormatting sqref="C101">
    <cfRule type="duplicateValues" dxfId="55" priority="77"/>
  </conditionalFormatting>
  <conditionalFormatting sqref="C102">
    <cfRule type="duplicateValues" dxfId="54" priority="76"/>
    <cfRule type="duplicateValues" dxfId="53" priority="75"/>
  </conditionalFormatting>
  <conditionalFormatting sqref="C103:C109">
    <cfRule type="duplicateValues" dxfId="52" priority="74"/>
  </conditionalFormatting>
  <conditionalFormatting sqref="C114">
    <cfRule type="duplicateValues" dxfId="51" priority="72"/>
  </conditionalFormatting>
  <conditionalFormatting sqref="C115">
    <cfRule type="duplicateValues" dxfId="50" priority="71"/>
  </conditionalFormatting>
  <conditionalFormatting sqref="C145">
    <cfRule type="duplicateValues" dxfId="49" priority="42"/>
    <cfRule type="duplicateValues" dxfId="48" priority="41"/>
  </conditionalFormatting>
  <conditionalFormatting sqref="C157:C160">
    <cfRule type="duplicateValues" dxfId="47" priority="101"/>
  </conditionalFormatting>
  <conditionalFormatting sqref="C161:C163">
    <cfRule type="duplicateValues" dxfId="46" priority="39"/>
  </conditionalFormatting>
  <conditionalFormatting sqref="C166">
    <cfRule type="duplicateValues" dxfId="45" priority="38"/>
    <cfRule type="duplicateValues" dxfId="44" priority="37"/>
  </conditionalFormatting>
  <conditionalFormatting sqref="C167">
    <cfRule type="duplicateValues" dxfId="43" priority="36"/>
    <cfRule type="duplicateValues" dxfId="42" priority="35"/>
  </conditionalFormatting>
  <conditionalFormatting sqref="C168">
    <cfRule type="duplicateValues" dxfId="41" priority="34"/>
  </conditionalFormatting>
  <conditionalFormatting sqref="C170">
    <cfRule type="duplicateValues" dxfId="40" priority="33"/>
  </conditionalFormatting>
  <conditionalFormatting sqref="C172">
    <cfRule type="duplicateValues" dxfId="39" priority="30"/>
    <cfRule type="duplicateValues" dxfId="38" priority="29"/>
  </conditionalFormatting>
  <conditionalFormatting sqref="C173">
    <cfRule type="duplicateValues" dxfId="37" priority="28"/>
  </conditionalFormatting>
  <conditionalFormatting sqref="C174">
    <cfRule type="duplicateValues" dxfId="36" priority="27"/>
  </conditionalFormatting>
  <conditionalFormatting sqref="C176">
    <cfRule type="duplicateValues" dxfId="35" priority="24"/>
  </conditionalFormatting>
  <conditionalFormatting sqref="C176:C177">
    <cfRule type="duplicateValues" dxfId="34" priority="25"/>
  </conditionalFormatting>
  <conditionalFormatting sqref="C178">
    <cfRule type="duplicateValues" dxfId="33" priority="23"/>
    <cfRule type="duplicateValues" dxfId="32" priority="22"/>
  </conditionalFormatting>
  <conditionalFormatting sqref="C205:C211">
    <cfRule type="duplicateValues" dxfId="31" priority="15"/>
  </conditionalFormatting>
  <conditionalFormatting sqref="C206">
    <cfRule type="duplicateValues" dxfId="30" priority="16"/>
    <cfRule type="duplicateValues" dxfId="29" priority="17"/>
  </conditionalFormatting>
  <conditionalFormatting sqref="C207">
    <cfRule type="duplicateValues" dxfId="28" priority="18"/>
    <cfRule type="duplicateValues" dxfId="27" priority="19"/>
  </conditionalFormatting>
  <conditionalFormatting sqref="C217:C222">
    <cfRule type="duplicateValues" dxfId="26" priority="13"/>
  </conditionalFormatting>
  <conditionalFormatting sqref="C224:C231">
    <cfRule type="duplicateValues" dxfId="25" priority="12"/>
  </conditionalFormatting>
  <conditionalFormatting sqref="C232:C242">
    <cfRule type="duplicateValues" dxfId="24" priority="9"/>
  </conditionalFormatting>
  <conditionalFormatting sqref="C243:C286 C1:C204 C303:C328 C355:C356 C362:C369 C384:C395 C402:C1048576">
    <cfRule type="duplicateValues" dxfId="23" priority="181"/>
    <cfRule type="duplicateValues" dxfId="22" priority="182"/>
  </conditionalFormatting>
  <conditionalFormatting sqref="C243:C286 C1:C211 C303:C328 C355:C356 C362:C369 C384:C395 C402:C1048576">
    <cfRule type="duplicateValues" dxfId="21" priority="191"/>
  </conditionalFormatting>
  <conditionalFormatting sqref="C243:C286 C1:C231 C303:C328 C355:C356 C362:C369 C384:C395 C402:C1048576">
    <cfRule type="duplicateValues" dxfId="20" priority="196"/>
  </conditionalFormatting>
  <conditionalFormatting sqref="C303:C328 C1:C293 C355:C356 C362:C369 C384:C395 C402:C1048576">
    <cfRule type="duplicateValues" dxfId="19" priority="201"/>
  </conditionalFormatting>
  <conditionalFormatting sqref="C303:C328 C1:C294 C355:C356 C362:C369 C384:C395 C402:C1048576">
    <cfRule type="duplicateValues" dxfId="18" priority="177"/>
  </conditionalFormatting>
  <conditionalFormatting sqref="C340:C346">
    <cfRule type="duplicateValues" dxfId="17" priority="6"/>
  </conditionalFormatting>
  <conditionalFormatting sqref="C370:C380">
    <cfRule type="duplicateValues" dxfId="16" priority="4"/>
  </conditionalFormatting>
  <conditionalFormatting sqref="C383">
    <cfRule type="duplicateValues" dxfId="15" priority="3"/>
  </conditionalFormatting>
  <conditionalFormatting sqref="C384:C395 C1:C369 C402:C1048576">
    <cfRule type="duplicateValues" dxfId="14" priority="5"/>
  </conditionalFormatting>
  <conditionalFormatting sqref="C402:C1048576 C1:C395">
    <cfRule type="duplicateValues" dxfId="13" priority="2"/>
  </conditionalFormatting>
  <conditionalFormatting sqref="E1">
    <cfRule type="duplicateValues" dxfId="12" priority="88"/>
    <cfRule type="duplicateValues" dxfId="11" priority="94"/>
  </conditionalFormatting>
  <conditionalFormatting sqref="E2:E15 E17:E31">
    <cfRule type="duplicateValues" dxfId="10" priority="70"/>
  </conditionalFormatting>
  <conditionalFormatting sqref="E16">
    <cfRule type="duplicateValues" dxfId="9" priority="52"/>
  </conditionalFormatting>
  <conditionalFormatting sqref="E20:E31">
    <cfRule type="duplicateValues" dxfId="8" priority="59"/>
  </conditionalFormatting>
  <conditionalFormatting sqref="E33">
    <cfRule type="duplicateValues" dxfId="7" priority="56"/>
  </conditionalFormatting>
  <conditionalFormatting sqref="E47">
    <cfRule type="duplicateValues" dxfId="6" priority="50"/>
  </conditionalFormatting>
  <conditionalFormatting sqref="E53">
    <cfRule type="duplicateValues" dxfId="5" priority="49"/>
  </conditionalFormatting>
  <conditionalFormatting sqref="E58">
    <cfRule type="duplicateValues" dxfId="4" priority="69"/>
  </conditionalFormatting>
  <conditionalFormatting sqref="E77:E97 E1">
    <cfRule type="duplicateValues" dxfId="3" priority="97"/>
  </conditionalFormatting>
  <conditionalFormatting sqref="E171">
    <cfRule type="duplicateValues" dxfId="2" priority="31"/>
  </conditionalFormatting>
  <conditionalFormatting sqref="E174">
    <cfRule type="duplicateValues" dxfId="1" priority="26"/>
  </conditionalFormatting>
  <conditionalFormatting sqref="E242">
    <cfRule type="duplicateValues" dxfId="0" priority="10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2026-06-17T15:39:15Z</dcterms:modified>
</cp:coreProperties>
</file>