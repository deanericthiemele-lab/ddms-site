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27" documentId="8_{96B9E37B-5941-46BA-AA97-B18EA540EAA4}" xr6:coauthVersionLast="47" xr6:coauthVersionMax="47" xr10:uidLastSave="{2500FE49-8CE3-4EFB-84B8-31AC1EAE3369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0" i="1" l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<sst xmlns="http://schemas.openxmlformats.org/spreadsheetml/2006/main" count="1861" uniqueCount="442">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</sst>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195"/>
  <sheetViews>
    <sheetView tabSelected="1" workbookViewId="0">
      <selection sqref="A1:A1048576"/>
    </sheetView>
  </sheetViews>
  <sheetFormatPr baseColWidth="10" defaultRowHeight="14.5" x14ac:dyDescent="0.35"/>
  <cols>
    <col min="1" max="1" width="29.4531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</row>
    <row r="2" spans="1:20" ht="29" hidden="1" customHeight="1" x14ac:dyDescent="0.35">
      <c r="A2" s="29" t="s">
        <v>154</v>
      </c>
      <c r="B2" s="25" t="s">
        <v>44</v>
      </c>
      <c r="C2" s="9">
        <v>55472663</v>
      </c>
      <c r="D2" s="25" t="s">
        <v>155</v>
      </c>
      <c r="E2" s="9" t="s">
        <v>156</v>
      </c>
      <c r="F2" s="25" t="s">
        <v>47</v>
      </c>
      <c r="G2" s="12" t="s">
        <v>23</v>
      </c>
      <c r="H2" s="37">
        <v>46010</v>
      </c>
      <c r="I2" s="38">
        <v>46015</v>
      </c>
      <c r="J2" s="24">
        <f>+NETWORKDAYS(H2,I2)</f>
        <v>4</v>
      </c>
      <c r="K2" s="25"/>
      <c r="L2" s="25"/>
      <c r="M2" s="13" t="s">
        <v>157</v>
      </c>
      <c r="N2" s="25" t="s">
        <v>29</v>
      </c>
      <c r="O2" s="46">
        <v>0</v>
      </c>
      <c r="P2" s="46">
        <v>0</v>
      </c>
      <c r="Q2" s="46">
        <f>P2+O2</f>
        <v>0</v>
      </c>
      <c r="R2" s="13">
        <v>46024</v>
      </c>
      <c r="S2" s="24">
        <f>NETWORKDAYS(H2,R2)</f>
        <v>11</v>
      </c>
      <c r="T2" s="11" t="s">
        <v>158</v>
      </c>
    </row>
    <row r="3" spans="1:20" ht="29" hidden="1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7">
        <v>1000000</v>
      </c>
      <c r="P3" s="47">
        <v>231750</v>
      </c>
      <c r="Q3" s="48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</row>
    <row r="4" spans="1:20" ht="29" hidden="1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7">
        <v>0</v>
      </c>
      <c r="P4" s="47">
        <v>0</v>
      </c>
      <c r="Q4" s="48">
        <f>P4+O4</f>
        <v>0</v>
      </c>
      <c r="R4" s="13">
        <v>46027</v>
      </c>
      <c r="S4" s="24">
        <f t="shared" si="1"/>
        <v>12</v>
      </c>
      <c r="T4" s="11" t="s">
        <v>162</v>
      </c>
    </row>
    <row r="5" spans="1:20" ht="29" hidden="1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7">
        <v>0</v>
      </c>
      <c r="P5" s="47">
        <v>0</v>
      </c>
      <c r="Q5" s="48">
        <f>P5+O5</f>
        <v>0</v>
      </c>
      <c r="R5" s="13">
        <v>46027</v>
      </c>
      <c r="S5" s="24">
        <f t="shared" si="1"/>
        <v>12</v>
      </c>
      <c r="T5" s="11" t="s">
        <v>162</v>
      </c>
    </row>
    <row r="6" spans="1:20" ht="29" hidden="1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8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</row>
    <row r="7" spans="1:20" ht="29" hidden="1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8">
        <f t="shared" si="2"/>
        <v>190000</v>
      </c>
      <c r="R7" s="13">
        <v>46027</v>
      </c>
      <c r="S7" s="24">
        <f t="shared" si="1"/>
        <v>28</v>
      </c>
      <c r="T7" s="11" t="s">
        <v>162</v>
      </c>
    </row>
    <row r="8" spans="1:20" ht="29" hidden="1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3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7">
        <v>3264000</v>
      </c>
      <c r="P8" s="47">
        <v>408000</v>
      </c>
      <c r="Q8" s="48">
        <f t="shared" si="2"/>
        <v>3672000</v>
      </c>
      <c r="R8" s="13">
        <v>46028</v>
      </c>
      <c r="S8" s="24">
        <f t="shared" si="1"/>
        <v>41</v>
      </c>
      <c r="T8" s="11" t="s">
        <v>162</v>
      </c>
    </row>
    <row r="9" spans="1:20" ht="29" hidden="1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1"/>
      <c r="L9" s="31"/>
      <c r="M9" s="11" t="s">
        <v>24</v>
      </c>
      <c r="N9" s="12" t="s">
        <v>49</v>
      </c>
      <c r="O9" s="47">
        <v>1800000</v>
      </c>
      <c r="P9" s="47">
        <v>301520</v>
      </c>
      <c r="Q9" s="48">
        <f t="shared" si="2"/>
        <v>2101520</v>
      </c>
      <c r="R9" s="13">
        <v>46029</v>
      </c>
      <c r="S9" s="24">
        <f t="shared" si="1"/>
        <v>62</v>
      </c>
      <c r="T9" s="11" t="s">
        <v>162</v>
      </c>
    </row>
    <row r="10" spans="1:20" ht="29" hidden="1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1"/>
      <c r="L10" s="31"/>
      <c r="M10" s="11" t="s">
        <v>24</v>
      </c>
      <c r="N10" s="12" t="s">
        <v>174</v>
      </c>
      <c r="O10" s="47">
        <v>1977000</v>
      </c>
      <c r="P10" s="47">
        <v>0</v>
      </c>
      <c r="Q10" s="48">
        <f t="shared" si="2"/>
        <v>1977000</v>
      </c>
      <c r="R10" s="13">
        <v>46029</v>
      </c>
      <c r="S10" s="24">
        <f t="shared" si="1"/>
        <v>15</v>
      </c>
      <c r="T10" s="11" t="s">
        <v>162</v>
      </c>
    </row>
    <row r="11" spans="1:20" ht="29" hidden="1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1"/>
      <c r="L11" s="31"/>
      <c r="M11" s="11" t="s">
        <v>24</v>
      </c>
      <c r="N11" s="12" t="s">
        <v>174</v>
      </c>
      <c r="O11" s="47">
        <v>1977000</v>
      </c>
      <c r="P11" s="47">
        <v>0</v>
      </c>
      <c r="Q11" s="48">
        <f t="shared" si="2"/>
        <v>1977000</v>
      </c>
      <c r="R11" s="13">
        <v>46029</v>
      </c>
      <c r="S11" s="24">
        <f t="shared" si="1"/>
        <v>15</v>
      </c>
      <c r="T11" s="11" t="s">
        <v>162</v>
      </c>
    </row>
    <row r="12" spans="1:20" ht="29" hidden="1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1"/>
      <c r="L12" s="31"/>
      <c r="M12" s="11" t="s">
        <v>24</v>
      </c>
      <c r="N12" s="12" t="s">
        <v>179</v>
      </c>
      <c r="O12" s="47">
        <v>1500000</v>
      </c>
      <c r="P12" s="47">
        <v>571781</v>
      </c>
      <c r="Q12" s="48">
        <f t="shared" si="2"/>
        <v>2071781</v>
      </c>
      <c r="R12" s="13">
        <v>46030</v>
      </c>
      <c r="S12" s="24">
        <f t="shared" si="1"/>
        <v>21</v>
      </c>
      <c r="T12" s="11" t="s">
        <v>162</v>
      </c>
    </row>
    <row r="13" spans="1:20" ht="29" hidden="1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9">
        <v>46010</v>
      </c>
      <c r="I13" s="39">
        <v>46030</v>
      </c>
      <c r="J13" s="24">
        <f t="shared" si="0"/>
        <v>15</v>
      </c>
      <c r="K13" s="31"/>
      <c r="L13" s="31"/>
      <c r="M13" s="40" t="s">
        <v>157</v>
      </c>
      <c r="N13" s="19" t="s">
        <v>29</v>
      </c>
      <c r="O13" s="15">
        <v>0</v>
      </c>
      <c r="P13" s="15">
        <v>0</v>
      </c>
      <c r="Q13" s="48">
        <f t="shared" si="2"/>
        <v>0</v>
      </c>
      <c r="R13" s="13">
        <v>46030</v>
      </c>
      <c r="S13" s="24">
        <f t="shared" si="1"/>
        <v>15</v>
      </c>
      <c r="T13" s="11" t="s">
        <v>162</v>
      </c>
    </row>
    <row r="14" spans="1:20" ht="29" hidden="1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9">
        <v>46010</v>
      </c>
      <c r="I14" s="39">
        <v>46030</v>
      </c>
      <c r="J14" s="24">
        <f t="shared" si="0"/>
        <v>15</v>
      </c>
      <c r="K14" s="31"/>
      <c r="L14" s="31"/>
      <c r="M14" s="40" t="s">
        <v>157</v>
      </c>
      <c r="N14" s="19" t="s">
        <v>29</v>
      </c>
      <c r="O14" s="15">
        <v>0</v>
      </c>
      <c r="P14" s="15">
        <v>0</v>
      </c>
      <c r="Q14" s="48">
        <f t="shared" si="2"/>
        <v>0</v>
      </c>
      <c r="R14" s="13">
        <v>46030</v>
      </c>
      <c r="S14" s="24">
        <f t="shared" si="1"/>
        <v>15</v>
      </c>
      <c r="T14" s="11" t="s">
        <v>162</v>
      </c>
    </row>
    <row r="15" spans="1:20" ht="29" hidden="1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1"/>
      <c r="L15" s="31"/>
      <c r="M15" s="40" t="s">
        <v>24</v>
      </c>
      <c r="N15" s="12" t="s">
        <v>174</v>
      </c>
      <c r="O15" s="47">
        <v>847200</v>
      </c>
      <c r="P15" s="47">
        <v>0</v>
      </c>
      <c r="Q15" s="48">
        <f t="shared" si="2"/>
        <v>847200</v>
      </c>
      <c r="R15" s="13">
        <v>46030</v>
      </c>
      <c r="S15" s="24">
        <f t="shared" si="1"/>
        <v>16</v>
      </c>
      <c r="T15" s="11" t="s">
        <v>162</v>
      </c>
    </row>
    <row r="16" spans="1:20" ht="29" hidden="1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1"/>
      <c r="L16" s="31"/>
      <c r="M16" s="11" t="s">
        <v>157</v>
      </c>
      <c r="N16" s="12" t="s">
        <v>148</v>
      </c>
      <c r="O16" s="47">
        <v>0</v>
      </c>
      <c r="P16" s="47">
        <v>0</v>
      </c>
      <c r="Q16" s="48">
        <f>P16+O16</f>
        <v>0</v>
      </c>
      <c r="R16" s="13">
        <v>46030</v>
      </c>
      <c r="S16" s="24">
        <f t="shared" si="1"/>
        <v>15</v>
      </c>
      <c r="T16" s="11" t="s">
        <v>162</v>
      </c>
    </row>
    <row r="17" spans="1:20" ht="29" hidden="1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1"/>
      <c r="L17" s="31"/>
      <c r="M17" s="11" t="s">
        <v>157</v>
      </c>
      <c r="N17" s="12" t="s">
        <v>29</v>
      </c>
      <c r="O17" s="48">
        <v>0</v>
      </c>
      <c r="P17" s="48">
        <v>0</v>
      </c>
      <c r="Q17" s="48">
        <f t="shared" si="2"/>
        <v>0</v>
      </c>
      <c r="R17" s="13">
        <v>46030</v>
      </c>
      <c r="S17" s="24">
        <f t="shared" si="1"/>
        <v>15</v>
      </c>
      <c r="T17" s="11" t="s">
        <v>162</v>
      </c>
    </row>
    <row r="18" spans="1:20" ht="29" hidden="1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1"/>
      <c r="L18" s="31"/>
      <c r="M18" s="11" t="s">
        <v>188</v>
      </c>
      <c r="N18" s="12" t="s">
        <v>29</v>
      </c>
      <c r="O18" s="40">
        <v>0</v>
      </c>
      <c r="P18" s="47">
        <v>1588888</v>
      </c>
      <c r="Q18" s="48">
        <f t="shared" si="2"/>
        <v>1588888</v>
      </c>
      <c r="R18" s="13">
        <v>46030</v>
      </c>
      <c r="S18" s="24">
        <f t="shared" si="1"/>
        <v>38</v>
      </c>
      <c r="T18" s="11" t="s">
        <v>162</v>
      </c>
    </row>
    <row r="19" spans="1:20" ht="29" hidden="1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1"/>
      <c r="L19" s="31"/>
      <c r="M19" s="11" t="s">
        <v>157</v>
      </c>
      <c r="N19" s="12" t="s">
        <v>29</v>
      </c>
      <c r="O19" s="40">
        <v>1480000</v>
      </c>
      <c r="P19" s="47">
        <v>0</v>
      </c>
      <c r="Q19" s="48">
        <f t="shared" si="2"/>
        <v>1480000</v>
      </c>
      <c r="R19" s="13">
        <v>46030</v>
      </c>
      <c r="S19" s="24">
        <f t="shared" si="1"/>
        <v>9</v>
      </c>
      <c r="T19" s="11" t="s">
        <v>162</v>
      </c>
    </row>
    <row r="20" spans="1:20" ht="29" hidden="1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1"/>
      <c r="L20" s="31"/>
      <c r="M20" s="11" t="s">
        <v>157</v>
      </c>
      <c r="N20" s="11" t="s">
        <v>29</v>
      </c>
      <c r="O20" s="48">
        <v>0</v>
      </c>
      <c r="P20" s="48">
        <v>0</v>
      </c>
      <c r="Q20" s="48">
        <f t="shared" si="2"/>
        <v>0</v>
      </c>
      <c r="R20" s="13">
        <v>46030</v>
      </c>
      <c r="S20" s="24">
        <f t="shared" si="1"/>
        <v>9</v>
      </c>
      <c r="T20" s="11" t="s">
        <v>162</v>
      </c>
    </row>
    <row r="21" spans="1:20" ht="29" hidden="1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1"/>
      <c r="L21" s="31"/>
      <c r="M21" s="11" t="s">
        <v>24</v>
      </c>
      <c r="N21" s="12" t="s">
        <v>197</v>
      </c>
      <c r="O21" s="47">
        <v>3000000</v>
      </c>
      <c r="P21" s="47">
        <v>270000</v>
      </c>
      <c r="Q21" s="48">
        <f t="shared" si="2"/>
        <v>3270000</v>
      </c>
      <c r="R21" s="13">
        <v>46031</v>
      </c>
      <c r="S21" s="24">
        <f t="shared" si="1"/>
        <v>64</v>
      </c>
      <c r="T21" s="11" t="s">
        <v>162</v>
      </c>
    </row>
    <row r="22" spans="1:20" ht="29" hidden="1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1"/>
      <c r="L22" s="31"/>
      <c r="M22" s="11" t="s">
        <v>24</v>
      </c>
      <c r="N22" s="12" t="s">
        <v>199</v>
      </c>
      <c r="O22" s="47">
        <v>2000000</v>
      </c>
      <c r="P22" s="47">
        <v>380000</v>
      </c>
      <c r="Q22" s="48">
        <f t="shared" si="2"/>
        <v>2380000</v>
      </c>
      <c r="R22" s="13">
        <v>46035</v>
      </c>
      <c r="S22" s="24">
        <f t="shared" si="1"/>
        <v>249</v>
      </c>
      <c r="T22" s="11" t="s">
        <v>200</v>
      </c>
    </row>
    <row r="23" spans="1:20" ht="29" hidden="1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1"/>
      <c r="L23" s="31"/>
      <c r="M23" s="40" t="s">
        <v>157</v>
      </c>
      <c r="N23" s="12" t="s">
        <v>29</v>
      </c>
      <c r="O23" s="40">
        <v>0</v>
      </c>
      <c r="P23" s="47">
        <v>0</v>
      </c>
      <c r="Q23" s="48">
        <f t="shared" si="2"/>
        <v>0</v>
      </c>
      <c r="R23" s="13">
        <v>46035</v>
      </c>
      <c r="S23" s="24">
        <f t="shared" si="1"/>
        <v>34</v>
      </c>
      <c r="T23" s="11" t="s">
        <v>200</v>
      </c>
    </row>
    <row r="24" spans="1:20" ht="29" hidden="1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1"/>
      <c r="L24" s="31"/>
      <c r="M24" s="11" t="s">
        <v>157</v>
      </c>
      <c r="N24" s="11" t="s">
        <v>29</v>
      </c>
      <c r="O24" s="47">
        <v>0</v>
      </c>
      <c r="P24" s="47">
        <v>0</v>
      </c>
      <c r="Q24" s="48">
        <f t="shared" si="2"/>
        <v>0</v>
      </c>
      <c r="R24" s="13">
        <v>46035</v>
      </c>
      <c r="S24" s="24">
        <f t="shared" si="1"/>
        <v>16</v>
      </c>
      <c r="T24" s="11" t="s">
        <v>200</v>
      </c>
    </row>
    <row r="25" spans="1:20" ht="29" hidden="1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1"/>
      <c r="L25" s="31"/>
      <c r="M25" s="11" t="s">
        <v>48</v>
      </c>
      <c r="N25" s="11" t="s">
        <v>34</v>
      </c>
      <c r="O25" s="48">
        <v>144000</v>
      </c>
      <c r="P25" s="48">
        <v>0</v>
      </c>
      <c r="Q25" s="48">
        <f t="shared" si="2"/>
        <v>144000</v>
      </c>
      <c r="R25" s="13">
        <v>46035</v>
      </c>
      <c r="S25" s="24">
        <f t="shared" si="1"/>
        <v>33</v>
      </c>
      <c r="T25" s="11" t="s">
        <v>200</v>
      </c>
    </row>
    <row r="26" spans="1:20" ht="29" hidden="1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1"/>
      <c r="L26" s="31"/>
      <c r="M26" s="11" t="s">
        <v>48</v>
      </c>
      <c r="N26" s="12" t="s">
        <v>84</v>
      </c>
      <c r="O26" s="48">
        <v>1000000</v>
      </c>
      <c r="P26" s="48">
        <v>0</v>
      </c>
      <c r="Q26" s="48">
        <f t="shared" si="2"/>
        <v>1000000</v>
      </c>
      <c r="R26" s="13">
        <v>46035</v>
      </c>
      <c r="S26" s="24">
        <f t="shared" si="1"/>
        <v>20</v>
      </c>
      <c r="T26" s="11" t="s">
        <v>200</v>
      </c>
    </row>
    <row r="27" spans="1:20" ht="29" hidden="1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1"/>
      <c r="L27" s="31"/>
      <c r="M27" s="11" t="s">
        <v>24</v>
      </c>
      <c r="N27" s="11" t="s">
        <v>174</v>
      </c>
      <c r="O27" s="47">
        <v>847200</v>
      </c>
      <c r="P27" s="47">
        <v>0</v>
      </c>
      <c r="Q27" s="48">
        <f t="shared" si="2"/>
        <v>847200</v>
      </c>
      <c r="R27" s="13">
        <v>46035</v>
      </c>
      <c r="S27" s="24">
        <f t="shared" si="1"/>
        <v>19</v>
      </c>
      <c r="T27" s="11" t="s">
        <v>200</v>
      </c>
    </row>
    <row r="28" spans="1:20" ht="29" hidden="1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1"/>
      <c r="L28" s="31"/>
      <c r="M28" s="11" t="s">
        <v>24</v>
      </c>
      <c r="N28" s="12" t="s">
        <v>54</v>
      </c>
      <c r="O28" s="47">
        <v>2500000</v>
      </c>
      <c r="P28" s="47">
        <v>280000</v>
      </c>
      <c r="Q28" s="48">
        <f t="shared" si="2"/>
        <v>2780000</v>
      </c>
      <c r="R28" s="13">
        <v>46035</v>
      </c>
      <c r="S28" s="24">
        <f t="shared" si="1"/>
        <v>16</v>
      </c>
      <c r="T28" s="11" t="s">
        <v>200</v>
      </c>
    </row>
    <row r="29" spans="1:20" ht="29" hidden="1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1"/>
      <c r="L29" s="31"/>
      <c r="M29" s="11" t="s">
        <v>24</v>
      </c>
      <c r="N29" s="12" t="s">
        <v>197</v>
      </c>
      <c r="O29" s="47">
        <v>32214683</v>
      </c>
      <c r="P29" s="47">
        <v>6403996</v>
      </c>
      <c r="Q29" s="48">
        <f t="shared" si="2"/>
        <v>38618679</v>
      </c>
      <c r="R29" s="13">
        <v>46036</v>
      </c>
      <c r="S29" s="24">
        <f t="shared" si="1"/>
        <v>366</v>
      </c>
      <c r="T29" s="11" t="s">
        <v>200</v>
      </c>
    </row>
    <row r="30" spans="1:20" ht="29" hidden="1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1"/>
      <c r="L30" s="31"/>
      <c r="M30" s="11" t="s">
        <v>24</v>
      </c>
      <c r="N30" s="11" t="s">
        <v>34</v>
      </c>
      <c r="O30" s="48">
        <v>150000</v>
      </c>
      <c r="P30" s="48">
        <v>40000</v>
      </c>
      <c r="Q30" s="48">
        <f t="shared" si="2"/>
        <v>190000</v>
      </c>
      <c r="R30" s="13">
        <v>46036</v>
      </c>
      <c r="S30" s="24">
        <f t="shared" si="1"/>
        <v>16</v>
      </c>
      <c r="T30" s="11" t="s">
        <v>200</v>
      </c>
    </row>
    <row r="31" spans="1:20" ht="29" hidden="1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1"/>
      <c r="L31" s="31"/>
      <c r="M31" s="11" t="s">
        <v>24</v>
      </c>
      <c r="N31" s="12" t="s">
        <v>34</v>
      </c>
      <c r="O31" s="47">
        <v>0</v>
      </c>
      <c r="P31" s="47">
        <v>40000</v>
      </c>
      <c r="Q31" s="48">
        <f t="shared" si="2"/>
        <v>40000</v>
      </c>
      <c r="R31" s="13">
        <v>46036</v>
      </c>
      <c r="S31" s="24">
        <f t="shared" si="1"/>
        <v>12</v>
      </c>
      <c r="T31" s="11" t="s">
        <v>200</v>
      </c>
    </row>
    <row r="32" spans="1:20" ht="29" hidden="1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1"/>
      <c r="L32" s="31"/>
      <c r="M32" s="11" t="s">
        <v>24</v>
      </c>
      <c r="N32" s="12" t="s">
        <v>29</v>
      </c>
      <c r="O32" s="47">
        <v>1000000</v>
      </c>
      <c r="P32" s="47">
        <v>705164</v>
      </c>
      <c r="Q32" s="48">
        <f t="shared" si="2"/>
        <v>1705164</v>
      </c>
      <c r="R32" s="13">
        <v>46036</v>
      </c>
      <c r="S32" s="24">
        <f t="shared" si="1"/>
        <v>42</v>
      </c>
      <c r="T32" s="11" t="s">
        <v>200</v>
      </c>
    </row>
    <row r="33" spans="1:20" ht="29" hidden="1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1"/>
      <c r="L33" s="31"/>
      <c r="M33" s="11" t="s">
        <v>24</v>
      </c>
      <c r="N33" s="12" t="s">
        <v>94</v>
      </c>
      <c r="O33" s="47">
        <v>0</v>
      </c>
      <c r="P33" s="47">
        <v>170681</v>
      </c>
      <c r="Q33" s="48">
        <f t="shared" si="2"/>
        <v>170681</v>
      </c>
      <c r="R33" s="13">
        <v>46037</v>
      </c>
      <c r="S33" s="24">
        <f t="shared" si="1"/>
        <v>63</v>
      </c>
      <c r="T33" s="11" t="s">
        <v>200</v>
      </c>
    </row>
    <row r="34" spans="1:20" ht="29" hidden="1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1"/>
      <c r="L34" s="31"/>
      <c r="M34" s="11" t="s">
        <v>24</v>
      </c>
      <c r="N34" s="12" t="s">
        <v>73</v>
      </c>
      <c r="O34" s="47">
        <v>0</v>
      </c>
      <c r="P34" s="47">
        <v>92730</v>
      </c>
      <c r="Q34" s="48">
        <f t="shared" si="2"/>
        <v>92730</v>
      </c>
      <c r="R34" s="13">
        <v>46037</v>
      </c>
      <c r="S34" s="24">
        <f t="shared" si="1"/>
        <v>62</v>
      </c>
      <c r="T34" s="11" t="s">
        <v>200</v>
      </c>
    </row>
    <row r="35" spans="1:20" ht="29" hidden="1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1"/>
      <c r="L35" s="31"/>
      <c r="M35" s="11" t="s">
        <v>24</v>
      </c>
      <c r="N35" s="12" t="s">
        <v>73</v>
      </c>
      <c r="O35" s="47">
        <v>0</v>
      </c>
      <c r="P35" s="47">
        <v>92730</v>
      </c>
      <c r="Q35" s="48">
        <f t="shared" si="2"/>
        <v>92730</v>
      </c>
      <c r="R35" s="13">
        <v>46037</v>
      </c>
      <c r="S35" s="24">
        <f t="shared" si="1"/>
        <v>62</v>
      </c>
      <c r="T35" s="11" t="s">
        <v>200</v>
      </c>
    </row>
    <row r="36" spans="1:20" ht="29" hidden="1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1"/>
      <c r="L36" s="31"/>
      <c r="M36" s="11" t="s">
        <v>24</v>
      </c>
      <c r="N36" s="12" t="s">
        <v>73</v>
      </c>
      <c r="O36" s="47">
        <v>0</v>
      </c>
      <c r="P36" s="47">
        <v>92730</v>
      </c>
      <c r="Q36" s="48">
        <f t="shared" si="2"/>
        <v>92730</v>
      </c>
      <c r="R36" s="13">
        <v>46037</v>
      </c>
      <c r="S36" s="24">
        <f t="shared" si="1"/>
        <v>63</v>
      </c>
      <c r="T36" s="11" t="s">
        <v>200</v>
      </c>
    </row>
    <row r="37" spans="1:20" ht="29" hidden="1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1"/>
      <c r="L37" s="31"/>
      <c r="M37" s="11" t="s">
        <v>24</v>
      </c>
      <c r="N37" s="11" t="s">
        <v>73</v>
      </c>
      <c r="O37" s="47">
        <v>0</v>
      </c>
      <c r="P37" s="47">
        <v>92730</v>
      </c>
      <c r="Q37" s="48">
        <f t="shared" si="2"/>
        <v>92730</v>
      </c>
      <c r="R37" s="13">
        <v>46037</v>
      </c>
      <c r="S37" s="24">
        <f t="shared" si="1"/>
        <v>62</v>
      </c>
      <c r="T37" s="11" t="s">
        <v>200</v>
      </c>
    </row>
    <row r="38" spans="1:20" ht="29" hidden="1" customHeight="1" x14ac:dyDescent="0.35">
      <c r="A38" s="12" t="s">
        <v>226</v>
      </c>
      <c r="B38" s="12" t="s">
        <v>19</v>
      </c>
      <c r="C38" s="41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1"/>
      <c r="L38" s="31"/>
      <c r="M38" s="11" t="s">
        <v>24</v>
      </c>
      <c r="N38" s="12" t="s">
        <v>29</v>
      </c>
      <c r="O38" s="47">
        <v>2000500</v>
      </c>
      <c r="P38" s="47">
        <v>667054</v>
      </c>
      <c r="Q38" s="48">
        <f t="shared" si="2"/>
        <v>2667554</v>
      </c>
      <c r="R38" s="13">
        <v>46037</v>
      </c>
      <c r="S38" s="24">
        <f t="shared" si="1"/>
        <v>27</v>
      </c>
      <c r="T38" s="11" t="s">
        <v>200</v>
      </c>
    </row>
    <row r="39" spans="1:20" ht="29" hidden="1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1"/>
      <c r="L39" s="31"/>
      <c r="M39" s="11" t="s">
        <v>24</v>
      </c>
      <c r="N39" s="12" t="s">
        <v>54</v>
      </c>
      <c r="O39" s="47">
        <v>0</v>
      </c>
      <c r="P39" s="47">
        <v>189985</v>
      </c>
      <c r="Q39" s="48">
        <f t="shared" si="2"/>
        <v>189985</v>
      </c>
      <c r="R39" s="13">
        <v>46038</v>
      </c>
      <c r="S39" s="24">
        <f t="shared" si="1"/>
        <v>24</v>
      </c>
      <c r="T39" s="11" t="s">
        <v>200</v>
      </c>
    </row>
    <row r="40" spans="1:20" ht="29" hidden="1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1"/>
      <c r="L40" s="31"/>
      <c r="M40" s="11" t="s">
        <v>24</v>
      </c>
      <c r="N40" s="11" t="s">
        <v>94</v>
      </c>
      <c r="O40" s="47">
        <v>0</v>
      </c>
      <c r="P40" s="47">
        <v>92730</v>
      </c>
      <c r="Q40" s="48">
        <f t="shared" si="2"/>
        <v>92730</v>
      </c>
      <c r="R40" s="13">
        <v>46038</v>
      </c>
      <c r="S40" s="24">
        <f t="shared" si="1"/>
        <v>61</v>
      </c>
      <c r="T40" s="11" t="s">
        <v>200</v>
      </c>
    </row>
    <row r="41" spans="1:20" ht="29" hidden="1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1"/>
      <c r="L41" s="31"/>
      <c r="M41" s="11" t="s">
        <v>157</v>
      </c>
      <c r="N41" s="11" t="s">
        <v>148</v>
      </c>
      <c r="O41" s="48">
        <v>0</v>
      </c>
      <c r="P41" s="48">
        <v>0</v>
      </c>
      <c r="Q41" s="48">
        <f t="shared" si="2"/>
        <v>0</v>
      </c>
      <c r="R41" s="13">
        <v>46041</v>
      </c>
      <c r="S41" s="24">
        <f t="shared" si="1"/>
        <v>20</v>
      </c>
      <c r="T41" s="11" t="s">
        <v>233</v>
      </c>
    </row>
    <row r="42" spans="1:20" ht="29" hidden="1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1"/>
      <c r="L42" s="31"/>
      <c r="M42" s="11" t="s">
        <v>24</v>
      </c>
      <c r="N42" s="11" t="s">
        <v>61</v>
      </c>
      <c r="O42" s="47">
        <v>500000</v>
      </c>
      <c r="P42" s="47">
        <v>500000</v>
      </c>
      <c r="Q42" s="48">
        <f t="shared" si="2"/>
        <v>1000000</v>
      </c>
      <c r="R42" s="13">
        <v>46041</v>
      </c>
      <c r="S42" s="24">
        <f t="shared" si="1"/>
        <v>24</v>
      </c>
      <c r="T42" s="11" t="s">
        <v>233</v>
      </c>
    </row>
    <row r="43" spans="1:20" ht="29" hidden="1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9">
        <v>45953</v>
      </c>
      <c r="I43" s="42">
        <v>46038</v>
      </c>
      <c r="J43" s="24">
        <f t="shared" si="0"/>
        <v>62</v>
      </c>
      <c r="K43" s="31"/>
      <c r="L43" s="31"/>
      <c r="M43" s="11" t="s">
        <v>24</v>
      </c>
      <c r="N43" s="11" t="s">
        <v>34</v>
      </c>
      <c r="O43" s="48">
        <v>150000</v>
      </c>
      <c r="P43" s="48">
        <v>60000</v>
      </c>
      <c r="Q43" s="48">
        <f t="shared" si="2"/>
        <v>210000</v>
      </c>
      <c r="R43" s="13">
        <v>46042</v>
      </c>
      <c r="S43" s="24">
        <f t="shared" si="1"/>
        <v>64</v>
      </c>
      <c r="T43" s="11" t="s">
        <v>233</v>
      </c>
    </row>
    <row r="44" spans="1:20" ht="29" hidden="1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9">
        <v>45999</v>
      </c>
      <c r="I44" s="42">
        <v>46030</v>
      </c>
      <c r="J44" s="24">
        <f t="shared" si="0"/>
        <v>24</v>
      </c>
      <c r="K44" s="31"/>
      <c r="L44" s="31"/>
      <c r="M44" s="11" t="s">
        <v>24</v>
      </c>
      <c r="N44" s="11" t="s">
        <v>34</v>
      </c>
      <c r="O44" s="48">
        <v>150000</v>
      </c>
      <c r="P44" s="48">
        <v>60000</v>
      </c>
      <c r="Q44" s="48">
        <f t="shared" si="2"/>
        <v>210000</v>
      </c>
      <c r="R44" s="13">
        <v>46042</v>
      </c>
      <c r="S44" s="24">
        <f t="shared" si="1"/>
        <v>32</v>
      </c>
      <c r="T44" s="11" t="s">
        <v>233</v>
      </c>
    </row>
    <row r="45" spans="1:20" ht="29" hidden="1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1"/>
      <c r="L45" s="31"/>
      <c r="M45" s="11" t="s">
        <v>157</v>
      </c>
      <c r="N45" s="11" t="s">
        <v>174</v>
      </c>
      <c r="O45" s="48">
        <v>955437</v>
      </c>
      <c r="P45" s="48">
        <v>0</v>
      </c>
      <c r="Q45" s="48">
        <f t="shared" si="2"/>
        <v>955437</v>
      </c>
      <c r="R45" s="13">
        <v>46042</v>
      </c>
      <c r="S45" s="24">
        <f t="shared" si="1"/>
        <v>6</v>
      </c>
      <c r="T45" s="11" t="s">
        <v>233</v>
      </c>
    </row>
    <row r="46" spans="1:20" ht="29" hidden="1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1"/>
      <c r="L46" s="31"/>
      <c r="M46" s="11" t="s">
        <v>48</v>
      </c>
      <c r="N46" s="11" t="s">
        <v>54</v>
      </c>
      <c r="O46" s="48">
        <v>500000</v>
      </c>
      <c r="P46" s="48">
        <v>0</v>
      </c>
      <c r="Q46" s="48">
        <f t="shared" si="2"/>
        <v>500000</v>
      </c>
      <c r="R46" s="13">
        <v>46042</v>
      </c>
      <c r="S46" s="24">
        <f t="shared" si="1"/>
        <v>25</v>
      </c>
      <c r="T46" s="11" t="s">
        <v>233</v>
      </c>
    </row>
    <row r="47" spans="1:20" ht="29" hidden="1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1"/>
      <c r="L47" s="31"/>
      <c r="M47" s="11" t="s">
        <v>24</v>
      </c>
      <c r="N47" s="12" t="s">
        <v>94</v>
      </c>
      <c r="O47" s="47">
        <v>0</v>
      </c>
      <c r="P47" s="47">
        <v>217691</v>
      </c>
      <c r="Q47" s="48">
        <f t="shared" si="2"/>
        <v>217691</v>
      </c>
      <c r="R47" s="13">
        <v>46043</v>
      </c>
      <c r="S47" s="24">
        <f t="shared" si="1"/>
        <v>63</v>
      </c>
      <c r="T47" s="11" t="s">
        <v>233</v>
      </c>
    </row>
    <row r="48" spans="1:20" ht="29" hidden="1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1"/>
      <c r="L48" s="31"/>
      <c r="M48" s="11" t="s">
        <v>24</v>
      </c>
      <c r="N48" s="12" t="s">
        <v>197</v>
      </c>
      <c r="O48" s="47">
        <v>2362401</v>
      </c>
      <c r="P48" s="47">
        <v>300000</v>
      </c>
      <c r="Q48" s="48">
        <f t="shared" si="2"/>
        <v>2662401</v>
      </c>
      <c r="R48" s="13">
        <v>46043</v>
      </c>
      <c r="S48" s="24">
        <f t="shared" si="1"/>
        <v>28</v>
      </c>
      <c r="T48" s="11" t="s">
        <v>233</v>
      </c>
    </row>
    <row r="49" spans="1:20" ht="29" hidden="1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1"/>
      <c r="L49" s="31"/>
      <c r="M49" s="11" t="s">
        <v>48</v>
      </c>
      <c r="N49" s="11" t="s">
        <v>49</v>
      </c>
      <c r="O49" s="48">
        <v>0</v>
      </c>
      <c r="P49" s="48">
        <v>0</v>
      </c>
      <c r="Q49" s="48">
        <f t="shared" si="2"/>
        <v>0</v>
      </c>
      <c r="R49" s="13">
        <v>46043</v>
      </c>
      <c r="S49" s="24">
        <f t="shared" si="1"/>
        <v>34</v>
      </c>
      <c r="T49" s="11" t="s">
        <v>233</v>
      </c>
    </row>
    <row r="50" spans="1:20" ht="29" hidden="1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1"/>
      <c r="L50" s="31"/>
      <c r="M50" s="11" t="s">
        <v>24</v>
      </c>
      <c r="N50" s="12" t="s">
        <v>174</v>
      </c>
      <c r="O50" s="47">
        <v>2000000</v>
      </c>
      <c r="P50" s="47">
        <v>646323</v>
      </c>
      <c r="Q50" s="48">
        <f t="shared" si="2"/>
        <v>2646323</v>
      </c>
      <c r="R50" s="13">
        <v>46044</v>
      </c>
      <c r="S50" s="24">
        <f t="shared" si="1"/>
        <v>11</v>
      </c>
      <c r="T50" s="11" t="s">
        <v>233</v>
      </c>
    </row>
    <row r="51" spans="1:20" ht="29" hidden="1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1"/>
      <c r="L51" s="31"/>
      <c r="M51" s="11" t="s">
        <v>24</v>
      </c>
      <c r="N51" s="12" t="s">
        <v>54</v>
      </c>
      <c r="O51" s="47">
        <v>0</v>
      </c>
      <c r="P51" s="47">
        <v>0</v>
      </c>
      <c r="Q51" s="48">
        <f t="shared" si="2"/>
        <v>0</v>
      </c>
      <c r="R51" s="13">
        <v>46044</v>
      </c>
      <c r="S51" s="24">
        <f t="shared" si="1"/>
        <v>13</v>
      </c>
      <c r="T51" s="11" t="s">
        <v>233</v>
      </c>
    </row>
    <row r="52" spans="1:20" hidden="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1"/>
      <c r="L52" s="31"/>
      <c r="M52" s="11" t="s">
        <v>24</v>
      </c>
      <c r="N52" s="12" t="s">
        <v>54</v>
      </c>
      <c r="O52" s="47">
        <v>500000</v>
      </c>
      <c r="P52" s="47">
        <v>325000</v>
      </c>
      <c r="Q52" s="48">
        <f t="shared" si="2"/>
        <v>825000</v>
      </c>
      <c r="R52" s="13">
        <v>46044</v>
      </c>
      <c r="S52" s="24">
        <f t="shared" si="1"/>
        <v>13</v>
      </c>
      <c r="T52" s="11" t="s">
        <v>233</v>
      </c>
    </row>
    <row r="53" spans="1:20" hidden="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1"/>
      <c r="L53" s="31"/>
      <c r="M53" s="11" t="s">
        <v>24</v>
      </c>
      <c r="N53" s="12" t="s">
        <v>25</v>
      </c>
      <c r="O53" s="47">
        <v>0</v>
      </c>
      <c r="P53" s="47">
        <v>433989</v>
      </c>
      <c r="Q53" s="48">
        <f t="shared" si="2"/>
        <v>433989</v>
      </c>
      <c r="R53" s="13">
        <v>46044</v>
      </c>
      <c r="S53" s="24">
        <f t="shared" si="1"/>
        <v>141</v>
      </c>
      <c r="T53" s="11" t="s">
        <v>233</v>
      </c>
    </row>
    <row r="54" spans="1:20" hidden="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1"/>
      <c r="L54" s="31"/>
      <c r="M54" s="11" t="s">
        <v>24</v>
      </c>
      <c r="N54" s="11" t="s">
        <v>34</v>
      </c>
      <c r="O54" s="48">
        <v>150000</v>
      </c>
      <c r="P54" s="48">
        <v>40000</v>
      </c>
      <c r="Q54" s="48">
        <f t="shared" si="2"/>
        <v>190000</v>
      </c>
      <c r="R54" s="13">
        <v>46044</v>
      </c>
      <c r="S54" s="24">
        <f t="shared" si="1"/>
        <v>150</v>
      </c>
      <c r="T54" s="11" t="s">
        <v>233</v>
      </c>
    </row>
    <row r="55" spans="1:20" hidden="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1"/>
      <c r="L55" s="31"/>
      <c r="M55" s="11" t="s">
        <v>24</v>
      </c>
      <c r="N55" s="11" t="s">
        <v>84</v>
      </c>
      <c r="O55" s="48">
        <v>1000000</v>
      </c>
      <c r="P55" s="48">
        <v>231750</v>
      </c>
      <c r="Q55" s="48">
        <f t="shared" si="2"/>
        <v>1231750</v>
      </c>
      <c r="R55" s="13">
        <v>46044</v>
      </c>
      <c r="S55" s="24">
        <f t="shared" si="1"/>
        <v>23</v>
      </c>
      <c r="T55" s="11" t="s">
        <v>233</v>
      </c>
    </row>
    <row r="56" spans="1:20" hidden="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1"/>
      <c r="L56" s="31"/>
      <c r="M56" s="11" t="s">
        <v>24</v>
      </c>
      <c r="N56" s="12" t="s">
        <v>262</v>
      </c>
      <c r="O56" s="47">
        <v>133779304</v>
      </c>
      <c r="P56" s="47">
        <v>5620246</v>
      </c>
      <c r="Q56" s="48">
        <f t="shared" si="2"/>
        <v>139399550</v>
      </c>
      <c r="R56" s="13">
        <v>46045</v>
      </c>
      <c r="S56" s="24">
        <f t="shared" si="1"/>
        <v>10</v>
      </c>
      <c r="T56" s="11" t="s">
        <v>233</v>
      </c>
    </row>
    <row r="57" spans="1:20" hidden="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1"/>
      <c r="L57" s="31"/>
      <c r="M57" s="11" t="s">
        <v>24</v>
      </c>
      <c r="N57" s="12" t="s">
        <v>262</v>
      </c>
      <c r="O57" s="47">
        <v>0</v>
      </c>
      <c r="P57" s="47">
        <v>500000</v>
      </c>
      <c r="Q57" s="48">
        <f t="shared" si="2"/>
        <v>500000</v>
      </c>
      <c r="R57" s="13">
        <v>46045</v>
      </c>
      <c r="S57" s="24">
        <f t="shared" si="1"/>
        <v>10</v>
      </c>
      <c r="T57" s="11" t="s">
        <v>233</v>
      </c>
    </row>
    <row r="58" spans="1:20" hidden="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1"/>
      <c r="L58" s="31"/>
      <c r="M58" s="11" t="s">
        <v>24</v>
      </c>
      <c r="N58" s="12" t="s">
        <v>25</v>
      </c>
      <c r="O58" s="47">
        <v>0</v>
      </c>
      <c r="P58" s="47">
        <v>433989</v>
      </c>
      <c r="Q58" s="48">
        <f t="shared" si="2"/>
        <v>433989</v>
      </c>
      <c r="R58" s="13">
        <v>46045</v>
      </c>
      <c r="S58" s="24">
        <f t="shared" si="1"/>
        <v>142</v>
      </c>
      <c r="T58" s="11" t="s">
        <v>233</v>
      </c>
    </row>
    <row r="59" spans="1:20" hidden="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1"/>
      <c r="L59" s="31"/>
      <c r="M59" s="11" t="s">
        <v>24</v>
      </c>
      <c r="N59" s="12" t="s">
        <v>39</v>
      </c>
      <c r="O59" s="47">
        <v>500000</v>
      </c>
      <c r="P59" s="47">
        <v>400000</v>
      </c>
      <c r="Q59" s="48">
        <f t="shared" si="2"/>
        <v>900000</v>
      </c>
      <c r="R59" s="13">
        <v>46045</v>
      </c>
      <c r="S59" s="24">
        <f t="shared" si="1"/>
        <v>140</v>
      </c>
      <c r="T59" s="11" t="s">
        <v>233</v>
      </c>
    </row>
    <row r="60" spans="1:20" hidden="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1"/>
      <c r="L60" s="31"/>
      <c r="M60" s="11" t="s">
        <v>24</v>
      </c>
      <c r="N60" s="12" t="s">
        <v>270</v>
      </c>
      <c r="O60" s="47">
        <v>1109000</v>
      </c>
      <c r="P60" s="47">
        <v>935000</v>
      </c>
      <c r="Q60" s="48">
        <f t="shared" si="2"/>
        <v>2044000</v>
      </c>
      <c r="R60" s="13">
        <v>46045</v>
      </c>
      <c r="S60" s="24">
        <f t="shared" si="1"/>
        <v>12</v>
      </c>
      <c r="T60" s="11" t="s">
        <v>233</v>
      </c>
    </row>
    <row r="61" spans="1:20" hidden="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1"/>
      <c r="L61" s="31"/>
      <c r="M61" s="11" t="s">
        <v>24</v>
      </c>
      <c r="N61" s="12" t="s">
        <v>105</v>
      </c>
      <c r="O61" s="47">
        <v>1670725</v>
      </c>
      <c r="P61" s="47">
        <v>512000</v>
      </c>
      <c r="Q61" s="48">
        <f t="shared" si="2"/>
        <v>2182725</v>
      </c>
      <c r="R61" s="13">
        <v>46048</v>
      </c>
      <c r="S61" s="24">
        <f t="shared" si="1"/>
        <v>62</v>
      </c>
      <c r="T61" s="11" t="s">
        <v>273</v>
      </c>
    </row>
    <row r="62" spans="1:20" hidden="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1"/>
      <c r="L62" s="31"/>
      <c r="M62" s="11" t="s">
        <v>48</v>
      </c>
      <c r="N62" s="11" t="s">
        <v>49</v>
      </c>
      <c r="O62" s="48">
        <v>200000</v>
      </c>
      <c r="P62" s="48">
        <v>0</v>
      </c>
      <c r="Q62" s="48">
        <f t="shared" si="2"/>
        <v>200000</v>
      </c>
      <c r="R62" s="13">
        <v>46049</v>
      </c>
      <c r="S62" s="24">
        <f t="shared" si="1"/>
        <v>35</v>
      </c>
      <c r="T62" s="11" t="s">
        <v>273</v>
      </c>
    </row>
    <row r="63" spans="1:20" hidden="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1"/>
      <c r="L63" s="31"/>
      <c r="M63" s="11" t="s">
        <v>48</v>
      </c>
      <c r="N63" s="11" t="s">
        <v>119</v>
      </c>
      <c r="O63" s="48">
        <v>200000</v>
      </c>
      <c r="P63" s="48">
        <v>0</v>
      </c>
      <c r="Q63" s="48">
        <f t="shared" si="2"/>
        <v>200000</v>
      </c>
      <c r="R63" s="13">
        <v>46049</v>
      </c>
      <c r="S63" s="24">
        <f t="shared" si="1"/>
        <v>14</v>
      </c>
      <c r="T63" s="11" t="s">
        <v>273</v>
      </c>
    </row>
    <row r="64" spans="1:20" hidden="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1"/>
      <c r="L64" s="31"/>
      <c r="M64" s="11" t="s">
        <v>24</v>
      </c>
      <c r="N64" s="12" t="s">
        <v>94</v>
      </c>
      <c r="O64" s="47">
        <v>0</v>
      </c>
      <c r="P64" s="47">
        <v>170681</v>
      </c>
      <c r="Q64" s="48">
        <f t="shared" si="2"/>
        <v>170681</v>
      </c>
      <c r="R64" s="13">
        <v>46049</v>
      </c>
      <c r="S64" s="24">
        <f t="shared" si="1"/>
        <v>70</v>
      </c>
      <c r="T64" s="11" t="s">
        <v>273</v>
      </c>
    </row>
    <row r="65" spans="1:20" hidden="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1"/>
      <c r="L65" s="31"/>
      <c r="M65" s="11" t="s">
        <v>24</v>
      </c>
      <c r="N65" s="12" t="s">
        <v>148</v>
      </c>
      <c r="O65" s="47">
        <v>0</v>
      </c>
      <c r="P65" s="47">
        <v>546923</v>
      </c>
      <c r="Q65" s="48">
        <f t="shared" si="2"/>
        <v>546923</v>
      </c>
      <c r="R65" s="13">
        <v>46049</v>
      </c>
      <c r="S65" s="24">
        <f t="shared" si="1"/>
        <v>43</v>
      </c>
      <c r="T65" s="11" t="s">
        <v>273</v>
      </c>
    </row>
    <row r="66" spans="1:20" hidden="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1"/>
      <c r="L66" s="31"/>
      <c r="M66" s="11" t="s">
        <v>24</v>
      </c>
      <c r="N66" s="12" t="s">
        <v>73</v>
      </c>
      <c r="O66" s="48">
        <v>0</v>
      </c>
      <c r="P66" s="47">
        <v>92730</v>
      </c>
      <c r="Q66" s="48">
        <f t="shared" si="2"/>
        <v>92730</v>
      </c>
      <c r="R66" s="13">
        <v>46049</v>
      </c>
      <c r="S66" s="24">
        <f t="shared" si="1"/>
        <v>26</v>
      </c>
      <c r="T66" s="11" t="s">
        <v>273</v>
      </c>
    </row>
    <row r="67" spans="1:20" hidden="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1"/>
      <c r="L67" s="31"/>
      <c r="M67" s="11" t="s">
        <v>24</v>
      </c>
      <c r="N67" s="12" t="s">
        <v>199</v>
      </c>
      <c r="O67" s="47">
        <v>855000</v>
      </c>
      <c r="P67" s="47">
        <v>196700</v>
      </c>
      <c r="Q67" s="48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</row>
    <row r="68" spans="1:20" hidden="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1"/>
      <c r="L68" s="31"/>
      <c r="M68" s="11" t="s">
        <v>24</v>
      </c>
      <c r="N68" s="11" t="s">
        <v>34</v>
      </c>
      <c r="O68" s="48">
        <v>150000</v>
      </c>
      <c r="P68" s="48">
        <v>60000</v>
      </c>
      <c r="Q68" s="48">
        <f t="shared" si="2"/>
        <v>210000</v>
      </c>
      <c r="R68" s="13">
        <v>46049</v>
      </c>
      <c r="S68" s="24">
        <f t="shared" si="4"/>
        <v>12</v>
      </c>
      <c r="T68" s="11" t="s">
        <v>273</v>
      </c>
    </row>
    <row r="69" spans="1:20" hidden="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1"/>
      <c r="L69" s="31"/>
      <c r="M69" s="11" t="s">
        <v>24</v>
      </c>
      <c r="N69" s="12" t="s">
        <v>105</v>
      </c>
      <c r="O69" s="47">
        <v>1200000</v>
      </c>
      <c r="P69" s="47">
        <v>525090</v>
      </c>
      <c r="Q69" s="48">
        <f t="shared" si="2"/>
        <v>1725090</v>
      </c>
      <c r="R69" s="13">
        <v>46050</v>
      </c>
      <c r="S69" s="24">
        <f t="shared" si="4"/>
        <v>12</v>
      </c>
      <c r="T69" s="11" t="s">
        <v>273</v>
      </c>
    </row>
    <row r="70" spans="1:20" hidden="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1"/>
      <c r="L70" s="31"/>
      <c r="M70" s="11" t="s">
        <v>24</v>
      </c>
      <c r="N70" s="12" t="s">
        <v>54</v>
      </c>
      <c r="O70" s="47">
        <v>3026000</v>
      </c>
      <c r="P70" s="47">
        <v>250000</v>
      </c>
      <c r="Q70" s="48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</row>
    <row r="71" spans="1:20" hidden="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1"/>
      <c r="L71" s="31"/>
      <c r="M71" s="11" t="s">
        <v>24</v>
      </c>
      <c r="N71" s="11" t="s">
        <v>57</v>
      </c>
      <c r="O71" s="48">
        <v>270000</v>
      </c>
      <c r="P71" s="48">
        <v>111435</v>
      </c>
      <c r="Q71" s="48">
        <f t="shared" si="5"/>
        <v>381435</v>
      </c>
      <c r="R71" s="13">
        <v>46051</v>
      </c>
      <c r="S71" s="24">
        <f t="shared" si="4"/>
        <v>4</v>
      </c>
      <c r="T71" s="11" t="s">
        <v>273</v>
      </c>
    </row>
    <row r="72" spans="1:20" hidden="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1"/>
      <c r="L72" s="31"/>
      <c r="M72" s="11" t="s">
        <v>24</v>
      </c>
      <c r="N72" s="11" t="s">
        <v>34</v>
      </c>
      <c r="O72" s="48">
        <v>150000</v>
      </c>
      <c r="P72" s="48">
        <v>60000</v>
      </c>
      <c r="Q72" s="48">
        <f t="shared" si="5"/>
        <v>210000</v>
      </c>
      <c r="R72" s="13">
        <v>46051</v>
      </c>
      <c r="S72" s="24">
        <f t="shared" si="4"/>
        <v>6</v>
      </c>
      <c r="T72" s="11" t="s">
        <v>273</v>
      </c>
    </row>
    <row r="73" spans="1:20" hidden="1" x14ac:dyDescent="0.35">
      <c r="A73" s="12" t="s">
        <v>91</v>
      </c>
      <c r="B73" s="12" t="s">
        <v>19</v>
      </c>
      <c r="C73" s="43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1"/>
      <c r="L73" s="31"/>
      <c r="M73" s="11" t="s">
        <v>24</v>
      </c>
      <c r="N73" s="12" t="s">
        <v>94</v>
      </c>
      <c r="O73" s="47">
        <v>0</v>
      </c>
      <c r="P73" s="47">
        <v>217691</v>
      </c>
      <c r="Q73" s="48">
        <f t="shared" si="5"/>
        <v>217691</v>
      </c>
      <c r="R73" s="13">
        <v>46051</v>
      </c>
      <c r="S73" s="24">
        <f t="shared" si="4"/>
        <v>72</v>
      </c>
      <c r="T73" s="11" t="s">
        <v>273</v>
      </c>
    </row>
    <row r="74" spans="1:20" hidden="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1"/>
      <c r="L74" s="31"/>
      <c r="M74" s="11" t="s">
        <v>24</v>
      </c>
      <c r="N74" s="12" t="s">
        <v>54</v>
      </c>
      <c r="O74" s="48">
        <v>1793983</v>
      </c>
      <c r="P74" s="48">
        <v>200000</v>
      </c>
      <c r="Q74" s="48">
        <f t="shared" si="5"/>
        <v>1993983</v>
      </c>
      <c r="R74" s="13">
        <v>46051</v>
      </c>
      <c r="S74" s="24">
        <f t="shared" si="4"/>
        <v>50</v>
      </c>
      <c r="T74" s="11" t="s">
        <v>273</v>
      </c>
    </row>
    <row r="75" spans="1:20" hidden="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1"/>
      <c r="L75" s="31"/>
      <c r="M75" s="11" t="s">
        <v>24</v>
      </c>
      <c r="N75" s="12" t="s">
        <v>148</v>
      </c>
      <c r="O75" s="47">
        <v>0</v>
      </c>
      <c r="P75" s="47">
        <v>540923</v>
      </c>
      <c r="Q75" s="48">
        <f t="shared" si="5"/>
        <v>540923</v>
      </c>
      <c r="R75" s="13">
        <v>46051</v>
      </c>
      <c r="S75" s="24">
        <f t="shared" si="4"/>
        <v>70</v>
      </c>
      <c r="T75" s="11" t="s">
        <v>273</v>
      </c>
    </row>
    <row r="76" spans="1:20" hidden="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1"/>
      <c r="L76" s="31"/>
      <c r="M76" s="11" t="s">
        <v>24</v>
      </c>
      <c r="N76" s="12" t="s">
        <v>73</v>
      </c>
      <c r="O76" s="47">
        <v>500000</v>
      </c>
      <c r="P76" s="47">
        <v>819491</v>
      </c>
      <c r="Q76" s="48">
        <f>P76+O76</f>
        <v>1319491</v>
      </c>
      <c r="R76" s="13">
        <v>46052</v>
      </c>
      <c r="S76" s="24">
        <f>NETWORKDAYS(H76,R76)</f>
        <v>32</v>
      </c>
      <c r="T76" s="11" t="s">
        <v>273</v>
      </c>
    </row>
    <row r="77" spans="1:20" hidden="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1"/>
      <c r="L77" s="31"/>
      <c r="M77" s="13" t="s">
        <v>24</v>
      </c>
      <c r="N77" s="12" t="s">
        <v>25</v>
      </c>
      <c r="O77" s="47">
        <v>1000000</v>
      </c>
      <c r="P77" s="47">
        <v>300000</v>
      </c>
      <c r="Q77" s="46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</row>
    <row r="78" spans="1:20" hidden="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1"/>
      <c r="L78" s="31"/>
      <c r="M78" s="13" t="s">
        <v>24</v>
      </c>
      <c r="N78" s="12" t="s">
        <v>29</v>
      </c>
      <c r="O78" s="47">
        <v>500000</v>
      </c>
      <c r="P78" s="47">
        <v>892535</v>
      </c>
      <c r="Q78" s="46">
        <f t="shared" si="7"/>
        <v>1392535</v>
      </c>
      <c r="R78" s="13">
        <v>46055</v>
      </c>
      <c r="S78" s="24">
        <f t="shared" si="8"/>
        <v>22</v>
      </c>
      <c r="T78" s="11" t="s">
        <v>26</v>
      </c>
    </row>
    <row r="79" spans="1:20" hidden="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1"/>
      <c r="L79" s="31"/>
      <c r="M79" s="13" t="s">
        <v>24</v>
      </c>
      <c r="N79" s="12" t="s">
        <v>34</v>
      </c>
      <c r="O79" s="47">
        <v>150000</v>
      </c>
      <c r="P79" s="47">
        <v>40000</v>
      </c>
      <c r="Q79" s="46">
        <f t="shared" si="7"/>
        <v>190000</v>
      </c>
      <c r="R79" s="13">
        <v>46055</v>
      </c>
      <c r="S79" s="24">
        <f t="shared" si="8"/>
        <v>7</v>
      </c>
      <c r="T79" s="11" t="s">
        <v>26</v>
      </c>
    </row>
    <row r="80" spans="1:20" hidden="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1"/>
      <c r="L80" s="31"/>
      <c r="M80" s="13" t="s">
        <v>24</v>
      </c>
      <c r="N80" s="12" t="s">
        <v>39</v>
      </c>
      <c r="O80" s="47">
        <v>500000</v>
      </c>
      <c r="P80" s="47">
        <v>391740</v>
      </c>
      <c r="Q80" s="46">
        <f t="shared" si="7"/>
        <v>891740</v>
      </c>
      <c r="R80" s="13">
        <v>46055</v>
      </c>
      <c r="S80" s="24">
        <f t="shared" si="8"/>
        <v>32</v>
      </c>
      <c r="T80" s="11" t="s">
        <v>26</v>
      </c>
    </row>
    <row r="81" spans="1:20" hidden="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1"/>
      <c r="L81" s="31"/>
      <c r="M81" s="13" t="s">
        <v>24</v>
      </c>
      <c r="N81" s="12" t="s">
        <v>39</v>
      </c>
      <c r="O81" s="47">
        <v>788712</v>
      </c>
      <c r="P81" s="47">
        <v>500000</v>
      </c>
      <c r="Q81" s="46">
        <f t="shared" si="7"/>
        <v>1288712</v>
      </c>
      <c r="R81" s="13">
        <v>46055</v>
      </c>
      <c r="S81" s="24">
        <f t="shared" si="8"/>
        <v>32</v>
      </c>
      <c r="T81" s="11" t="s">
        <v>26</v>
      </c>
    </row>
    <row r="82" spans="1:20" ht="15" hidden="1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1"/>
      <c r="L82" s="31"/>
      <c r="M82" s="11" t="s">
        <v>24</v>
      </c>
      <c r="N82" s="11" t="s">
        <v>42</v>
      </c>
      <c r="O82" s="32">
        <v>570000</v>
      </c>
      <c r="P82" s="32">
        <v>221635</v>
      </c>
      <c r="Q82" s="46">
        <f t="shared" si="7"/>
        <v>791635</v>
      </c>
      <c r="R82" s="13">
        <v>46057</v>
      </c>
      <c r="S82" s="24">
        <f t="shared" si="8"/>
        <v>36</v>
      </c>
      <c r="T82" s="11" t="s">
        <v>26</v>
      </c>
    </row>
    <row r="83" spans="1:20" hidden="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1"/>
      <c r="L83" s="31"/>
      <c r="M83" s="13" t="s">
        <v>48</v>
      </c>
      <c r="N83" s="12" t="s">
        <v>49</v>
      </c>
      <c r="O83" s="15">
        <v>200000</v>
      </c>
      <c r="P83" s="15">
        <v>0</v>
      </c>
      <c r="Q83" s="48">
        <f t="shared" si="7"/>
        <v>200000</v>
      </c>
      <c r="R83" s="13">
        <v>46058</v>
      </c>
      <c r="S83" s="24">
        <f t="shared" si="8"/>
        <v>14</v>
      </c>
      <c r="T83" s="11" t="s">
        <v>26</v>
      </c>
    </row>
    <row r="84" spans="1:20" hidden="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1"/>
      <c r="L84" s="31"/>
      <c r="M84" s="13" t="s">
        <v>48</v>
      </c>
      <c r="N84" s="12" t="s">
        <v>49</v>
      </c>
      <c r="O84" s="15">
        <v>200000</v>
      </c>
      <c r="P84" s="47">
        <v>0</v>
      </c>
      <c r="Q84" s="48">
        <f t="shared" si="7"/>
        <v>200000</v>
      </c>
      <c r="R84" s="13">
        <v>46058</v>
      </c>
      <c r="S84" s="24">
        <f t="shared" si="8"/>
        <v>14</v>
      </c>
      <c r="T84" s="11" t="s">
        <v>26</v>
      </c>
    </row>
    <row r="85" spans="1:20" hidden="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1"/>
      <c r="L85" s="31"/>
      <c r="M85" s="11" t="s">
        <v>24</v>
      </c>
      <c r="N85" s="12" t="s">
        <v>54</v>
      </c>
      <c r="O85" s="47">
        <v>0</v>
      </c>
      <c r="P85" s="47">
        <v>0</v>
      </c>
      <c r="Q85" s="48">
        <f t="shared" si="7"/>
        <v>0</v>
      </c>
      <c r="R85" s="13">
        <v>46058</v>
      </c>
      <c r="S85" s="24">
        <f t="shared" si="8"/>
        <v>70</v>
      </c>
      <c r="T85" s="11" t="s">
        <v>26</v>
      </c>
    </row>
    <row r="86" spans="1:20" ht="15" hidden="1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1"/>
      <c r="L86" s="31"/>
      <c r="M86" s="13" t="s">
        <v>24</v>
      </c>
      <c r="N86" s="12" t="s">
        <v>57</v>
      </c>
      <c r="O86" s="47">
        <v>360000</v>
      </c>
      <c r="P86" s="47">
        <v>152495</v>
      </c>
      <c r="Q86" s="46">
        <f t="shared" si="7"/>
        <v>512495</v>
      </c>
      <c r="R86" s="14">
        <v>46058</v>
      </c>
      <c r="S86" s="24">
        <f t="shared" si="8"/>
        <v>42</v>
      </c>
      <c r="T86" s="11" t="s">
        <v>26</v>
      </c>
    </row>
    <row r="87" spans="1:20" hidden="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1"/>
      <c r="L87" s="31"/>
      <c r="M87" s="12" t="s">
        <v>24</v>
      </c>
      <c r="N87" s="12" t="s">
        <v>61</v>
      </c>
      <c r="O87" s="47">
        <v>0</v>
      </c>
      <c r="P87" s="47">
        <v>0</v>
      </c>
      <c r="Q87" s="48">
        <f t="shared" si="7"/>
        <v>0</v>
      </c>
      <c r="R87" s="14">
        <v>46058</v>
      </c>
      <c r="S87" s="24">
        <f t="shared" si="8"/>
        <v>13</v>
      </c>
      <c r="T87" s="11" t="s">
        <v>26</v>
      </c>
    </row>
    <row r="88" spans="1:20" hidden="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1"/>
      <c r="L88" s="31"/>
      <c r="M88" s="13" t="s">
        <v>24</v>
      </c>
      <c r="N88" s="12" t="s">
        <v>64</v>
      </c>
      <c r="O88" s="47">
        <v>600000</v>
      </c>
      <c r="P88" s="47">
        <v>400000</v>
      </c>
      <c r="Q88" s="48">
        <f t="shared" si="7"/>
        <v>1000000</v>
      </c>
      <c r="R88" s="13">
        <v>46059</v>
      </c>
      <c r="S88" s="24">
        <f t="shared" si="8"/>
        <v>81</v>
      </c>
      <c r="T88" s="11" t="s">
        <v>26</v>
      </c>
    </row>
    <row r="89" spans="1:20" hidden="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1"/>
      <c r="L89" s="31"/>
      <c r="M89" s="11" t="s">
        <v>24</v>
      </c>
      <c r="N89" s="12" t="s">
        <v>29</v>
      </c>
      <c r="O89" s="47">
        <v>900000</v>
      </c>
      <c r="P89" s="47">
        <v>461679</v>
      </c>
      <c r="Q89" s="48">
        <f t="shared" si="7"/>
        <v>1361679</v>
      </c>
      <c r="R89" s="13">
        <v>46059</v>
      </c>
      <c r="S89" s="24">
        <f t="shared" si="8"/>
        <v>10</v>
      </c>
      <c r="T89" s="11" t="s">
        <v>26</v>
      </c>
    </row>
    <row r="90" spans="1:20" hidden="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1"/>
      <c r="L90" s="31"/>
      <c r="M90" s="11" t="s">
        <v>24</v>
      </c>
      <c r="N90" s="12" t="s">
        <v>29</v>
      </c>
      <c r="O90" s="47">
        <v>1000000</v>
      </c>
      <c r="P90" s="47">
        <v>538647</v>
      </c>
      <c r="Q90" s="48">
        <f t="shared" si="7"/>
        <v>1538647</v>
      </c>
      <c r="R90" s="13">
        <v>46059</v>
      </c>
      <c r="S90" s="24">
        <f t="shared" si="8"/>
        <v>16</v>
      </c>
      <c r="T90" s="12" t="s">
        <v>26</v>
      </c>
    </row>
    <row r="91" spans="1:20" hidden="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1"/>
      <c r="L91" s="31"/>
      <c r="M91" s="13" t="s">
        <v>24</v>
      </c>
      <c r="N91" s="12" t="s">
        <v>73</v>
      </c>
      <c r="O91" s="47">
        <v>5494650</v>
      </c>
      <c r="P91" s="47">
        <v>1211081</v>
      </c>
      <c r="Q91" s="48">
        <f t="shared" si="7"/>
        <v>6705731</v>
      </c>
      <c r="R91" s="13">
        <v>46062</v>
      </c>
      <c r="S91" s="24">
        <f t="shared" si="8"/>
        <v>11</v>
      </c>
      <c r="T91" s="12" t="s">
        <v>74</v>
      </c>
    </row>
    <row r="92" spans="1:20" hidden="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1"/>
      <c r="L92" s="31"/>
      <c r="M92" s="13" t="s">
        <v>24</v>
      </c>
      <c r="N92" s="12" t="s">
        <v>29</v>
      </c>
      <c r="O92" s="47">
        <v>1430307</v>
      </c>
      <c r="P92" s="47">
        <v>600349</v>
      </c>
      <c r="Q92" s="48">
        <f t="shared" si="7"/>
        <v>2030656</v>
      </c>
      <c r="R92" s="13">
        <v>46063</v>
      </c>
      <c r="S92" s="24">
        <f t="shared" si="8"/>
        <v>22</v>
      </c>
      <c r="T92" s="12" t="s">
        <v>74</v>
      </c>
    </row>
    <row r="93" spans="1:20" ht="25" hidden="1" customHeight="1" x14ac:dyDescent="0.35">
      <c r="A93" s="30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1"/>
      <c r="L93" s="31"/>
      <c r="M93" s="13" t="s">
        <v>24</v>
      </c>
      <c r="N93" s="12" t="s">
        <v>61</v>
      </c>
      <c r="O93" s="47">
        <v>500000</v>
      </c>
      <c r="P93" s="47">
        <v>590836</v>
      </c>
      <c r="Q93" s="48">
        <f t="shared" si="7"/>
        <v>1090836</v>
      </c>
      <c r="R93" s="13">
        <v>46063</v>
      </c>
      <c r="S93" s="24">
        <f t="shared" si="8"/>
        <v>22</v>
      </c>
      <c r="T93" s="12" t="s">
        <v>74</v>
      </c>
    </row>
    <row r="94" spans="1:20" hidden="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1"/>
      <c r="L94" s="31"/>
      <c r="M94" s="11" t="s">
        <v>48</v>
      </c>
      <c r="N94" s="12" t="s">
        <v>49</v>
      </c>
      <c r="O94" s="47">
        <v>200000</v>
      </c>
      <c r="P94" s="47">
        <v>0</v>
      </c>
      <c r="Q94" s="48">
        <f t="shared" si="7"/>
        <v>200000</v>
      </c>
      <c r="R94" s="13">
        <v>46063</v>
      </c>
      <c r="S94" s="24">
        <f t="shared" si="8"/>
        <v>17</v>
      </c>
      <c r="T94" s="11" t="s">
        <v>74</v>
      </c>
    </row>
    <row r="95" spans="1:20" hidden="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1"/>
      <c r="L95" s="31"/>
      <c r="M95" s="11" t="s">
        <v>48</v>
      </c>
      <c r="N95" s="12" t="s">
        <v>84</v>
      </c>
      <c r="O95" s="47">
        <v>0</v>
      </c>
      <c r="P95" s="47">
        <v>0</v>
      </c>
      <c r="Q95" s="48">
        <f t="shared" si="7"/>
        <v>0</v>
      </c>
      <c r="R95" s="13">
        <v>46063</v>
      </c>
      <c r="S95" s="24">
        <f t="shared" si="8"/>
        <v>17</v>
      </c>
      <c r="T95" s="11" t="s">
        <v>74</v>
      </c>
    </row>
    <row r="96" spans="1:20" hidden="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3">
        <v>46045</v>
      </c>
      <c r="J96" s="24">
        <f t="shared" si="6"/>
        <v>12</v>
      </c>
      <c r="K96" s="31"/>
      <c r="L96" s="31"/>
      <c r="M96" s="11" t="s">
        <v>24</v>
      </c>
      <c r="N96" s="11" t="s">
        <v>57</v>
      </c>
      <c r="O96" s="48">
        <v>360000</v>
      </c>
      <c r="P96" s="48">
        <v>92495</v>
      </c>
      <c r="Q96" s="48">
        <f t="shared" si="7"/>
        <v>452495</v>
      </c>
      <c r="R96" s="13">
        <v>46063</v>
      </c>
      <c r="S96" s="24">
        <f t="shared" si="8"/>
        <v>24</v>
      </c>
      <c r="T96" s="11" t="s">
        <v>74</v>
      </c>
    </row>
    <row r="97" spans="1:20" ht="22.5" hidden="1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3">
        <v>46055</v>
      </c>
      <c r="I97" s="13">
        <v>46055</v>
      </c>
      <c r="J97" s="24">
        <f t="shared" si="6"/>
        <v>1</v>
      </c>
      <c r="K97" s="31"/>
      <c r="L97" s="31"/>
      <c r="M97" s="11" t="s">
        <v>24</v>
      </c>
      <c r="N97" s="11" t="s">
        <v>84</v>
      </c>
      <c r="O97" s="47">
        <v>1000000</v>
      </c>
      <c r="P97" s="47">
        <v>495000</v>
      </c>
      <c r="Q97" s="48">
        <f t="shared" si="7"/>
        <v>1495000</v>
      </c>
      <c r="R97" s="13">
        <v>46063</v>
      </c>
      <c r="S97" s="24">
        <f t="shared" si="8"/>
        <v>7</v>
      </c>
      <c r="T97" s="11" t="s">
        <v>74</v>
      </c>
    </row>
    <row r="98" spans="1:20" hidden="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1"/>
      <c r="L98" s="31"/>
      <c r="M98" s="13" t="s">
        <v>24</v>
      </c>
      <c r="N98" s="12" t="s">
        <v>54</v>
      </c>
      <c r="O98" s="47">
        <v>2245845</v>
      </c>
      <c r="P98" s="47">
        <v>474962</v>
      </c>
      <c r="Q98" s="48">
        <f>P98+O98</f>
        <v>2720807</v>
      </c>
      <c r="R98" s="13">
        <v>46063</v>
      </c>
      <c r="S98" s="24">
        <f t="shared" si="8"/>
        <v>161</v>
      </c>
      <c r="T98" s="11" t="s">
        <v>74</v>
      </c>
    </row>
    <row r="99" spans="1:20" hidden="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1"/>
      <c r="L99" s="31"/>
      <c r="M99" s="11" t="s">
        <v>24</v>
      </c>
      <c r="N99" s="11" t="s">
        <v>94</v>
      </c>
      <c r="O99" s="48">
        <v>0</v>
      </c>
      <c r="P99" s="48">
        <v>725636</v>
      </c>
      <c r="Q99" s="48">
        <f>P99+O99</f>
        <v>725636</v>
      </c>
      <c r="R99" s="13">
        <v>46063</v>
      </c>
      <c r="S99" s="24">
        <f t="shared" si="8"/>
        <v>78</v>
      </c>
      <c r="T99" s="11" t="s">
        <v>74</v>
      </c>
    </row>
    <row r="100" spans="1:20" ht="19.5" hidden="1" customHeight="1" x14ac:dyDescent="0.35">
      <c r="A100" s="30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1"/>
      <c r="L100" s="31"/>
      <c r="M100" s="11" t="s">
        <v>24</v>
      </c>
      <c r="N100" s="12" t="s">
        <v>29</v>
      </c>
      <c r="O100" s="47">
        <v>1200000</v>
      </c>
      <c r="P100" s="48">
        <v>515054</v>
      </c>
      <c r="Q100" s="48">
        <f>P100+O100</f>
        <v>1715054</v>
      </c>
      <c r="R100" s="13">
        <v>46063</v>
      </c>
      <c r="S100" s="24">
        <f t="shared" si="8"/>
        <v>20</v>
      </c>
      <c r="T100" s="11" t="s">
        <v>74</v>
      </c>
    </row>
    <row r="101" spans="1:20" hidden="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1"/>
      <c r="L101" s="31"/>
      <c r="M101" s="12" t="s">
        <v>24</v>
      </c>
      <c r="N101" s="12" t="s">
        <v>54</v>
      </c>
      <c r="O101" s="47">
        <v>0</v>
      </c>
      <c r="P101" s="47">
        <v>0</v>
      </c>
      <c r="Q101" s="48">
        <f>P101+O101</f>
        <v>0</v>
      </c>
      <c r="R101" s="13">
        <v>46063</v>
      </c>
      <c r="S101" s="24">
        <f t="shared" si="8"/>
        <v>56</v>
      </c>
      <c r="T101" s="11" t="s">
        <v>74</v>
      </c>
    </row>
    <row r="102" spans="1:20" hidden="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1"/>
      <c r="L102" s="31"/>
      <c r="M102" s="12" t="s">
        <v>24</v>
      </c>
      <c r="N102" s="12" t="s">
        <v>61</v>
      </c>
      <c r="O102" s="47">
        <v>0</v>
      </c>
      <c r="P102" s="47">
        <v>0</v>
      </c>
      <c r="Q102" s="48">
        <f>P102+O102</f>
        <v>0</v>
      </c>
      <c r="R102" s="13">
        <v>46063</v>
      </c>
      <c r="S102" s="24">
        <f t="shared" si="8"/>
        <v>56</v>
      </c>
      <c r="T102" s="11" t="s">
        <v>74</v>
      </c>
    </row>
    <row r="103" spans="1:20" hidden="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1"/>
      <c r="L103" s="31"/>
      <c r="M103" s="11" t="s">
        <v>48</v>
      </c>
      <c r="N103" s="12" t="s">
        <v>49</v>
      </c>
      <c r="O103" s="47">
        <v>200000</v>
      </c>
      <c r="P103" s="47">
        <v>0</v>
      </c>
      <c r="Q103" s="48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</row>
    <row r="104" spans="1:20" hidden="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1"/>
      <c r="L104" s="31"/>
      <c r="M104" s="11" t="s">
        <v>48</v>
      </c>
      <c r="N104" s="12" t="s">
        <v>105</v>
      </c>
      <c r="O104" s="47">
        <v>2148649</v>
      </c>
      <c r="P104" s="47">
        <v>0</v>
      </c>
      <c r="Q104" s="48">
        <f t="shared" si="9"/>
        <v>2148649</v>
      </c>
      <c r="R104" s="13">
        <v>46064</v>
      </c>
      <c r="S104" s="24">
        <f t="shared" si="8"/>
        <v>122</v>
      </c>
      <c r="T104" s="11" t="s">
        <v>74</v>
      </c>
    </row>
    <row r="105" spans="1:20" hidden="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1"/>
      <c r="L105" s="31"/>
      <c r="M105" s="11" t="s">
        <v>48</v>
      </c>
      <c r="N105" s="11" t="s">
        <v>34</v>
      </c>
      <c r="O105" s="15">
        <v>60000</v>
      </c>
      <c r="P105" s="15">
        <v>0</v>
      </c>
      <c r="Q105" s="48">
        <f t="shared" si="9"/>
        <v>60000</v>
      </c>
      <c r="R105" s="13">
        <v>46065</v>
      </c>
      <c r="S105" s="24">
        <f t="shared" si="8"/>
        <v>51</v>
      </c>
      <c r="T105" s="11" t="s">
        <v>74</v>
      </c>
    </row>
    <row r="106" spans="1:20" hidden="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1"/>
      <c r="L106" s="31"/>
      <c r="M106" s="11" t="s">
        <v>48</v>
      </c>
      <c r="N106" s="11" t="s">
        <v>34</v>
      </c>
      <c r="O106" s="15">
        <v>60000</v>
      </c>
      <c r="P106" s="15">
        <v>0</v>
      </c>
      <c r="Q106" s="48">
        <f t="shared" si="9"/>
        <v>60000</v>
      </c>
      <c r="R106" s="13">
        <v>46065</v>
      </c>
      <c r="S106" s="24">
        <f t="shared" si="8"/>
        <v>19</v>
      </c>
      <c r="T106" s="11" t="s">
        <v>74</v>
      </c>
    </row>
    <row r="107" spans="1:20" hidden="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1"/>
      <c r="L107" s="31"/>
      <c r="M107" s="5" t="s">
        <v>24</v>
      </c>
      <c r="N107" s="12" t="s">
        <v>34</v>
      </c>
      <c r="O107" s="15">
        <v>150000</v>
      </c>
      <c r="P107" s="15">
        <v>40000</v>
      </c>
      <c r="Q107" s="48">
        <f t="shared" si="9"/>
        <v>190000</v>
      </c>
      <c r="R107" s="13">
        <v>46065</v>
      </c>
      <c r="S107" s="24">
        <f t="shared" si="8"/>
        <v>13</v>
      </c>
      <c r="T107" s="11" t="s">
        <v>74</v>
      </c>
    </row>
    <row r="108" spans="1:20" hidden="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1"/>
      <c r="L108" s="31"/>
      <c r="M108" s="5" t="s">
        <v>24</v>
      </c>
      <c r="N108" s="12" t="s">
        <v>84</v>
      </c>
      <c r="O108" s="15">
        <v>1000000</v>
      </c>
      <c r="P108" s="15">
        <v>231750</v>
      </c>
      <c r="Q108" s="48">
        <f t="shared" si="9"/>
        <v>1231750</v>
      </c>
      <c r="R108" s="13">
        <v>46065</v>
      </c>
      <c r="S108" s="24">
        <f t="shared" si="8"/>
        <v>10</v>
      </c>
      <c r="T108" s="11" t="s">
        <v>74</v>
      </c>
    </row>
    <row r="109" spans="1:20" hidden="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1"/>
      <c r="L109" s="31"/>
      <c r="M109" s="5" t="s">
        <v>24</v>
      </c>
      <c r="N109" s="12" t="s">
        <v>34</v>
      </c>
      <c r="O109" s="15">
        <v>150000</v>
      </c>
      <c r="P109" s="15">
        <v>60000</v>
      </c>
      <c r="Q109" s="48">
        <f t="shared" si="9"/>
        <v>210000</v>
      </c>
      <c r="R109" s="13">
        <v>46065</v>
      </c>
      <c r="S109" s="24">
        <f t="shared" si="8"/>
        <v>9</v>
      </c>
      <c r="T109" s="11" t="s">
        <v>74</v>
      </c>
    </row>
    <row r="110" spans="1:20" hidden="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1"/>
      <c r="L110" s="31"/>
      <c r="M110" s="11" t="s">
        <v>24</v>
      </c>
      <c r="N110" s="12" t="s">
        <v>54</v>
      </c>
      <c r="O110" s="47">
        <v>835588</v>
      </c>
      <c r="P110" s="47">
        <v>200000</v>
      </c>
      <c r="Q110" s="48">
        <f>P110+O110</f>
        <v>1035588</v>
      </c>
      <c r="R110" s="13">
        <v>46065</v>
      </c>
      <c r="S110" s="24">
        <f t="shared" si="8"/>
        <v>35</v>
      </c>
      <c r="T110" s="11" t="s">
        <v>74</v>
      </c>
    </row>
    <row r="111" spans="1:20" hidden="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4"/>
      <c r="L111" s="34"/>
      <c r="M111" s="35" t="s">
        <v>24</v>
      </c>
      <c r="N111" s="12" t="s">
        <v>29</v>
      </c>
      <c r="O111" s="47">
        <v>1500000</v>
      </c>
      <c r="P111" s="47">
        <v>333527</v>
      </c>
      <c r="Q111" s="48">
        <f t="shared" ref="Q111:Q118" si="10">P111+O111</f>
        <v>1833527</v>
      </c>
      <c r="R111" s="36">
        <v>46066</v>
      </c>
      <c r="S111" s="24">
        <f t="shared" si="8"/>
        <v>47</v>
      </c>
      <c r="T111" s="11" t="s">
        <v>74</v>
      </c>
    </row>
    <row r="112" spans="1:20" hidden="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1"/>
      <c r="L112" s="31"/>
      <c r="M112" s="11" t="s">
        <v>24</v>
      </c>
      <c r="N112" s="11" t="s">
        <v>119</v>
      </c>
      <c r="O112" s="48">
        <v>420853</v>
      </c>
      <c r="P112" s="48">
        <v>467395</v>
      </c>
      <c r="Q112" s="48">
        <f t="shared" si="10"/>
        <v>888248</v>
      </c>
      <c r="R112" s="36">
        <v>46066</v>
      </c>
      <c r="S112" s="24">
        <f t="shared" si="8"/>
        <v>14</v>
      </c>
      <c r="T112" s="11" t="s">
        <v>74</v>
      </c>
    </row>
    <row r="113" spans="1:20" hidden="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1"/>
      <c r="L113" s="31"/>
      <c r="M113" s="11" t="s">
        <v>24</v>
      </c>
      <c r="N113" s="12" t="s">
        <v>29</v>
      </c>
      <c r="O113" s="47">
        <v>500000</v>
      </c>
      <c r="P113" s="47">
        <v>998817</v>
      </c>
      <c r="Q113" s="48">
        <f t="shared" si="10"/>
        <v>1498817</v>
      </c>
      <c r="R113" s="13">
        <v>46069</v>
      </c>
      <c r="S113" s="24">
        <f t="shared" si="8"/>
        <v>27</v>
      </c>
      <c r="T113" s="11" t="s">
        <v>122</v>
      </c>
    </row>
    <row r="114" spans="1:20" hidden="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1"/>
      <c r="L114" s="31"/>
      <c r="M114" s="11" t="s">
        <v>24</v>
      </c>
      <c r="N114" s="12" t="s">
        <v>105</v>
      </c>
      <c r="O114" s="47">
        <v>700000</v>
      </c>
      <c r="P114" s="47">
        <v>497454</v>
      </c>
      <c r="Q114" s="48">
        <f t="shared" si="10"/>
        <v>1197454</v>
      </c>
      <c r="R114" s="13">
        <v>46069</v>
      </c>
      <c r="S114" s="24">
        <f t="shared" si="8"/>
        <v>60</v>
      </c>
      <c r="T114" s="11" t="s">
        <v>122</v>
      </c>
    </row>
    <row r="115" spans="1:20" hidden="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1"/>
      <c r="L115" s="31"/>
      <c r="M115" s="11" t="s">
        <v>24</v>
      </c>
      <c r="N115" s="12" t="s">
        <v>54</v>
      </c>
      <c r="O115" s="47">
        <v>638483</v>
      </c>
      <c r="P115" s="47">
        <v>200000</v>
      </c>
      <c r="Q115" s="48">
        <f t="shared" si="10"/>
        <v>838483</v>
      </c>
      <c r="R115" s="13">
        <v>46069</v>
      </c>
      <c r="S115" s="24">
        <f t="shared" si="8"/>
        <v>37</v>
      </c>
      <c r="T115" s="11" t="s">
        <v>122</v>
      </c>
    </row>
    <row r="116" spans="1:20" hidden="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1"/>
      <c r="L116" s="31"/>
      <c r="M116" s="11" t="s">
        <v>24</v>
      </c>
      <c r="N116" s="12" t="s">
        <v>129</v>
      </c>
      <c r="O116" s="47">
        <v>2000500</v>
      </c>
      <c r="P116" s="47">
        <v>557454</v>
      </c>
      <c r="Q116" s="48">
        <f t="shared" si="10"/>
        <v>2557954</v>
      </c>
      <c r="R116" s="13">
        <v>46070</v>
      </c>
      <c r="S116" s="24">
        <f t="shared" si="8"/>
        <v>13</v>
      </c>
      <c r="T116" s="11" t="s">
        <v>122</v>
      </c>
    </row>
    <row r="117" spans="1:20" hidden="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1"/>
      <c r="L117" s="31"/>
      <c r="M117" s="11" t="s">
        <v>24</v>
      </c>
      <c r="N117" s="11" t="s">
        <v>34</v>
      </c>
      <c r="O117" s="48">
        <v>150000</v>
      </c>
      <c r="P117" s="48">
        <v>60000</v>
      </c>
      <c r="Q117" s="48">
        <f t="shared" si="10"/>
        <v>210000</v>
      </c>
      <c r="R117" s="13">
        <v>46070</v>
      </c>
      <c r="S117" s="24">
        <f t="shared" si="8"/>
        <v>19</v>
      </c>
      <c r="T117" s="11" t="s">
        <v>122</v>
      </c>
    </row>
    <row r="118" spans="1:20" hidden="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1"/>
      <c r="L118" s="31"/>
      <c r="M118" s="11" t="s">
        <v>24</v>
      </c>
      <c r="N118" s="11" t="s">
        <v>84</v>
      </c>
      <c r="O118" s="48">
        <v>1000000</v>
      </c>
      <c r="P118" s="48">
        <v>231750</v>
      </c>
      <c r="Q118" s="48">
        <f t="shared" si="10"/>
        <v>1231750</v>
      </c>
      <c r="R118" s="13">
        <v>46070</v>
      </c>
      <c r="S118" s="24">
        <f t="shared" si="8"/>
        <v>12</v>
      </c>
      <c r="T118" s="11" t="s">
        <v>122</v>
      </c>
    </row>
    <row r="119" spans="1:20" hidden="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1"/>
      <c r="L119" s="31"/>
      <c r="M119" s="11" t="s">
        <v>24</v>
      </c>
      <c r="N119" s="12" t="s">
        <v>54</v>
      </c>
      <c r="O119" s="48">
        <v>1474962</v>
      </c>
      <c r="P119" s="47">
        <v>0</v>
      </c>
      <c r="Q119" s="48">
        <f>P119+O119</f>
        <v>1474962</v>
      </c>
      <c r="R119" s="13">
        <v>46070</v>
      </c>
      <c r="S119" s="24">
        <f t="shared" si="8"/>
        <v>19</v>
      </c>
      <c r="T119" s="11" t="s">
        <v>122</v>
      </c>
    </row>
    <row r="120" spans="1:20" hidden="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1"/>
      <c r="L120" s="31"/>
      <c r="M120" s="11" t="s">
        <v>48</v>
      </c>
      <c r="N120" s="11" t="s">
        <v>137</v>
      </c>
      <c r="O120" s="48">
        <v>2000000</v>
      </c>
      <c r="P120" s="48">
        <v>0</v>
      </c>
      <c r="Q120" s="48">
        <f>P120+O120</f>
        <v>2000000</v>
      </c>
      <c r="R120" s="13">
        <v>46071</v>
      </c>
      <c r="S120" s="24">
        <f t="shared" si="8"/>
        <v>27</v>
      </c>
      <c r="T120" s="11" t="s">
        <v>122</v>
      </c>
    </row>
    <row r="121" spans="1:20" hidden="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1"/>
      <c r="L121" s="31"/>
      <c r="M121" s="11" t="s">
        <v>48</v>
      </c>
      <c r="N121" s="11" t="s">
        <v>137</v>
      </c>
      <c r="O121" s="48">
        <v>2000000</v>
      </c>
      <c r="P121" s="48">
        <v>0</v>
      </c>
      <c r="Q121" s="48">
        <f>P121+O121</f>
        <v>2000000</v>
      </c>
      <c r="R121" s="13">
        <v>46071</v>
      </c>
      <c r="S121" s="24">
        <f t="shared" si="8"/>
        <v>27</v>
      </c>
      <c r="T121" s="11" t="s">
        <v>122</v>
      </c>
    </row>
    <row r="122" spans="1:20" hidden="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1"/>
      <c r="L122" s="31"/>
      <c r="M122" s="11" t="s">
        <v>24</v>
      </c>
      <c r="N122" s="12" t="s">
        <v>137</v>
      </c>
      <c r="O122" s="48">
        <v>2000000</v>
      </c>
      <c r="P122" s="47">
        <v>300000</v>
      </c>
      <c r="Q122" s="48">
        <f>P122+O122</f>
        <v>2300000</v>
      </c>
      <c r="R122" s="13">
        <v>46071</v>
      </c>
      <c r="S122" s="24">
        <f t="shared" si="8"/>
        <v>28</v>
      </c>
      <c r="T122" s="11" t="s">
        <v>122</v>
      </c>
    </row>
    <row r="123" spans="1:20" hidden="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1"/>
      <c r="L123" s="31"/>
      <c r="M123" s="11" t="s">
        <v>24</v>
      </c>
      <c r="N123" s="12" t="s">
        <v>105</v>
      </c>
      <c r="O123" s="47">
        <v>1000000</v>
      </c>
      <c r="P123" s="47">
        <v>693500</v>
      </c>
      <c r="Q123" s="48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</row>
    <row r="124" spans="1:20" hidden="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1"/>
      <c r="L124" s="31"/>
      <c r="M124" s="11" t="s">
        <v>24</v>
      </c>
      <c r="N124" s="12" t="s">
        <v>148</v>
      </c>
      <c r="O124" s="48">
        <v>0</v>
      </c>
      <c r="P124" s="48">
        <v>0</v>
      </c>
      <c r="Q124" s="48">
        <f t="shared" si="11"/>
        <v>0</v>
      </c>
      <c r="R124" s="13">
        <v>46072</v>
      </c>
      <c r="S124" s="24">
        <f t="shared" si="8"/>
        <v>8</v>
      </c>
      <c r="T124" s="11" t="s">
        <v>122</v>
      </c>
    </row>
    <row r="125" spans="1:20" hidden="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1"/>
      <c r="L125" s="31"/>
      <c r="M125" s="11" t="s">
        <v>24</v>
      </c>
      <c r="N125" s="12" t="s">
        <v>151</v>
      </c>
      <c r="O125" s="47">
        <v>150000</v>
      </c>
      <c r="P125" s="47">
        <v>443127</v>
      </c>
      <c r="Q125" s="48">
        <f t="shared" si="11"/>
        <v>593127</v>
      </c>
      <c r="R125" s="13">
        <v>46072</v>
      </c>
      <c r="S125" s="24">
        <f t="shared" si="8"/>
        <v>16</v>
      </c>
      <c r="T125" s="11" t="s">
        <v>122</v>
      </c>
    </row>
    <row r="126" spans="1:20" hidden="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1"/>
      <c r="L126" s="31"/>
      <c r="M126" s="11" t="s">
        <v>24</v>
      </c>
      <c r="N126" s="12" t="s">
        <v>105</v>
      </c>
      <c r="O126" s="47">
        <v>1987902</v>
      </c>
      <c r="P126" s="47">
        <v>270000</v>
      </c>
      <c r="Q126" s="48">
        <f t="shared" si="11"/>
        <v>2257902</v>
      </c>
      <c r="R126" s="13">
        <v>46072</v>
      </c>
      <c r="S126" s="24">
        <f t="shared" si="8"/>
        <v>14</v>
      </c>
      <c r="T126" s="11" t="s">
        <v>122</v>
      </c>
    </row>
    <row r="127" spans="1:20" hidden="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8">
        <v>1100000</v>
      </c>
      <c r="P127" s="47">
        <v>474962</v>
      </c>
      <c r="Q127" s="48">
        <f t="shared" si="11"/>
        <v>1574962</v>
      </c>
      <c r="R127" s="13">
        <v>46076</v>
      </c>
      <c r="S127" s="24">
        <f t="shared" si="8"/>
        <v>16</v>
      </c>
      <c r="T127" s="11" t="s">
        <v>314</v>
      </c>
    </row>
    <row r="128" spans="1:20" hidden="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7">
        <v>1100000</v>
      </c>
      <c r="P128" s="47">
        <v>474962</v>
      </c>
      <c r="Q128" s="48">
        <f t="shared" si="11"/>
        <v>1574962</v>
      </c>
      <c r="R128" s="13">
        <v>46076</v>
      </c>
      <c r="S128" s="24">
        <f t="shared" si="8"/>
        <v>34</v>
      </c>
      <c r="T128" s="11" t="s">
        <v>314</v>
      </c>
    </row>
    <row r="129" spans="1:20" hidden="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7">
        <v>0</v>
      </c>
      <c r="P129" s="47">
        <v>0</v>
      </c>
      <c r="Q129" s="48">
        <f t="shared" si="11"/>
        <v>0</v>
      </c>
      <c r="R129" s="13">
        <v>46077</v>
      </c>
      <c r="S129" s="24">
        <f t="shared" si="8"/>
        <v>11</v>
      </c>
      <c r="T129" s="11" t="s">
        <v>314</v>
      </c>
    </row>
    <row r="130" spans="1:20" hidden="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7">
        <v>270000</v>
      </c>
      <c r="P130" s="47">
        <v>71435</v>
      </c>
      <c r="Q130" s="48">
        <f t="shared" si="11"/>
        <v>341435</v>
      </c>
      <c r="R130" s="13">
        <v>46077</v>
      </c>
      <c r="S130" s="24">
        <f t="shared" si="8"/>
        <v>15</v>
      </c>
      <c r="T130" s="11" t="s">
        <v>314</v>
      </c>
    </row>
    <row r="131" spans="1:20" hidden="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7">
        <v>360000</v>
      </c>
      <c r="P131" s="47">
        <v>92495</v>
      </c>
      <c r="Q131" s="48">
        <f t="shared" si="11"/>
        <v>452495</v>
      </c>
      <c r="R131" s="13">
        <v>46077</v>
      </c>
      <c r="S131" s="24">
        <f t="shared" si="8"/>
        <v>76</v>
      </c>
      <c r="T131" s="11" t="s">
        <v>314</v>
      </c>
    </row>
    <row r="132" spans="1:20" s="26" customFormat="1" hidden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7">
        <v>500000</v>
      </c>
      <c r="P132" s="47">
        <v>1963000</v>
      </c>
      <c r="Q132" s="48">
        <f t="shared" si="11"/>
        <v>2463000</v>
      </c>
      <c r="R132" s="13">
        <v>46078</v>
      </c>
      <c r="S132" s="24">
        <f t="shared" si="8"/>
        <v>36</v>
      </c>
      <c r="T132" s="11" t="s">
        <v>314</v>
      </c>
    </row>
    <row r="133" spans="1:20" s="26" customFormat="1" hidden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7">
        <v>500000</v>
      </c>
      <c r="P133" s="47">
        <v>350000</v>
      </c>
      <c r="Q133" s="48">
        <f t="shared" si="11"/>
        <v>850000</v>
      </c>
      <c r="R133" s="13">
        <v>46078</v>
      </c>
      <c r="S133" s="24">
        <f t="shared" si="8"/>
        <v>67</v>
      </c>
      <c r="T133" s="11" t="s">
        <v>314</v>
      </c>
    </row>
    <row r="134" spans="1:20" hidden="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7">
        <v>2000000</v>
      </c>
      <c r="P134" s="47">
        <v>3000000</v>
      </c>
      <c r="Q134" s="48">
        <f t="shared" si="11"/>
        <v>5000000</v>
      </c>
      <c r="R134" s="13">
        <v>46078</v>
      </c>
      <c r="S134" s="24">
        <f t="shared" si="8"/>
        <v>24</v>
      </c>
      <c r="T134" s="11" t="s">
        <v>314</v>
      </c>
    </row>
    <row r="135" spans="1:20" hidden="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8">
        <v>400000</v>
      </c>
      <c r="P135" s="48">
        <v>0</v>
      </c>
      <c r="Q135" s="48">
        <f t="shared" si="11"/>
        <v>400000</v>
      </c>
      <c r="R135" s="13">
        <v>46079</v>
      </c>
      <c r="S135" s="24">
        <f t="shared" si="8"/>
        <v>29</v>
      </c>
      <c r="T135" s="11" t="s">
        <v>314</v>
      </c>
    </row>
    <row r="136" spans="1:20" hidden="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8">
        <v>150000</v>
      </c>
      <c r="P136" s="48">
        <v>0</v>
      </c>
      <c r="Q136" s="48">
        <f t="shared" si="11"/>
        <v>150000</v>
      </c>
      <c r="R136" s="13">
        <v>46079</v>
      </c>
      <c r="S136" s="24">
        <f t="shared" si="8"/>
        <v>11</v>
      </c>
      <c r="T136" s="11" t="s">
        <v>314</v>
      </c>
    </row>
    <row r="137" spans="1:20" hidden="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8">
        <v>1000000</v>
      </c>
      <c r="P137" s="48">
        <v>0</v>
      </c>
      <c r="Q137" s="48">
        <f t="shared" si="11"/>
        <v>1000000</v>
      </c>
      <c r="R137" s="13">
        <v>46079</v>
      </c>
      <c r="S137" s="24">
        <f t="shared" si="8"/>
        <v>11</v>
      </c>
      <c r="T137" s="11" t="s">
        <v>314</v>
      </c>
    </row>
    <row r="138" spans="1:20" hidden="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8">
        <v>1000000</v>
      </c>
      <c r="P138" s="48">
        <v>0</v>
      </c>
      <c r="Q138" s="48">
        <f t="shared" si="11"/>
        <v>1000000</v>
      </c>
      <c r="R138" s="13">
        <v>46079</v>
      </c>
      <c r="S138" s="24">
        <f t="shared" si="8"/>
        <v>12</v>
      </c>
      <c r="T138" s="11" t="s">
        <v>314</v>
      </c>
    </row>
    <row r="139" spans="1:20" hidden="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8">
        <v>108000</v>
      </c>
      <c r="P139" s="48">
        <v>0</v>
      </c>
      <c r="Q139" s="48">
        <f t="shared" si="11"/>
        <v>108000</v>
      </c>
      <c r="R139" s="13">
        <v>46079</v>
      </c>
      <c r="S139" s="24">
        <f t="shared" si="8"/>
        <v>76</v>
      </c>
      <c r="T139" s="11" t="s">
        <v>314</v>
      </c>
    </row>
    <row r="140" spans="1:20" hidden="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8">
        <v>270000</v>
      </c>
      <c r="P140" s="48">
        <v>71435</v>
      </c>
      <c r="Q140" s="48">
        <f t="shared" si="11"/>
        <v>341435</v>
      </c>
      <c r="R140" s="13">
        <v>46079</v>
      </c>
      <c r="S140" s="24">
        <f t="shared" si="8"/>
        <v>16</v>
      </c>
      <c r="T140" s="11" t="s">
        <v>314</v>
      </c>
    </row>
    <row r="141" spans="1:20" hidden="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195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8">
        <v>3000000</v>
      </c>
      <c r="P141" s="48">
        <v>139050</v>
      </c>
      <c r="Q141" s="48">
        <f t="shared" si="11"/>
        <v>3139050</v>
      </c>
      <c r="R141" s="13">
        <v>46079</v>
      </c>
      <c r="S141" s="24">
        <f t="shared" ref="S141:S195" si="13">NETWORKDAYS(H141,R141)</f>
        <v>261</v>
      </c>
      <c r="T141" s="11" t="s">
        <v>314</v>
      </c>
    </row>
    <row r="142" spans="1:20" hidden="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7">
        <v>350000</v>
      </c>
      <c r="P142" s="47">
        <v>197989</v>
      </c>
      <c r="Q142" s="48">
        <f t="shared" si="11"/>
        <v>547989</v>
      </c>
      <c r="R142" s="13">
        <v>46079</v>
      </c>
      <c r="S142" s="24">
        <f t="shared" si="13"/>
        <v>27</v>
      </c>
      <c r="T142" s="11" t="s">
        <v>314</v>
      </c>
    </row>
    <row r="143" spans="1:20" hidden="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8">
        <v>842820</v>
      </c>
      <c r="P143" s="48">
        <v>0</v>
      </c>
      <c r="Q143" s="48">
        <f t="shared" si="11"/>
        <v>842820</v>
      </c>
      <c r="R143" s="13">
        <v>46080</v>
      </c>
      <c r="S143" s="24">
        <f t="shared" si="13"/>
        <v>15</v>
      </c>
      <c r="T143" s="11" t="s">
        <v>314</v>
      </c>
    </row>
    <row r="144" spans="1:20" hidden="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7">
        <v>3986938</v>
      </c>
      <c r="P144" s="47">
        <v>400908</v>
      </c>
      <c r="Q144" s="48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</row>
    <row r="145" spans="1:20" hidden="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7">
        <v>250000</v>
      </c>
      <c r="P145" s="47">
        <v>370000</v>
      </c>
      <c r="Q145" s="48">
        <f t="shared" si="11"/>
        <v>620000</v>
      </c>
      <c r="R145" s="13">
        <v>46080</v>
      </c>
      <c r="S145" s="24">
        <f t="shared" si="13"/>
        <v>79</v>
      </c>
      <c r="T145" s="11" t="s">
        <v>314</v>
      </c>
    </row>
    <row r="146" spans="1:20" hidden="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7">
        <v>1000000</v>
      </c>
      <c r="P146" s="47">
        <v>965500</v>
      </c>
      <c r="Q146" s="48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</row>
    <row r="147" spans="1:20" hidden="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7">
        <v>2000000</v>
      </c>
      <c r="P147" s="47">
        <v>300000</v>
      </c>
      <c r="Q147" s="48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</row>
    <row r="148" spans="1:20" hidden="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7">
        <v>0</v>
      </c>
      <c r="P148" s="47">
        <v>0</v>
      </c>
      <c r="Q148" s="48">
        <f t="shared" si="11"/>
        <v>0</v>
      </c>
      <c r="R148" s="13">
        <v>46081</v>
      </c>
      <c r="S148" s="24">
        <f t="shared" si="13"/>
        <v>69</v>
      </c>
      <c r="T148" s="11" t="s">
        <v>314</v>
      </c>
    </row>
    <row r="149" spans="1:20" x14ac:dyDescent="0.35">
      <c r="A149" s="12" t="s">
        <v>344</v>
      </c>
      <c r="B149" s="44" t="s">
        <v>44</v>
      </c>
      <c r="C149" s="44">
        <v>57664431</v>
      </c>
      <c r="D149" s="44" t="s">
        <v>345</v>
      </c>
      <c r="E149" s="44" t="s">
        <v>346</v>
      </c>
      <c r="F149" s="44" t="s">
        <v>47</v>
      </c>
      <c r="G149" s="44" t="s">
        <v>23</v>
      </c>
      <c r="H149" s="45">
        <v>46055</v>
      </c>
      <c r="I149" s="45">
        <v>46083</v>
      </c>
      <c r="J149" s="24">
        <f t="shared" si="12"/>
        <v>21</v>
      </c>
      <c r="K149" s="44" t="s">
        <v>303</v>
      </c>
      <c r="L149" s="44" t="s">
        <v>304</v>
      </c>
      <c r="M149" s="44" t="s">
        <v>24</v>
      </c>
      <c r="N149" s="44" t="s">
        <v>39</v>
      </c>
      <c r="O149" s="49">
        <v>2500000</v>
      </c>
      <c r="P149" s="49">
        <v>2325347</v>
      </c>
      <c r="Q149" s="47">
        <f>P149+O149</f>
        <v>4825347</v>
      </c>
      <c r="R149" s="45">
        <v>46084</v>
      </c>
      <c r="S149" s="24">
        <f t="shared" si="13"/>
        <v>22</v>
      </c>
      <c r="T149" s="44" t="s">
        <v>347</v>
      </c>
    </row>
    <row r="150" spans="1:20" x14ac:dyDescent="0.35">
      <c r="A150" s="12" t="s">
        <v>348</v>
      </c>
      <c r="B150" s="44" t="s">
        <v>31</v>
      </c>
      <c r="C150" s="44">
        <v>57417024</v>
      </c>
      <c r="D150" s="44" t="s">
        <v>68</v>
      </c>
      <c r="E150" s="44">
        <v>2721710775</v>
      </c>
      <c r="F150" s="44" t="s">
        <v>33</v>
      </c>
      <c r="G150" s="44" t="s">
        <v>23</v>
      </c>
      <c r="H150" s="45">
        <v>46050</v>
      </c>
      <c r="I150" s="45">
        <v>46083</v>
      </c>
      <c r="J150" s="24">
        <f t="shared" si="12"/>
        <v>24</v>
      </c>
      <c r="K150" s="44" t="s">
        <v>303</v>
      </c>
      <c r="L150" s="44" t="s">
        <v>304</v>
      </c>
      <c r="M150" s="44" t="s">
        <v>24</v>
      </c>
      <c r="N150" s="44" t="s">
        <v>34</v>
      </c>
      <c r="O150" s="49">
        <v>150000</v>
      </c>
      <c r="P150" s="49">
        <v>40000</v>
      </c>
      <c r="Q150" s="47">
        <f t="shared" ref="Q150:Q189" si="14">P150+O150</f>
        <v>190000</v>
      </c>
      <c r="R150" s="45">
        <v>46084</v>
      </c>
      <c r="S150" s="24">
        <f t="shared" si="13"/>
        <v>25</v>
      </c>
      <c r="T150" s="44" t="s">
        <v>347</v>
      </c>
    </row>
    <row r="151" spans="1:20" x14ac:dyDescent="0.35">
      <c r="A151" s="12" t="s">
        <v>324</v>
      </c>
      <c r="B151" s="44" t="s">
        <v>19</v>
      </c>
      <c r="C151" s="44">
        <v>57847231</v>
      </c>
      <c r="D151" s="44" t="s">
        <v>325</v>
      </c>
      <c r="E151" s="44" t="s">
        <v>349</v>
      </c>
      <c r="F151" s="44" t="s">
        <v>47</v>
      </c>
      <c r="G151" s="44" t="s">
        <v>23</v>
      </c>
      <c r="H151" s="45">
        <v>46058</v>
      </c>
      <c r="I151" s="45">
        <v>46078</v>
      </c>
      <c r="J151" s="24">
        <f t="shared" si="12"/>
        <v>15</v>
      </c>
      <c r="K151" s="44" t="s">
        <v>303</v>
      </c>
      <c r="L151" s="44" t="s">
        <v>304</v>
      </c>
      <c r="M151" s="44" t="s">
        <v>24</v>
      </c>
      <c r="N151" s="44" t="s">
        <v>61</v>
      </c>
      <c r="O151" s="49">
        <v>485500</v>
      </c>
      <c r="P151" s="49">
        <v>251105</v>
      </c>
      <c r="Q151" s="47">
        <f t="shared" si="14"/>
        <v>736605</v>
      </c>
      <c r="R151" s="45">
        <v>46085</v>
      </c>
      <c r="S151" s="24">
        <f t="shared" si="13"/>
        <v>20</v>
      </c>
      <c r="T151" s="44" t="s">
        <v>347</v>
      </c>
    </row>
    <row r="152" spans="1:20" x14ac:dyDescent="0.35">
      <c r="A152" s="12" t="s">
        <v>350</v>
      </c>
      <c r="B152" s="44" t="s">
        <v>19</v>
      </c>
      <c r="C152" s="44">
        <v>24190516</v>
      </c>
      <c r="D152" s="44" t="s">
        <v>351</v>
      </c>
      <c r="E152" s="44" t="s">
        <v>352</v>
      </c>
      <c r="F152" s="44" t="s">
        <v>47</v>
      </c>
      <c r="G152" s="44" t="s">
        <v>23</v>
      </c>
      <c r="H152" s="45">
        <v>45261</v>
      </c>
      <c r="I152" s="45">
        <v>46079</v>
      </c>
      <c r="J152" s="24">
        <f t="shared" si="12"/>
        <v>585</v>
      </c>
      <c r="K152" s="44" t="s">
        <v>353</v>
      </c>
      <c r="L152" s="44" t="s">
        <v>327</v>
      </c>
      <c r="M152" s="44" t="s">
        <v>24</v>
      </c>
      <c r="N152" s="44" t="s">
        <v>61</v>
      </c>
      <c r="O152" s="49">
        <v>8018371</v>
      </c>
      <c r="P152" s="49">
        <v>800000</v>
      </c>
      <c r="Q152" s="47">
        <f t="shared" si="14"/>
        <v>8818371</v>
      </c>
      <c r="R152" s="45">
        <v>46085</v>
      </c>
      <c r="S152" s="24">
        <f t="shared" si="13"/>
        <v>589</v>
      </c>
      <c r="T152" s="44" t="s">
        <v>347</v>
      </c>
    </row>
    <row r="153" spans="1:20" x14ac:dyDescent="0.35">
      <c r="A153" s="12" t="s">
        <v>354</v>
      </c>
      <c r="B153" s="44" t="s">
        <v>19</v>
      </c>
      <c r="C153" s="44">
        <v>58227435</v>
      </c>
      <c r="D153" s="44" t="s">
        <v>20</v>
      </c>
      <c r="E153" s="44" t="s">
        <v>355</v>
      </c>
      <c r="F153" s="44" t="s">
        <v>22</v>
      </c>
      <c r="G153" s="44" t="s">
        <v>23</v>
      </c>
      <c r="H153" s="45">
        <v>46069</v>
      </c>
      <c r="I153" s="45">
        <v>46083</v>
      </c>
      <c r="J153" s="24">
        <f t="shared" si="12"/>
        <v>11</v>
      </c>
      <c r="K153" s="44" t="s">
        <v>303</v>
      </c>
      <c r="L153" s="44" t="s">
        <v>304</v>
      </c>
      <c r="M153" s="44" t="s">
        <v>24</v>
      </c>
      <c r="N153" s="44" t="s">
        <v>54</v>
      </c>
      <c r="O153" s="49">
        <v>0</v>
      </c>
      <c r="P153" s="49">
        <v>430500</v>
      </c>
      <c r="Q153" s="47">
        <f t="shared" si="14"/>
        <v>430500</v>
      </c>
      <c r="R153" s="45">
        <v>46085</v>
      </c>
      <c r="S153" s="24">
        <f t="shared" si="13"/>
        <v>13</v>
      </c>
      <c r="T153" s="44" t="s">
        <v>347</v>
      </c>
    </row>
    <row r="154" spans="1:20" x14ac:dyDescent="0.35">
      <c r="A154" s="12" t="s">
        <v>145</v>
      </c>
      <c r="B154" s="44" t="s">
        <v>44</v>
      </c>
      <c r="C154" s="44">
        <v>54990268</v>
      </c>
      <c r="D154" s="44" t="s">
        <v>356</v>
      </c>
      <c r="E154" s="44" t="s">
        <v>357</v>
      </c>
      <c r="F154" s="44" t="s">
        <v>47</v>
      </c>
      <c r="G154" s="44" t="s">
        <v>23</v>
      </c>
      <c r="H154" s="45">
        <v>46002</v>
      </c>
      <c r="I154" s="45">
        <v>46084</v>
      </c>
      <c r="J154" s="24">
        <f t="shared" si="12"/>
        <v>59</v>
      </c>
      <c r="K154" s="44" t="s">
        <v>303</v>
      </c>
      <c r="L154" s="44" t="s">
        <v>327</v>
      </c>
      <c r="M154" s="44" t="s">
        <v>358</v>
      </c>
      <c r="N154" s="44" t="s">
        <v>54</v>
      </c>
      <c r="O154" s="49">
        <v>0</v>
      </c>
      <c r="P154" s="49">
        <v>0</v>
      </c>
      <c r="Q154" s="47">
        <f t="shared" si="14"/>
        <v>0</v>
      </c>
      <c r="R154" s="45">
        <v>46085</v>
      </c>
      <c r="S154" s="24">
        <f t="shared" si="13"/>
        <v>60</v>
      </c>
      <c r="T154" s="44" t="s">
        <v>347</v>
      </c>
    </row>
    <row r="155" spans="1:20" x14ac:dyDescent="0.35">
      <c r="A155" s="12" t="s">
        <v>359</v>
      </c>
      <c r="B155" s="44" t="s">
        <v>31</v>
      </c>
      <c r="C155" s="44">
        <v>57782724</v>
      </c>
      <c r="D155" s="44" t="s">
        <v>20</v>
      </c>
      <c r="E155" s="44">
        <v>2722229745</v>
      </c>
      <c r="F155" s="44" t="s">
        <v>33</v>
      </c>
      <c r="G155" s="44" t="s">
        <v>23</v>
      </c>
      <c r="H155" s="45">
        <v>46057</v>
      </c>
      <c r="I155" s="45">
        <v>46073</v>
      </c>
      <c r="J155" s="24">
        <f t="shared" si="12"/>
        <v>13</v>
      </c>
      <c r="K155" s="44" t="s">
        <v>303</v>
      </c>
      <c r="L155" s="44" t="s">
        <v>304</v>
      </c>
      <c r="M155" s="44" t="s">
        <v>24</v>
      </c>
      <c r="N155" s="44" t="s">
        <v>34</v>
      </c>
      <c r="O155" s="49">
        <v>150000</v>
      </c>
      <c r="P155" s="49">
        <v>60000</v>
      </c>
      <c r="Q155" s="47">
        <f t="shared" si="14"/>
        <v>210000</v>
      </c>
      <c r="R155" s="45">
        <v>46085</v>
      </c>
      <c r="S155" s="24">
        <f t="shared" si="13"/>
        <v>21</v>
      </c>
      <c r="T155" s="44" t="s">
        <v>347</v>
      </c>
    </row>
    <row r="156" spans="1:20" x14ac:dyDescent="0.35">
      <c r="A156" s="12" t="s">
        <v>360</v>
      </c>
      <c r="B156" s="44" t="s">
        <v>31</v>
      </c>
      <c r="C156" s="44">
        <v>58585753</v>
      </c>
      <c r="D156" s="44" t="s">
        <v>20</v>
      </c>
      <c r="E156" s="44">
        <v>2722229950</v>
      </c>
      <c r="F156" s="44" t="s">
        <v>33</v>
      </c>
      <c r="G156" s="44" t="s">
        <v>23</v>
      </c>
      <c r="H156" s="45">
        <v>46072</v>
      </c>
      <c r="I156" s="45">
        <v>46084</v>
      </c>
      <c r="J156" s="24">
        <f t="shared" si="12"/>
        <v>9</v>
      </c>
      <c r="K156" s="44" t="s">
        <v>303</v>
      </c>
      <c r="L156" s="44" t="s">
        <v>304</v>
      </c>
      <c r="M156" s="44" t="s">
        <v>24</v>
      </c>
      <c r="N156" s="44" t="s">
        <v>34</v>
      </c>
      <c r="O156" s="49">
        <v>150000</v>
      </c>
      <c r="P156" s="49">
        <v>60000</v>
      </c>
      <c r="Q156" s="47">
        <f t="shared" si="14"/>
        <v>210000</v>
      </c>
      <c r="R156" s="45">
        <v>46085</v>
      </c>
      <c r="S156" s="24">
        <f t="shared" si="13"/>
        <v>10</v>
      </c>
      <c r="T156" s="44" t="s">
        <v>347</v>
      </c>
    </row>
    <row r="157" spans="1:20" x14ac:dyDescent="0.35">
      <c r="A157" s="44" t="s">
        <v>43</v>
      </c>
      <c r="B157" s="44" t="s">
        <v>44</v>
      </c>
      <c r="C157" s="44">
        <v>55490966</v>
      </c>
      <c r="D157" s="44" t="s">
        <v>68</v>
      </c>
      <c r="E157" s="44" t="s">
        <v>361</v>
      </c>
      <c r="F157" s="44" t="s">
        <v>22</v>
      </c>
      <c r="G157" s="44" t="s">
        <v>38</v>
      </c>
      <c r="H157" s="45">
        <v>46010</v>
      </c>
      <c r="I157" s="45">
        <v>46084</v>
      </c>
      <c r="J157" s="24">
        <f t="shared" si="12"/>
        <v>53</v>
      </c>
      <c r="K157" s="50" t="s">
        <v>303</v>
      </c>
      <c r="L157" s="51" t="s">
        <v>327</v>
      </c>
      <c r="M157" s="51" t="s">
        <v>24</v>
      </c>
      <c r="N157" s="44" t="s">
        <v>199</v>
      </c>
      <c r="O157" s="52">
        <v>0</v>
      </c>
      <c r="P157" s="52">
        <v>0</v>
      </c>
      <c r="Q157" s="47">
        <f t="shared" si="14"/>
        <v>0</v>
      </c>
      <c r="R157" s="53">
        <v>46086</v>
      </c>
      <c r="S157" s="24">
        <f t="shared" si="13"/>
        <v>55</v>
      </c>
      <c r="T157" s="44" t="s">
        <v>347</v>
      </c>
    </row>
    <row r="158" spans="1:20" x14ac:dyDescent="0.35">
      <c r="A158" s="44" t="s">
        <v>362</v>
      </c>
      <c r="B158" s="44" t="s">
        <v>44</v>
      </c>
      <c r="C158" s="44">
        <v>58853643</v>
      </c>
      <c r="D158" s="44" t="s">
        <v>363</v>
      </c>
      <c r="E158" s="44" t="s">
        <v>364</v>
      </c>
      <c r="F158" s="44" t="s">
        <v>22</v>
      </c>
      <c r="G158" s="44" t="s">
        <v>41</v>
      </c>
      <c r="H158" s="54">
        <v>46079</v>
      </c>
      <c r="I158" s="54">
        <v>46085</v>
      </c>
      <c r="J158" s="24">
        <f t="shared" si="12"/>
        <v>5</v>
      </c>
      <c r="K158" s="50" t="s">
        <v>303</v>
      </c>
      <c r="L158" s="51" t="s">
        <v>304</v>
      </c>
      <c r="M158" s="51" t="s">
        <v>358</v>
      </c>
      <c r="N158" s="44" t="s">
        <v>148</v>
      </c>
      <c r="O158" s="52">
        <v>0</v>
      </c>
      <c r="P158" s="52">
        <v>0</v>
      </c>
      <c r="Q158" s="47">
        <f t="shared" si="14"/>
        <v>0</v>
      </c>
      <c r="R158" s="53">
        <v>46086</v>
      </c>
      <c r="S158" s="24">
        <f t="shared" si="13"/>
        <v>6</v>
      </c>
      <c r="T158" s="44" t="s">
        <v>347</v>
      </c>
    </row>
    <row r="159" spans="1:20" x14ac:dyDescent="0.35">
      <c r="A159" s="5" t="s">
        <v>43</v>
      </c>
      <c r="B159" s="5" t="s">
        <v>44</v>
      </c>
      <c r="C159" s="55">
        <v>54479742</v>
      </c>
      <c r="D159" s="11" t="s">
        <v>365</v>
      </c>
      <c r="E159" s="55" t="s">
        <v>366</v>
      </c>
      <c r="F159" s="11" t="s">
        <v>47</v>
      </c>
      <c r="G159" s="12" t="s">
        <v>23</v>
      </c>
      <c r="H159" s="56">
        <v>45993</v>
      </c>
      <c r="I159" s="56">
        <v>46084</v>
      </c>
      <c r="J159" s="24">
        <f t="shared" si="12"/>
        <v>66</v>
      </c>
      <c r="K159" s="50" t="s">
        <v>303</v>
      </c>
      <c r="L159" s="51" t="s">
        <v>304</v>
      </c>
      <c r="M159" s="51" t="s">
        <v>48</v>
      </c>
      <c r="N159" s="11" t="s">
        <v>49</v>
      </c>
      <c r="O159" s="5">
        <v>6064001</v>
      </c>
      <c r="P159" s="5">
        <v>0</v>
      </c>
      <c r="Q159" s="47">
        <f t="shared" si="14"/>
        <v>6064001</v>
      </c>
      <c r="R159" s="53">
        <v>46086</v>
      </c>
      <c r="S159" s="24">
        <f t="shared" si="13"/>
        <v>68</v>
      </c>
      <c r="T159" s="44" t="s">
        <v>347</v>
      </c>
    </row>
    <row r="160" spans="1:20" x14ac:dyDescent="0.35">
      <c r="A160" s="5" t="s">
        <v>367</v>
      </c>
      <c r="B160" s="44" t="s">
        <v>87</v>
      </c>
      <c r="C160" s="5">
        <v>58932414</v>
      </c>
      <c r="D160" s="44" t="s">
        <v>368</v>
      </c>
      <c r="E160" s="5">
        <v>2722229955</v>
      </c>
      <c r="F160" s="44" t="s">
        <v>33</v>
      </c>
      <c r="G160" s="44" t="s">
        <v>23</v>
      </c>
      <c r="H160" s="45">
        <v>46078</v>
      </c>
      <c r="I160" s="45">
        <v>46086</v>
      </c>
      <c r="J160" s="24">
        <f t="shared" si="12"/>
        <v>7</v>
      </c>
      <c r="K160" s="50" t="s">
        <v>303</v>
      </c>
      <c r="L160" s="51" t="s">
        <v>304</v>
      </c>
      <c r="M160" s="51" t="s">
        <v>24</v>
      </c>
      <c r="N160" s="44" t="s">
        <v>84</v>
      </c>
      <c r="O160" s="52">
        <v>1000000</v>
      </c>
      <c r="P160" s="52">
        <v>495000</v>
      </c>
      <c r="Q160" s="47">
        <f t="shared" si="14"/>
        <v>1495000</v>
      </c>
      <c r="R160" s="53">
        <v>46086</v>
      </c>
      <c r="S160" s="24">
        <f t="shared" si="13"/>
        <v>7</v>
      </c>
      <c r="T160" s="44" t="s">
        <v>347</v>
      </c>
    </row>
    <row r="161" spans="1:20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7">
        <f t="shared" si="14"/>
        <v>687644</v>
      </c>
      <c r="R161" s="13">
        <v>46086</v>
      </c>
      <c r="S161" s="24">
        <f t="shared" si="13"/>
        <v>20</v>
      </c>
      <c r="T161" s="11" t="s">
        <v>347</v>
      </c>
    </row>
    <row r="162" spans="1:20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7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</row>
    <row r="163" spans="1:20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7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</row>
    <row r="164" spans="1:20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7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</row>
    <row r="165" spans="1:20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7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</row>
    <row r="166" spans="1:20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7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</row>
    <row r="167" spans="1:20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7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</row>
    <row r="168" spans="1:20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7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</row>
    <row r="169" spans="1:20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7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</row>
    <row r="170" spans="1:20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7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</row>
    <row r="171" spans="1:20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7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</row>
    <row r="172" spans="1:20" x14ac:dyDescent="0.35">
      <c r="A172" s="12" t="s">
        <v>374</v>
      </c>
      <c r="B172" s="12" t="s">
        <v>44</v>
      </c>
      <c r="C172" s="57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9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7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</row>
    <row r="173" spans="1:20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7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</row>
    <row r="174" spans="1:20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7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</row>
    <row r="175" spans="1:20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7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</row>
    <row r="176" spans="1:20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7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</row>
    <row r="177" spans="1:20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7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</row>
    <row r="178" spans="1:20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7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</row>
    <row r="179" spans="1:20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7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</row>
    <row r="180" spans="1:20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7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</row>
    <row r="181" spans="1:20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7">
        <f t="shared" si="14"/>
        <v>0</v>
      </c>
      <c r="R181" s="13">
        <v>46091</v>
      </c>
      <c r="S181" s="24">
        <f t="shared" si="13"/>
        <v>15</v>
      </c>
      <c r="T181" s="11" t="s">
        <v>377</v>
      </c>
    </row>
    <row r="182" spans="1:20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7">
        <f t="shared" si="14"/>
        <v>1590836</v>
      </c>
      <c r="R182" s="13">
        <v>46091</v>
      </c>
      <c r="S182" s="24">
        <f t="shared" si="13"/>
        <v>7</v>
      </c>
      <c r="T182" s="11" t="s">
        <v>377</v>
      </c>
    </row>
    <row r="183" spans="1:20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7">
        <f t="shared" si="14"/>
        <v>0</v>
      </c>
      <c r="R183" s="13">
        <v>46091</v>
      </c>
      <c r="S183" s="24">
        <f t="shared" si="13"/>
        <v>34</v>
      </c>
      <c r="T183" s="11" t="s">
        <v>377</v>
      </c>
    </row>
    <row r="184" spans="1:20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7">
        <f t="shared" si="14"/>
        <v>0</v>
      </c>
      <c r="R184" s="13">
        <v>46091</v>
      </c>
      <c r="S184" s="24">
        <f t="shared" si="13"/>
        <v>34</v>
      </c>
      <c r="T184" s="11" t="s">
        <v>377</v>
      </c>
    </row>
    <row r="185" spans="1:20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9">
        <v>150000</v>
      </c>
      <c r="P185" s="59">
        <v>60000</v>
      </c>
      <c r="Q185" s="47">
        <f t="shared" si="14"/>
        <v>210000</v>
      </c>
      <c r="R185" s="13">
        <v>46091</v>
      </c>
      <c r="S185" s="24">
        <f t="shared" si="13"/>
        <v>9</v>
      </c>
      <c r="T185" s="11" t="s">
        <v>377</v>
      </c>
    </row>
    <row r="186" spans="1:20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9">
        <v>150000</v>
      </c>
      <c r="P186" s="59">
        <v>60000</v>
      </c>
      <c r="Q186" s="47">
        <f t="shared" si="14"/>
        <v>210000</v>
      </c>
      <c r="R186" s="13">
        <v>46091</v>
      </c>
      <c r="S186" s="24">
        <f t="shared" si="13"/>
        <v>64</v>
      </c>
      <c r="T186" s="11" t="s">
        <v>377</v>
      </c>
    </row>
    <row r="187" spans="1:20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7">
        <f t="shared" si="14"/>
        <v>0</v>
      </c>
      <c r="R187" s="13">
        <v>46091</v>
      </c>
      <c r="S187" s="24">
        <f t="shared" si="13"/>
        <v>164</v>
      </c>
      <c r="T187" s="11" t="s">
        <v>377</v>
      </c>
    </row>
    <row r="188" spans="1:20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7">
        <f t="shared" si="14"/>
        <v>0</v>
      </c>
      <c r="R188" s="13">
        <v>46091</v>
      </c>
      <c r="S188" s="24">
        <f t="shared" si="13"/>
        <v>152</v>
      </c>
      <c r="T188" s="11" t="s">
        <v>377</v>
      </c>
    </row>
    <row r="189" spans="1:20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8" t="s">
        <v>303</v>
      </c>
      <c r="L189" s="35" t="s">
        <v>304</v>
      </c>
      <c r="M189" s="12" t="s">
        <v>425</v>
      </c>
      <c r="N189" s="12" t="s">
        <v>119</v>
      </c>
      <c r="O189" s="60">
        <v>0</v>
      </c>
      <c r="P189" s="60">
        <v>0</v>
      </c>
      <c r="Q189" s="47">
        <f t="shared" si="14"/>
        <v>0</v>
      </c>
      <c r="R189" s="13">
        <v>46091</v>
      </c>
      <c r="S189" s="24">
        <f t="shared" si="13"/>
        <v>69</v>
      </c>
      <c r="T189" s="11" t="s">
        <v>377</v>
      </c>
    </row>
    <row r="190" spans="1:20" x14ac:dyDescent="0.35">
      <c r="A190" s="12" t="s">
        <v>430</v>
      </c>
      <c r="B190" s="44" t="s">
        <v>44</v>
      </c>
      <c r="C190" s="44">
        <v>50732535</v>
      </c>
      <c r="D190" s="44" t="s">
        <v>20</v>
      </c>
      <c r="E190" s="44" t="s">
        <v>431</v>
      </c>
      <c r="F190" s="44" t="s">
        <v>22</v>
      </c>
      <c r="G190" s="44" t="s">
        <v>38</v>
      </c>
      <c r="H190" s="45">
        <v>45919</v>
      </c>
      <c r="I190" s="45">
        <v>46056</v>
      </c>
      <c r="J190" s="24">
        <f t="shared" si="12"/>
        <v>98</v>
      </c>
      <c r="K190" s="44" t="s">
        <v>303</v>
      </c>
      <c r="L190" s="44" t="s">
        <v>327</v>
      </c>
      <c r="M190" s="44" t="s">
        <v>358</v>
      </c>
      <c r="N190" s="44" t="s">
        <v>148</v>
      </c>
      <c r="O190" s="44">
        <v>0</v>
      </c>
      <c r="P190" s="44">
        <v>0</v>
      </c>
      <c r="Q190" s="52">
        <v>0</v>
      </c>
      <c r="R190" s="14">
        <v>46092</v>
      </c>
      <c r="S190" s="24">
        <f t="shared" si="13"/>
        <v>124</v>
      </c>
      <c r="T190" s="11" t="s">
        <v>377</v>
      </c>
    </row>
    <row r="191" spans="1:20" x14ac:dyDescent="0.35">
      <c r="A191" s="12" t="s">
        <v>432</v>
      </c>
      <c r="B191" s="44" t="s">
        <v>19</v>
      </c>
      <c r="C191" s="44">
        <v>58205267</v>
      </c>
      <c r="D191" s="44" t="s">
        <v>433</v>
      </c>
      <c r="E191" s="44" t="s">
        <v>434</v>
      </c>
      <c r="F191" s="44" t="s">
        <v>22</v>
      </c>
      <c r="G191" s="44" t="s">
        <v>23</v>
      </c>
      <c r="H191" s="45">
        <v>46067</v>
      </c>
      <c r="I191" s="45">
        <v>46087</v>
      </c>
      <c r="J191" s="24">
        <f t="shared" si="12"/>
        <v>15</v>
      </c>
      <c r="K191" s="44" t="s">
        <v>303</v>
      </c>
      <c r="L191" s="44" t="s">
        <v>304</v>
      </c>
      <c r="M191" s="44" t="s">
        <v>24</v>
      </c>
      <c r="N191" s="44" t="s">
        <v>54</v>
      </c>
      <c r="O191" s="44">
        <v>0</v>
      </c>
      <c r="P191" s="44">
        <v>430500</v>
      </c>
      <c r="Q191" s="52">
        <v>430500</v>
      </c>
      <c r="R191" s="14">
        <v>46092</v>
      </c>
      <c r="S191" s="24">
        <f t="shared" si="13"/>
        <v>18</v>
      </c>
      <c r="T191" s="11" t="s">
        <v>377</v>
      </c>
    </row>
    <row r="192" spans="1:20" x14ac:dyDescent="0.35">
      <c r="A192" s="12" t="s">
        <v>432</v>
      </c>
      <c r="B192" s="44" t="s">
        <v>19</v>
      </c>
      <c r="C192" s="44">
        <v>58173859</v>
      </c>
      <c r="D192" s="44" t="s">
        <v>435</v>
      </c>
      <c r="E192" s="44" t="s">
        <v>436</v>
      </c>
      <c r="F192" s="44" t="s">
        <v>22</v>
      </c>
      <c r="G192" s="44" t="s">
        <v>23</v>
      </c>
      <c r="H192" s="45">
        <v>46066</v>
      </c>
      <c r="I192" s="45">
        <v>46087</v>
      </c>
      <c r="J192" s="24">
        <f t="shared" si="12"/>
        <v>16</v>
      </c>
      <c r="K192" s="44" t="s">
        <v>303</v>
      </c>
      <c r="L192" s="44" t="s">
        <v>304</v>
      </c>
      <c r="M192" s="44" t="s">
        <v>24</v>
      </c>
      <c r="N192" s="44" t="s">
        <v>54</v>
      </c>
      <c r="O192" s="44">
        <v>0</v>
      </c>
      <c r="P192" s="44">
        <v>430500</v>
      </c>
      <c r="Q192" s="52">
        <v>430500</v>
      </c>
      <c r="R192" s="14">
        <v>46092</v>
      </c>
      <c r="S192" s="24">
        <f t="shared" si="13"/>
        <v>19</v>
      </c>
      <c r="T192" s="11" t="s">
        <v>377</v>
      </c>
    </row>
    <row r="193" spans="1:20" x14ac:dyDescent="0.35">
      <c r="A193" s="12" t="s">
        <v>437</v>
      </c>
      <c r="B193" s="44" t="s">
        <v>31</v>
      </c>
      <c r="C193" s="44">
        <v>58650763</v>
      </c>
      <c r="D193" s="44" t="s">
        <v>20</v>
      </c>
      <c r="E193" s="44">
        <v>2722417296</v>
      </c>
      <c r="F193" s="44" t="s">
        <v>33</v>
      </c>
      <c r="G193" s="44" t="s">
        <v>23</v>
      </c>
      <c r="H193" s="45">
        <v>46073</v>
      </c>
      <c r="I193" s="45">
        <v>46092</v>
      </c>
      <c r="J193" s="24">
        <f t="shared" si="12"/>
        <v>14</v>
      </c>
      <c r="K193" s="44" t="s">
        <v>303</v>
      </c>
      <c r="L193" s="44" t="s">
        <v>304</v>
      </c>
      <c r="M193" s="44" t="s">
        <v>24</v>
      </c>
      <c r="N193" s="44" t="s">
        <v>34</v>
      </c>
      <c r="O193" s="44">
        <v>150000</v>
      </c>
      <c r="P193" s="44">
        <v>40000</v>
      </c>
      <c r="Q193" s="52">
        <v>190000</v>
      </c>
      <c r="R193" s="14">
        <v>46092</v>
      </c>
      <c r="S193" s="24">
        <f t="shared" si="13"/>
        <v>14</v>
      </c>
      <c r="T193" s="11" t="s">
        <v>377</v>
      </c>
    </row>
    <row r="194" spans="1:20" x14ac:dyDescent="0.35">
      <c r="A194" s="12" t="s">
        <v>438</v>
      </c>
      <c r="B194" s="44" t="s">
        <v>31</v>
      </c>
      <c r="C194" s="44">
        <v>58276534</v>
      </c>
      <c r="D194" s="44" t="s">
        <v>56</v>
      </c>
      <c r="E194" s="44">
        <v>2723489370</v>
      </c>
      <c r="F194" s="44" t="s">
        <v>33</v>
      </c>
      <c r="G194" s="44" t="s">
        <v>23</v>
      </c>
      <c r="H194" s="45">
        <v>46066</v>
      </c>
      <c r="I194" s="45">
        <v>46092</v>
      </c>
      <c r="J194" s="24">
        <f t="shared" si="12"/>
        <v>19</v>
      </c>
      <c r="K194" s="44" t="s">
        <v>303</v>
      </c>
      <c r="L194" s="44" t="s">
        <v>304</v>
      </c>
      <c r="M194" s="44" t="s">
        <v>24</v>
      </c>
      <c r="N194" s="44" t="s">
        <v>34</v>
      </c>
      <c r="O194" s="44">
        <v>150000</v>
      </c>
      <c r="P194" s="44">
        <v>40000</v>
      </c>
      <c r="Q194" s="52">
        <v>190000</v>
      </c>
      <c r="R194" s="14">
        <v>46092</v>
      </c>
      <c r="S194" s="24">
        <f t="shared" si="13"/>
        <v>19</v>
      </c>
      <c r="T194" s="11" t="s">
        <v>377</v>
      </c>
    </row>
    <row r="195" spans="1:20" x14ac:dyDescent="0.35">
      <c r="A195" s="12" t="s">
        <v>439</v>
      </c>
      <c r="B195" s="44" t="s">
        <v>44</v>
      </c>
      <c r="C195" s="44">
        <v>58853633</v>
      </c>
      <c r="D195" s="44" t="s">
        <v>440</v>
      </c>
      <c r="E195" s="44" t="s">
        <v>441</v>
      </c>
      <c r="F195" s="44" t="s">
        <v>47</v>
      </c>
      <c r="G195" s="44" t="s">
        <v>38</v>
      </c>
      <c r="H195" s="45">
        <v>46079</v>
      </c>
      <c r="I195" s="45">
        <v>46092</v>
      </c>
      <c r="J195" s="24">
        <f t="shared" si="12"/>
        <v>10</v>
      </c>
      <c r="K195" s="44" t="s">
        <v>303</v>
      </c>
      <c r="L195" s="44" t="s">
        <v>304</v>
      </c>
      <c r="M195" s="44" t="s">
        <v>24</v>
      </c>
      <c r="N195" s="44" t="s">
        <v>148</v>
      </c>
      <c r="O195" s="44">
        <v>0</v>
      </c>
      <c r="P195" s="44">
        <v>0</v>
      </c>
      <c r="Q195" s="52">
        <v>0</v>
      </c>
      <c r="R195" s="14">
        <v>46092</v>
      </c>
      <c r="S195" s="24">
        <f t="shared" si="13"/>
        <v>10</v>
      </c>
      <c r="T195" s="11" t="s">
        <v>377</v>
      </c>
    </row>
  </sheetData>
  <autoFilter ref="A1:T189" xr:uid="{00000000-0001-0000-0000-000000000000}">
    <filterColumn colId="17">
      <filters>
        <dateGroupItem year="2026" month="3" dateTimeGrouping="month"/>
      </filters>
    </filterColumn>
  </autoFilter>
  <conditionalFormatting sqref="C1">
    <cfRule type="duplicateValues" dxfId="73" priority="67"/>
    <cfRule type="duplicateValues" dxfId="72" priority="69"/>
    <cfRule type="duplicateValues" dxfId="71" priority="70"/>
    <cfRule type="duplicateValues" dxfId="70" priority="71"/>
    <cfRule type="duplicateValues" dxfId="69" priority="72"/>
    <cfRule type="duplicateValues" dxfId="68" priority="73"/>
  </conditionalFormatting>
  <conditionalFormatting sqref="C1:C1048576">
    <cfRule type="duplicateValues" dxfId="67" priority="1"/>
  </conditionalFormatting>
  <conditionalFormatting sqref="C2:C15 C17:C31">
    <cfRule type="duplicateValues" dxfId="66" priority="47"/>
    <cfRule type="duplicateValues" dxfId="65" priority="48"/>
  </conditionalFormatting>
  <conditionalFormatting sqref="C2:C58">
    <cfRule type="duplicateValues" dxfId="64" priority="27"/>
    <cfRule type="duplicateValues" dxfId="63" priority="28"/>
  </conditionalFormatting>
  <conditionalFormatting sqref="C2:C70">
    <cfRule type="duplicateValues" dxfId="62" priority="25"/>
  </conditionalFormatting>
  <conditionalFormatting sqref="C8">
    <cfRule type="duplicateValues" dxfId="61" priority="45"/>
    <cfRule type="duplicateValues" dxfId="60" priority="46"/>
  </conditionalFormatting>
  <conditionalFormatting sqref="C9">
    <cfRule type="duplicateValues" dxfId="59" priority="44"/>
  </conditionalFormatting>
  <conditionalFormatting sqref="C10">
    <cfRule type="duplicateValues" dxfId="58" priority="43"/>
  </conditionalFormatting>
  <conditionalFormatting sqref="C12">
    <cfRule type="duplicateValues" dxfId="57" priority="42"/>
  </conditionalFormatting>
  <conditionalFormatting sqref="C15">
    <cfRule type="duplicateValues" dxfId="56" priority="41"/>
  </conditionalFormatting>
  <conditionalFormatting sqref="C16">
    <cfRule type="duplicateValues" dxfId="55" priority="33"/>
  </conditionalFormatting>
  <conditionalFormatting sqref="C20:C31">
    <cfRule type="duplicateValues" dxfId="54" priority="40"/>
  </conditionalFormatting>
  <conditionalFormatting sqref="C32">
    <cfRule type="duplicateValues" dxfId="53" priority="38"/>
  </conditionalFormatting>
  <conditionalFormatting sqref="C33:C37">
    <cfRule type="duplicateValues" dxfId="52" priority="37"/>
  </conditionalFormatting>
  <conditionalFormatting sqref="C39">
    <cfRule type="duplicateValues" dxfId="51" priority="35"/>
  </conditionalFormatting>
  <conditionalFormatting sqref="C40">
    <cfRule type="duplicateValues" dxfId="50" priority="34"/>
  </conditionalFormatting>
  <conditionalFormatting sqref="C47">
    <cfRule type="duplicateValues" dxfId="49" priority="31"/>
  </conditionalFormatting>
  <conditionalFormatting sqref="C59:C66">
    <cfRule type="duplicateValues" dxfId="48" priority="26"/>
  </conditionalFormatting>
  <conditionalFormatting sqref="C73">
    <cfRule type="duplicateValues" dxfId="47" priority="24"/>
  </conditionalFormatting>
  <conditionalFormatting sqref="C75">
    <cfRule type="duplicateValues" dxfId="46" priority="23"/>
  </conditionalFormatting>
  <conditionalFormatting sqref="C77">
    <cfRule type="duplicateValues" dxfId="45" priority="66"/>
  </conditionalFormatting>
  <conditionalFormatting sqref="C77:C109 C1">
    <cfRule type="duplicateValues" dxfId="44" priority="75"/>
  </conditionalFormatting>
  <conditionalFormatting sqref="C78">
    <cfRule type="duplicateValues" dxfId="43" priority="65"/>
  </conditionalFormatting>
  <conditionalFormatting sqref="C80:C81">
    <cfRule type="duplicateValues" dxfId="42" priority="64"/>
  </conditionalFormatting>
  <conditionalFormatting sqref="C85">
    <cfRule type="duplicateValues" dxfId="41" priority="62"/>
    <cfRule type="duplicateValues" dxfId="40" priority="63"/>
  </conditionalFormatting>
  <conditionalFormatting sqref="C92">
    <cfRule type="duplicateValues" dxfId="39" priority="61"/>
  </conditionalFormatting>
  <conditionalFormatting sqref="C93">
    <cfRule type="duplicateValues" dxfId="38" priority="60"/>
  </conditionalFormatting>
  <conditionalFormatting sqref="C98">
    <cfRule type="duplicateValues" dxfId="37" priority="58"/>
  </conditionalFormatting>
  <conditionalFormatting sqref="C101">
    <cfRule type="duplicateValues" dxfId="36" priority="57"/>
  </conditionalFormatting>
  <conditionalFormatting sqref="C102">
    <cfRule type="duplicateValues" dxfId="35" priority="55"/>
    <cfRule type="duplicateValues" dxfId="34" priority="56"/>
  </conditionalFormatting>
  <conditionalFormatting sqref="C103:C109">
    <cfRule type="duplicateValues" dxfId="33" priority="54"/>
  </conditionalFormatting>
  <conditionalFormatting sqref="C114">
    <cfRule type="duplicateValues" dxfId="32" priority="52"/>
  </conditionalFormatting>
  <conditionalFormatting sqref="C115">
    <cfRule type="duplicateValues" dxfId="31" priority="51"/>
  </conditionalFormatting>
  <conditionalFormatting sqref="C145">
    <cfRule type="duplicateValues" dxfId="30" priority="21"/>
    <cfRule type="duplicateValues" dxfId="29" priority="22"/>
  </conditionalFormatting>
  <conditionalFormatting sqref="C157:C160">
    <cfRule type="duplicateValues" dxfId="28" priority="81"/>
  </conditionalFormatting>
  <conditionalFormatting sqref="C161:C163">
    <cfRule type="duplicateValues" dxfId="27" priority="19"/>
  </conditionalFormatting>
  <conditionalFormatting sqref="C166">
    <cfRule type="duplicateValues" dxfId="26" priority="17"/>
    <cfRule type="duplicateValues" dxfId="25" priority="18"/>
  </conditionalFormatting>
  <conditionalFormatting sqref="C167">
    <cfRule type="duplicateValues" dxfId="24" priority="15"/>
    <cfRule type="duplicateValues" dxfId="23" priority="16"/>
  </conditionalFormatting>
  <conditionalFormatting sqref="C168">
    <cfRule type="duplicateValues" dxfId="22" priority="14"/>
  </conditionalFormatting>
  <conditionalFormatting sqref="C170">
    <cfRule type="duplicateValues" dxfId="21" priority="13"/>
  </conditionalFormatting>
  <conditionalFormatting sqref="C171">
    <cfRule type="duplicateValues" dxfId="20" priority="12"/>
  </conditionalFormatting>
  <conditionalFormatting sqref="C173">
    <cfRule type="duplicateValues" dxfId="19" priority="9"/>
    <cfRule type="duplicateValues" dxfId="18" priority="10"/>
  </conditionalFormatting>
  <conditionalFormatting sqref="C174">
    <cfRule type="duplicateValues" dxfId="17" priority="8"/>
  </conditionalFormatting>
  <conditionalFormatting sqref="C175">
    <cfRule type="duplicateValues" dxfId="16" priority="7"/>
  </conditionalFormatting>
  <conditionalFormatting sqref="C177">
    <cfRule type="duplicateValues" dxfId="15" priority="4"/>
  </conditionalFormatting>
  <conditionalFormatting sqref="C177:C178">
    <cfRule type="duplicateValues" dxfId="14" priority="5"/>
  </conditionalFormatting>
  <conditionalFormatting sqref="C179">
    <cfRule type="duplicateValues" dxfId="13" priority="2"/>
    <cfRule type="duplicateValues" dxfId="12" priority="3"/>
  </conditionalFormatting>
  <conditionalFormatting sqref="E1">
    <cfRule type="duplicateValues" dxfId="11" priority="68"/>
    <cfRule type="duplicateValues" dxfId="10" priority="74"/>
  </conditionalFormatting>
  <conditionalFormatting sqref="E2:E15 E17:E31">
    <cfRule type="duplicateValues" dxfId="9" priority="50"/>
  </conditionalFormatting>
  <conditionalFormatting sqref="E16">
    <cfRule type="duplicateValues" dxfId="8" priority="32"/>
  </conditionalFormatting>
  <conditionalFormatting sqref="E20:E31">
    <cfRule type="duplicateValues" dxfId="7" priority="39"/>
  </conditionalFormatting>
  <conditionalFormatting sqref="E33">
    <cfRule type="duplicateValues" dxfId="6" priority="36"/>
  </conditionalFormatting>
  <conditionalFormatting sqref="E47">
    <cfRule type="duplicateValues" dxfId="5" priority="30"/>
  </conditionalFormatting>
  <conditionalFormatting sqref="E53">
    <cfRule type="duplicateValues" dxfId="4" priority="29"/>
  </conditionalFormatting>
  <conditionalFormatting sqref="E58">
    <cfRule type="duplicateValues" dxfId="3" priority="49"/>
  </conditionalFormatting>
  <conditionalFormatting sqref="E77:E97 E1">
    <cfRule type="duplicateValues" dxfId="2" priority="77"/>
  </conditionalFormatting>
  <conditionalFormatting sqref="E172">
    <cfRule type="duplicateValues" dxfId="1" priority="11"/>
  </conditionalFormatting>
  <conditionalFormatting sqref="E175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2026-03-11T17:37:15Z</dcterms:modified>
</cp:coreProperties>
</file>