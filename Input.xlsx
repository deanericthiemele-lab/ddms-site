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44" documentId="11_26573A825B844769D80B0CAB0943EC1510201055" xr6:coauthVersionLast="47" xr6:coauthVersionMax="47" xr10:uidLastSave="{E0603A00-E34D-489A-AA8C-5577E7BCC5B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52" i="1" l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S651" i="1"/>
  <c r="J651" i="1"/>
  <c r="Q651" i="1"/>
  <c r="S643" i="1"/>
  <c r="S644" i="1"/>
  <c r="S645" i="1"/>
  <c r="S646" i="1"/>
  <c r="S647" i="1"/>
  <c r="S648" i="1"/>
  <c r="S649" i="1"/>
  <c r="S650" i="1"/>
  <c r="J643" i="1"/>
  <c r="J644" i="1"/>
  <c r="J645" i="1"/>
  <c r="J646" i="1"/>
  <c r="J647" i="1"/>
  <c r="J648" i="1"/>
  <c r="J649" i="1"/>
  <c r="J650" i="1"/>
  <c r="S635" i="1"/>
  <c r="S636" i="1"/>
  <c r="J635" i="1"/>
  <c r="J636" i="1"/>
  <c r="S639" i="1"/>
  <c r="S640" i="1"/>
  <c r="S641" i="1"/>
  <c r="S642" i="1"/>
  <c r="J639" i="1"/>
  <c r="J640" i="1"/>
  <c r="J641" i="1"/>
  <c r="J642" i="1"/>
  <c r="S638" i="1"/>
  <c r="J638" i="1"/>
  <c r="S637" i="1"/>
  <c r="J637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<sst xmlns="http://schemas.openxmlformats.org/spreadsheetml/2006/main" count="7705" uniqueCount="1221">
  <si>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</si>
  <si>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</si>
  <si>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</si>
  <si>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</si>
  <si>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</si>
  <si>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</si>
  <si>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</si>
  <si>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</si>
  <si>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</si>
  <si>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</si>
  <si>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</si>
  <si>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</si>
  <si>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</si>
  <si>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</si>
  <si>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</si>
  <si>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</si>
  <si>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</si>
  <si>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</si>
  <si>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</si>
  <si>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</si>
  <si>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</si>
  <si>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</si>
  <si>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</si>
  <si>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</si>
  <si>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</si>
  <si>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</si>
  <si>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</si>
  <si>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</si>
  <si>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</si>
  <si>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</si>
  <si>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</si>
  <si>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</si>
  <si>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</si>
  <si>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</si>
  <si>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</si>
  <si>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</si>
  <si>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</si>
  <si>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</si>
  <si>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</si>
  <si>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</si>
  <si>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</si>
  <si>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</si>
  <si>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</si>
  <si>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</si>
  <si>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</si>
  <si>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</si>
  <si>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</si>
  <si>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</si>
  <si>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</si>
  <si>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</si>
  <si>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</si>
  <si>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</si>
  <si>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</si>
  <si>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</si>
  <si>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</si>
  <si>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</si>
  <si>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</si>
  <si>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</si>
  <si>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</si>
  <si>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</si>
  <si>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</si>
  <si>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</si>
  <si>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</si>
  <si>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</si>
  <si>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</si>
  <si>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</si>
  <si>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</si>
  <si>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</si>
  <si>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</si>
  <si>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</si>
  <si>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</si>
  <si>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</si>
  <si>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</si>
  <si>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</si>
  <si>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</si>
  <si>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</si>
  <si>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</si>
  <si>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</si>
  <si>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</si>
  <si>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</si>
  <si>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</si>
  <si>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</si>
  <si>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</si>
  <si>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</si>
  <si>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</si>
  <si>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</si>
  <si>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</si>
  <si>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</si>
  <si>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</si>
  <si>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</si>
  <si>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</si>
  <si>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</si>
  <si>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</si>
  <si>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</si>
  <si>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</si>
  <si>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</si>
  <si>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</si>
  <si>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</si>
  <si>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</si>
  <si>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</si>
  <si>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</si>
  <si>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</si>
  <si>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</si>
  <si>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</si>
  <si>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</si>
  <si>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</si>
  <si>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</si>
  <si>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</si>
  <si>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</si>
  <si>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</si>
  <si>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</si>
  <si>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</si>
  <si>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</si>
  <si>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</si>
  <si>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</si>
  <si>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</si>
  <si>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</si>
  <si>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</si>
  <si>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</si>
  <si>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</si>
  <si>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</si>
  <si>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</si>
  <si>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</si>
  <si>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</si>
  <si>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</si>
  <si>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</si>
  <si>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</si>
  <si>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</si>
  <si>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</si>
  <si>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</si>
  <si>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</si>
  <si>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</si>
  <si>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</si>
  <si>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</si>
  <si>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</si>
  <si>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</si>
  <si>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</si>
  <si>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</si>
  <si>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</si>
  <si>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</si>
  <si>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</si>
  <si>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</si>
  <si>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</si>
  <si>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</si>
  <si>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</si>
  <si>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</si>
  <si>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</si>
  <si>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</si>
  <si>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</si>
  <si>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</si>
  <si>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</si>
  <si>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</si>
  <si>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</si>
  <si>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</si>
  <si>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</si>
  <si>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</si>
  <si>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</si>
  <si>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</si>
  <si>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</si>
  <si>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</si>
  <si>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</si>
  <si>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</si>
  <si>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</si>
  <si>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</si>
  <si>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</si>
  <si>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</si>
  <si>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</si>
  <si>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</si>
  <si>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</si>
  <si>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</si>
  <si>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</si>
  <si>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</si>
  <si>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</si>
  <si>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</si>
  <si>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</si>
  <si>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</si>
  <si>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</si>
  <si>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</si>
  <si>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</si>
  <si>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</si>
  <si>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</si>
  <si>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</si>
  <si>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</si>
  <si>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</si>
  <si>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</si>
  <si>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</si>
  <si>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</si>
  <si>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</si>
  <si>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</si>
  <si>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</si>
  <si>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</si>
  <si>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</si>
  <si>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</si>
  <si>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</si>
  <si>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</si>
  <si>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</si>
  <si>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</si>
  <si>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</si>
  <si>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</si>
  <si>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</si>
  <si>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</si>
  <si>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</si>
  <si>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</si>
  <si>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</si>
  <si>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</si>
  <si>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</si>
  <si>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</si>
  <si>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</si>
  <si>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</si>
  <si>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</si>
  <si>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</si>
  <si>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</si>
  <si>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</si>
  <si>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</si>
  <si>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</si>
  <si>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</si>
  <si>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</si>
  <si>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</si>
  <si>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</si>
  <si>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</si>
  <si>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</si>
  <si>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</si>
  <si>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</si>
  <si>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</si>
  <si>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</si>
  <si>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</si>
  <si>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</si>
  <si>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</si>
  <si>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</si>
  <si>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</si>
  <si>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</si>
  <si>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</si>
  <si>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</si>
  <si>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</si>
  <si>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</si>
  <si>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</si>
  <si>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</si>
  <si>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</si>
  <si>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</si>
  <si>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</si>
  <si>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</si>
  <si>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</si>
  <si>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</si>
  <si>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</si>
  <si>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</si>
  <si>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</si>
  <si>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</si>
  <si>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</si>
  <si>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</si>
  <si>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</si>
  <si>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</si>
  <si>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</si>
  <si>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</si>
  <si>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</si>
  <si>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</si>
  <si>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</si>
  <si>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</si>
  <si>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</si>
  <si>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</si>
  <si>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</si>
  <si>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</si>
  <si>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</si>
  <si>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</si>
  <si>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</si>
  <si>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</si>
  <si>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</si>
  <si>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</si>
  <si>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</si>
  <si>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</si>
  <si>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</si>
  <si>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</si>
  <si>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</si>
  <si>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</si>
  <si>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</si>
  <si>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</si>
  <si>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</si>
  <si>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</si>
  <si>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</si>
  <si>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</si>
  <si>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</si>
  <si>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</si>
  <si>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</si>
  <si>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</si>
  <si>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</si>
  <si>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</si>
  <si>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</si>
  <si>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</si>
  <si>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</si>
  <si>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</si>
  <si>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</si>
  <si>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</si>
  <si>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</si>
  <si>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</si>
  <si>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</si>
  <si>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</si>
  <si>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</si>
  <si>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</si>
  <si>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</si>
  <si>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</si>
  <si>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</si>
  <si>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</si>
  <si>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</si>
  <si>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</si>
  <si>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</si>
  <si>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</si>
  <si>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</si>
  <si>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</si>
  <si>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</si>
  <si>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</si>
  <si>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</si>
  <si>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</si>
  <si>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</si>
  <si>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</si>
  <si>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</si>
  <si>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</si>
  <si>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</si>
  <si>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</si>
  <si>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</si>
  <si>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</si>
  <si>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</si>
  <si>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</si>
  <si>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</si>
  <si>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</si>
  <si>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</si>
  <si>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</si>
  <si>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</si>
  <si>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</si>
  <si>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</si>
  <si>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</si>
  <si>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</si>
  <si>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</si>
  <si>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</si>
  <si>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</si>
  <si>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</si>
  <si>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</si>
  <si>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</si>
  <si>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</si>
  <si>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</si>
  <si>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</si>
  <si>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</si>
  <si>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</si>
  <si>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</si>
  <si>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</si>
  <si>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</si>
  <si>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</si>
  <si>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</si>
  <si>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</si>
  <si>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</si>
  <si>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</si>
  <si>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</si>
  <si>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</si>
  <si>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</si>
  <si>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</si>
  <si>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</si>
  <si>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</si>
  <si>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</si>
  <si>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</si>
  <si>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</si>
  <si>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</si>
  <si>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</si>
  <si>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</si>
  <si>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</si>
  <si>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</si>
  <si>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</si>
  <si>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</si>
  <si>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</si>
  <si>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</si>
  <si>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</si>
  <si>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</si>
  <si>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</si>
  <si>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</si>
  <si>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</si>
  <si>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</si>
  <si>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</si>
  <si>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</si>
  <si>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</si>
  <si>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</si>
  <si>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</si>
  <si>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</si>
  <si>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</si>
  <si>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</si>
  <si>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</si>
  <si>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</si>
  <si>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</si>
  <si>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</si>
  <si>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</si>
  <si>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</si>
  <si>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</si>
  <si>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</si>
  <si>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</si>
  <si>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</si>
  <si>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</si>
  <si>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</si>
  <si>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</si>
  <si>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</si>
  <si>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</si>
  <si>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</si>
  <si>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</si>
  <si>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</si>
  <si>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</si>
  <si>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</si>
  <si>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</si>
  <si>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</si>
  <si>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</si>
  <si>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</si>
  <si>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</si>
  <si>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</si>
  <si>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</si>
  <si>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</si>
  <si>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</si>
  <si>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</si>
  <si>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</si>
  <si>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</si>
  <si>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</si>
  <si>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</si>
  <si>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</si>
  <si>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</si>
  <si>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</si>
  <si>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</si>
  <si>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</si>
  <si>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</si>
  <si>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</si>
  <si>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</si>
  <si>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</si>
  <si>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</si>
  <si>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</si>
  <si>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</si>
  <si>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</si>
  <si>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</si>
  <si>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</si>
  <si>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</si>
  <si>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</si>
  <si>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</si>
  <si>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</si>
  <si>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</si>
  <si>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</si>
  <si>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</si>
  <si>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</si>
  <si>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</si>
  <si>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</si>
  <si>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</si>
  <si>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</si>
  <si>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</si>
  <si>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</si>
  <si>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</si>
  <si>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</si>
  <si>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</si>
  <si>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</si>
  <si>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</si>
  <si>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</si>
  <si>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</si>
  <si>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</si>
  <si>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</si>
  <si>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</si>
  <si>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</si>
  <si>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</si>
  <si>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</si>
  <si>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</si>
  <si>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</si>
  <si>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</si>
  <si>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</si>
  <si>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</si>
  <si>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</si>
  <si>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</si>
  <si>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</si>
  <si>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</si>
  <si>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</si>
  <si>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</si>
  <si>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</si>
  <si>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</si>
  <si>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</si>
  <si>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</si>
  <si>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</si>
  <si>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</si>
  <si>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</si>
  <si>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</si>
  <si>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</si>
  <si>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</si>
  <si>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</si>
  <si>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</si>
  <si>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</si>
  <si>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</si>
  <si>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</si>
  <si>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</si>
  <si>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</si>
  <si>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</si>
  <si>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</si>
  <si>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</si>
  <si>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</si>
  <si>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</si>
  <si>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</si>
  <si>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</si>
  <si>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</si>
  <si>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</si>
  <si>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</si>
  <si>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</si>
  <si>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</si>
  <si>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</si>
  <si>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</si>
  <si>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</si>
  <si>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</si>
  <si>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</si>
  <si>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</si>
  <si>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</si>
  <si>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</si>
  <si>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</si>
  <si>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</si>
  <si>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</si>
  <si>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</si>
  <si>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</si>
  <si>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</si>
  <si>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</si>
  <si>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</si>
  <si>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</si>
  <si>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</si>
  <si>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</si>
  <si>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</si>
  <si>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</si>
  <si>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</si>
  <si>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</si>
  <si>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</si>
  <si>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</si>
  <si>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</si>
  <si>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</si>
  <si>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</si>
  <si>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</si>
  <si>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</si>
  <si>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</si>
  <si>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</si>
  <si>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</si>
  <si>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</si>
  <si>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</si>
  <si>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</si>
  <si>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</si>
  <si>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</si>
  <si>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</si>
  <si>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</si>
  <si>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</si>
  <si>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</si>
  <si>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</si>
  <si>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</si>
  <si>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</si>
  <si>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</si>
  <si>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</si>
  <si>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</si>
  <si>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</si>
  <si>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</si>
  <si>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</si>
  <si>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</si>
  <si>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</si>
  <si>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</si>
  <si>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</si>
  <si>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</si>
  <si>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</si>
  <si>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</si>
  <si>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</si>
  <si>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</si>
  <si>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</si>
  <si>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</si>
  <si>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</si>
  <si>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</si>
  <si>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</si>
  <si>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</si>
  <si>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</si>
  <si>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</si>
  <si>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</si>
  <si>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</si>
  <si>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</si>
  <si>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</si>
  <si>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</si>
  <si>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</si>
  <si>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</si>
  <si>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</si>
  <si>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</si>
  <si>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</si>
  <si>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</si>
  <si>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</si>
  <si>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</si>
  <si>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</si>
  <si>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</si>
  <si>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</si>
  <si>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</si>
  <si>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</si>
  <si>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</si>
  <si>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</si>
  <si>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</si>
  <si>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</si>
  <si>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</si>
  <si>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</si>
  <si>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</si>
  <si>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</si>
  <si>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</si>
  <si>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</si>
  <si>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</si>
  <si>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</si>
  <si>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</si>
  <si>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</si>
  <si>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</si>
  <si>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</si>
  <si>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</si>
  <si>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</si>
  <si>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</si>
  <si>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</si>
  <si>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</si>
  <si>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</si>
  <si>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</si>
  <si>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</si>
  <si>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</si>
  <si>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</si>
  <si>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</si>
  <si>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</si>
  <si>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</si>
  <si>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</si>
  <si>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</si>
  <si>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</si>
  <si>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</si>
  <si>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</si>
  <si>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</si>
  <si>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</si>
  <si>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</si>
  <si>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</si>
  <si>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</si>
  <si>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</si>
  <si>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</si>
  <si>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</si>
  <si>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</si>
  <si>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</si>
  <si>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</si>
  <si>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</si>
  <si>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</si>
  <si>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</si>
  <si>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</si>
  <si>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</si>
  <si>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</si>
  <si>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</si>
  <si>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</si>
  <si>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</si>
  <si>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</si>
  <si>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</si>
  <si>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</si>
  <si>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</si>
  <si>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</si>
  <si>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</si>
  <si>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</si>
  <si>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</si>
  <si>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</si>
  <si>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</si>
  <si>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</si>
  <si>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</si>
  <si>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</si>
  <si>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</si>
  <si>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</si>
  <si>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</si>
  <si>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</si>
  <si>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</si>
  <si>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</si>
  <si>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</si>
  <si>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</si>
  <si>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</si>
  <si>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</si>
  <si>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</si>
  <si>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</si>
  <si>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</si>
  <si>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</si>
  <si>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</si>
  <si>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</si>
  <si>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</si>
  <si>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</si>
  <si>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</si>
  <si>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</si>
  <si>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</si>
  <si>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</si>
  <si>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</si>
  <si>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</si>
  <si>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</si>
  <si>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</si>
  <si>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</si>
  <si>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</si>
  <si>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</si>
  <si>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</si>
  <si>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</si>
  <si>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</si>
  <si>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</si>
  <si>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</si>
  <si>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</si>
  <si>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</si>
  <si>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</si>
  <si>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</si>
  <si>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</si>
  <si>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</si>
  <si>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</si>
  <si>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</si>
  <si>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</si>
  <si>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</si>
  <si>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</si>
  <si>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</si>
  <si>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</si>
  <si>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</si>
  <si>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</si>
  <si>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</si>
  <si>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</si>
  <si>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</si>
  <si>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</si>
  <si>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</si>
  <si>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</si>
  <si>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</si>
  <si>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</si>
  <si>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</si>
  <si>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</si>
  <si>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</si>
  <si>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</si>
  <si>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</si>
  <si>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</si>
  <si>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</si>
  <si>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</si>
  <si>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</si>
  <si>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</si>
  <si>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</si>
  <si>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</si>
  <si>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</si>
  <si>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</si>
  <si>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</si>
  <si>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</si>
  <si>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</si>
  <si>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</si>
  <si>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</si>
  <si>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</si>
  <si>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</si>
  <si>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</si>
  <si>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</si>
  <si>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</si>
  <si>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</si>
  <si>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</si>
  <si>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</si>
  <si>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</si>
  <si>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</si>
  <si>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</si>
  <si>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</si>
  <si>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</si>
  <si>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</si>
  <si>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</si>
  <si>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</si>
  <si>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</si>
  <si>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</si>
  <si>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</si>
  <si>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</si>
  <si>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</si>
  <si>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</si>
  <si>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</si>
  <si>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</si>
  <si>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</si>
  <si>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</si>
  <si>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</si>
  <si>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</si>
  <si>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</si>
  <si>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</si>
  <si>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</si>
  <si>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</si>
  <si>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</si>
  <si>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</si>
  <si>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</si>
  <si>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</si>
  <si>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</si>
  <si>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</si>
  <si>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</si>
  <si>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</si>
  <si>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</si>
  <si>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</si>
  <si>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</si>
  <si>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</si>
  <si>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</si>
  <si>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</si>
  <si>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</si>
  <si>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</si>
  <si>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</si>
  <si>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</si>
  <si>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</si>
  <si>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</si>
  <si>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</si>
  <si>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</si>
  <si>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</si>
  <si>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</si>
  <si>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</si>
  <si>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</si>
  <si>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</si>
  <si>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</si>
  <si>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</si>
  <si>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</si>
  <si>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</si>
  <si>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</si>
  <si>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</si>
  <si>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</si>
  <si>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</si>
  <si>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</si>
  <si>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</si>
  <si>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</si>
  <si>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</si>
  <si>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</si>
  <si>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</si>
  <si>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</si>
  <si>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</si>
  <si>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</si>
  <si>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</si>
  <si>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</si>
  <si>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</si>
  <si>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</si>
  <si>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</si>
  <si>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</si>
  <si>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</si>
  <si>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</si>
  <si>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</si>
  <si>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</si>
  <si>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</si>
  <si>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</si>
  <si>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</si>
  <si>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</si>
  <si>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</si>
  <si>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</si>
  <si>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</si>
  <si>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</si>
  <si>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</si>
  <si>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</si>
  <si>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</si>
  <si>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</si>
  <si>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</si>
  <si>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</si>
  <si>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</si>
  <si>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</si>
  <si>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</si>
  <si>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</si>
  <si>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</si>
  <si>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</si>
  <si>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</si>
  <si>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</si>
  <si>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</si>
  <si>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</si>
  <si>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</si>
  <si>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</si>
  <si>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</si>
  <si>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</si>
  <si>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</si>
  <si>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</si>
  <si>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</si>
  <si>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</si>
  <si>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</si>
  <si>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</si>
  <si>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</si>
  <si>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</si>
  <si>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</si>
  <si>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</si>
  <si>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</si>
  <si>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</si>
  <si>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</si>
  <si>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</si>
  <si>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</si>
  <si>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</si>
  <si>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</si>
  <si>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</si>
  <si>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</si>
  <si>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</si>
  <si>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</si>
  <si>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</si>
  <si>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</si>
  <si>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</si>
  <si>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</si>
  <si>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</si>
  <si>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</si>
  <si>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</si>
  <si>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</si>
  <si>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</si>
  <si>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</si>
  <si>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</si>
  <si>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</si>
  <si>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</si>
  <si>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</si>
  <si>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</si>
  <si>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</si>
  <si>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</si>
  <si>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</si>
  <si>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</si>
  <si>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</si>
  <si>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</si>
  <si>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</si>
  <si>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</si>
  <si>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</si>
  <si>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</si>
  <si>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</si>
  <si>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</si>
  <si>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</si>
  <si>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</si>
  <si>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</si>
  <si>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</si>
  <si>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</si>
  <si>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</si>
  <si>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</si>
  <si>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</si>
  <si>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</si>
  <si>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</si>
  <si>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</si>
  <si>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</si>
  <si>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</si>
  <si>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</si>
  <si>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</si>
  <si>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</si>
  <si>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</si>
  <si>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</si>
  <si>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</si>
  <si>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</si>
  <si>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</si>
  <si>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</si>
  <si>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</si>
  <si>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</si>
  <si>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</si>
  <si>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</si>
  <si>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</si>
  <si>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</si>
  <si>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</si>
  <si>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</si>
  <si>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</si>
  <si>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</si>
  <si>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</si>
  <si>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</si>
  <si>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</si>
  <si>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</si>
  <si>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</si>
  <si>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</si>
  <si>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</si>
  <si>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</si>
  <si>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</si>
  <si>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</si>
  <si>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</si>
  <si>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</si>
  <si>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</si>
  <si>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</si>
  <si>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</si>
  <si>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</si>
  <si>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</si>
  <si>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</si>
  <si>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</si>
  <si>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</si>
  <si>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</si>
  <si>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</si>
  <si>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</si>
  <si>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</si>
  <si>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</si>
  <si>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</si>
  <si>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</si>
  <si>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</si>
  <si>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</si>
  <si>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</si>
  <si>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</si>
  <si>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</si>
  <si>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</si>
  <si>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</si>
  <si>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</si>
  <si>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</si>
  <si>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</si>
  <si>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</si>
  <si>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</si>
  <si>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</si>
  <si>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</si>
  <si>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</si>
  <si>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</si>
  <si>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</si>
  <si>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</si>
  <si>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</si>
  <si>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</si>
  <si>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</si>
  <si>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</si>
  <si>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</si>
  <si>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</si>
  <si>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</si>
  <si>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</si>
  <si>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</si>
  <si>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</si>
  <si>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</si>
  <si>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</si>
  <si>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</si>
  <si>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</si>
  <si>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</si>
  <si>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</si>
  <si>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</si>
  <si>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</si>
  <si>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</si>
  <si>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</si>
  <si>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</si>
  <si>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</si>
  <si>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</si>
  <si>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</si>
  <si>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</si>
  <si>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</si>
  <si>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</si>
  <si>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</si>
  <si>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</si>
  <si>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</si>
  <si>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</si>
  <si>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</si>
  <si>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</si>
  <si>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</si>
  <si>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</si>
  <si>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</si>
  <si>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</si>
  <si>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</si>
  <si>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</si>
  <si>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</si>
  <si>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</si>
  <si>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</si>
  <si>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</si>
  <si>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</si>
  <si>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</si>
  <si>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</si>
  <si>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</si>
  <si>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</si>
  <si>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</si>
  <si>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</si>
  <si>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</si>
  <si>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</si>
  <si>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</si>
  <si>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</si>
  <si>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</si>
  <si>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</si>
  <si>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</si>
  <si>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</si>
  <si>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</si>
  <si>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</si>
  <si>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</si>
  <si>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</si>
  <si>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</si>
  <si>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</si>
  <si>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</si>
  <si>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</si>
  <si>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</si>
  <si>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</si>
  <si>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</si>
  <si>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</si>
  <si>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</si>
  <si>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</si>
  <si>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</si>
  <si>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</si>
  <si>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</si>
  <si>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</si>
  <si>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</si>
  <si>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</si>
  <si>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</si>
  <si>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</si>
  <si>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</si>
  <si>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</si>
  <si>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</si>
  <si>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</si>
  <si>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</si>
  <si>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</si>
  <si>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</si>
  <si>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</si>
  <si>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</si>
  <si>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</si>
  <si>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</si>
  <si>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</si>
  <si>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</si>
  <si>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</si>
  <si>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</si>
  <si>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</si>
  <si>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</si>
  <si>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</si>
  <si>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</si>
  <si>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</si>
  <si>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</si>
  <si>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</si>
  <si>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</si>
  <si>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</si>
  <si>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</si>
  <si>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</si>
  <si>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</si>
  <si>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</si>
  <si>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</si>
  <si>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</si>
  <si>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</si>
  <si>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</si>
  <si>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</si>
  <si>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</si>
  <si>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</si>
  <si>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</si>
  <si>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</si>
  <si>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</si>
  <si>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</si>
  <si>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</si>
  <si>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</si>
  <si>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</si>
  <si>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</si>
  <si>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</si>
  <si>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</si>
  <si>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</si>
  <si>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</si>
  <si>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</si>
  <si>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</si>
  <si>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</si>
  <si>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</si>
  <si>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</si>
  <si>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</si>
  <si>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</si>
  <si>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</si>
  <si>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</si>
  <si>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</si>
  <si>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</si>
  <si>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</si>
  <si>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</si>
  <si>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</si>
  <si>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</si>
  <si>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</si>
  <si>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</si>
  <si>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</si>
  <si>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</si>
  <si>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</si>
  <si>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</si>
  <si>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</si>
  <si>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</si>
  <si>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</si>
  <si>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</si>
  <si>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</si>
  <si>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</si>
  <si>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</si>
  <si>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</si>
  <si>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</si>
  <si>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</si>
  <si>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</si>
  <si>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</si>
  <si>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</si>
  <si>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</si>
  <si>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</si>
  <si>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</si>
  <si>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</si>
  <si>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</si>
  <si>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</si>
  <si>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</si>
  <si>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</si>
  <si>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</si>
  <si>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</si>
  <si>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</si>
  <si>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</si>
  <si>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</si>
  <si>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</si>
  <si>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</si>
  <si>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</si>
  <si>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</si>
  <si>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</si>
  <si>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</si>
  <si>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</si>
  <si>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</si>
  <si>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</si>
  <si>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</si>
  <si>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</si>
  <si>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</si>
  <si>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</si>
  <si>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</si>
  <si>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</si>
  <si>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</si>
  <si>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</si>
  <si>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</si>
  <si>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</si>
  <si>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</si>
  <si>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</si>
  <si>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</si>
  <si>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</si>
  <si>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</si>
  <si>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</si>
  <si>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</si>
  <si>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</si>
  <si>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</si>
  <si>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</si>
  <si>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</si>
  <si>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</si>
  <si>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</si>
  <si>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</si>
  <si>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</si>
  <si>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</si>
  <si>
    <t>CLINIQUE DES YEUX LASER</t>
  </si>
  <si>
    <t>CORIS BANK</t>
  </si>
  <si>
    <t>COCODY RIVIERA 3</t>
  </si>
  <si>
    <t>BUVPN260152</t>
  </si>
  <si>
    <t>OFFICE IVOIRIEN DES CHARGEURS</t>
  </si>
  <si>
    <t>NOE</t>
  </si>
  <si>
    <t>SYTHD260234</t>
  </si>
  <si>
    <t>BUVPN260034</t>
  </si>
  <si>
    <t>SOUDOTEC</t>
  </si>
  <si>
    <t>MINIERE DE LA LOBO</t>
  </si>
  <si>
    <t>SYTHD230030</t>
  </si>
  <si>
    <t>GESTOCI</t>
  </si>
  <si>
    <t>SYTHD260247</t>
  </si>
  <si>
    <t xml:space="preserve"> HUAWEI PROJET DOUANES INTELLIGENTES</t>
  </si>
  <si>
    <t>ABOISSO&gt;&gt;&gt;PORT BOUET</t>
  </si>
  <si>
    <t xml:space="preserve">SYTHD260235 </t>
  </si>
  <si>
    <t>SEMPA</t>
  </si>
  <si>
    <t>SYTHD260250</t>
  </si>
  <si>
    <t>AMBASSADE SUISSE</t>
  </si>
  <si>
    <t>SYTHD260248</t>
  </si>
  <si>
    <t>BUVPN260112</t>
  </si>
  <si>
    <t>CFAO MOBILITY</t>
  </si>
  <si>
    <t>OFFICE D'AIDE A LA COMMERCIALISATION DES PRODUITS VIVRIERS</t>
  </si>
  <si>
    <t xml:space="preserve">LUMA HOSPITALITY </t>
  </si>
  <si>
    <t>TINGRELA</t>
  </si>
  <si>
    <t>BUVPN240192</t>
  </si>
  <si>
    <t>S39</t>
  </si>
  <si>
    <t>EDJDSD</t>
  </si>
  <si>
    <t>SYTHD260245</t>
  </si>
  <si>
    <t xml:space="preserve">SYTHD260251 </t>
  </si>
  <si>
    <t xml:space="preserve">BRIDGE BANK GRAND-BASSAM </t>
  </si>
  <si>
    <t>LUMA HOSPITALITY</t>
  </si>
  <si>
    <t>SYTHD260246</t>
  </si>
  <si>
    <t>CYBASTION</t>
  </si>
  <si>
    <t>SYTHD260253</t>
  </si>
  <si>
    <t>BANQUE MONDIALE</t>
  </si>
  <si>
    <t>SYTHD260258</t>
  </si>
  <si>
    <t>SYTHD220206</t>
  </si>
  <si>
    <t>DAOUKRO</t>
  </si>
  <si>
    <t>BUVPN260116</t>
  </si>
  <si>
    <t>KEDA COTE D'IVOIRE CERAMICS</t>
  </si>
  <si>
    <t>ALEPE</t>
  </si>
  <si>
    <t>SYTHD260243</t>
  </si>
  <si>
    <t>CACAO ET COSA</t>
  </si>
  <si>
    <t xml:space="preserve"> EDJDSD </t>
  </si>
  <si>
    <t>SYTHD260244</t>
  </si>
  <si>
    <t>CNAM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</si>
</sst>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Display"/>
      <family val="2"/>
    </font>
    <font>
      <sz val="9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0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7" fontId="16" fillId="6" borderId="1" xfId="0" applyNumberFormat="1" applyFont="1" applyFill="1" applyBorder="1" applyAlignment="1">
      <alignment horizontal="center" vertical="center"/>
    </xf>
    <xf numFmtId="14" fontId="16" fillId="6" borderId="1" xfId="0" applyNumberFormat="1" applyFont="1" applyFill="1" applyBorder="1" applyAlignment="1">
      <alignment horizontal="center" vertical="center"/>
    </xf>
    <xf numFmtId="0" fontId="4" fillId="0" borderId="1" xfId="0" applyFont="1" applyBorder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5"/>
  <sheetViews>
    <sheetView tabSelected="1" topLeftCell="A647" workbookViewId="0">
      <selection activeCell="A610" sqref="A610:A665"/>
    </sheetView>
  </sheetViews>
  <sheetFormatPr baseColWidth="10" defaultRowHeight="14.5" x14ac:dyDescent="0.35"/>
  <cols>
    <col min="1" max="1" width="39.54296875" style="2" customWidth="1"/>
    <col min="3" max="3" width="11.63281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52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65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7" t="s">
        <v>1182</v>
      </c>
      <c r="B635" s="17" t="s">
        <v>30</v>
      </c>
      <c r="C635" s="17">
        <v>69135435</v>
      </c>
      <c r="D635" s="17" t="s">
        <v>49</v>
      </c>
      <c r="E635" s="17">
        <v>2721354710</v>
      </c>
      <c r="F635" s="17" t="s">
        <v>32</v>
      </c>
      <c r="G635" s="17" t="s">
        <v>23</v>
      </c>
      <c r="H635" s="18">
        <v>46261</v>
      </c>
      <c r="I635" s="18">
        <v>46279</v>
      </c>
      <c r="J635" s="8">
        <f t="shared" si="30"/>
        <v>13</v>
      </c>
      <c r="K635" s="65" t="s">
        <v>295</v>
      </c>
      <c r="L635" s="65" t="s">
        <v>296</v>
      </c>
      <c r="M635" s="65" t="s">
        <v>47</v>
      </c>
      <c r="N635" s="65" t="s">
        <v>33</v>
      </c>
      <c r="O635" s="65">
        <v>150000</v>
      </c>
      <c r="P635" s="65">
        <v>0</v>
      </c>
      <c r="Q635" s="67">
        <v>150000</v>
      </c>
      <c r="R635" s="66">
        <v>46279</v>
      </c>
      <c r="S635" s="8">
        <f t="shared" si="29"/>
        <v>13</v>
      </c>
      <c r="T635" s="65" t="s">
        <v>1173</v>
      </c>
      <c r="U635" s="65" t="s">
        <v>537</v>
      </c>
    </row>
    <row r="636" spans="1:21" x14ac:dyDescent="0.35">
      <c r="A636" s="17" t="s">
        <v>1183</v>
      </c>
      <c r="B636" s="17" t="s">
        <v>19</v>
      </c>
      <c r="C636" s="17">
        <v>67285588</v>
      </c>
      <c r="D636" s="17" t="s">
        <v>20</v>
      </c>
      <c r="E636" s="17" t="s">
        <v>1184</v>
      </c>
      <c r="F636" s="17" t="s">
        <v>22</v>
      </c>
      <c r="G636" s="17" t="s">
        <v>23</v>
      </c>
      <c r="H636" s="18">
        <v>46230</v>
      </c>
      <c r="I636" s="18">
        <v>46279</v>
      </c>
      <c r="J636" s="8">
        <f t="shared" si="30"/>
        <v>36</v>
      </c>
      <c r="K636" s="65" t="s">
        <v>295</v>
      </c>
      <c r="L636" s="65" t="s">
        <v>302</v>
      </c>
      <c r="M636" s="65" t="s">
        <v>47</v>
      </c>
      <c r="N636" s="65" t="s">
        <v>38</v>
      </c>
      <c r="O636" s="65">
        <v>850000</v>
      </c>
      <c r="P636" s="65">
        <v>0</v>
      </c>
      <c r="Q636" s="67">
        <v>850000</v>
      </c>
      <c r="R636" s="66">
        <v>46279</v>
      </c>
      <c r="S636" s="8">
        <f t="shared" si="29"/>
        <v>36</v>
      </c>
      <c r="T636" s="65" t="s">
        <v>1173</v>
      </c>
      <c r="U636" s="65" t="s">
        <v>537</v>
      </c>
    </row>
    <row r="637" spans="1:21" x14ac:dyDescent="0.35">
      <c r="A637" s="17" t="s">
        <v>1103</v>
      </c>
      <c r="B637" s="17" t="s">
        <v>43</v>
      </c>
      <c r="C637" s="17">
        <v>66523883</v>
      </c>
      <c r="D637" s="17" t="s">
        <v>1171</v>
      </c>
      <c r="E637" s="17" t="s">
        <v>1172</v>
      </c>
      <c r="F637" s="17" t="s">
        <v>46</v>
      </c>
      <c r="G637" s="17" t="s">
        <v>23</v>
      </c>
      <c r="H637" s="18">
        <v>46217</v>
      </c>
      <c r="I637" s="18">
        <v>46268</v>
      </c>
      <c r="J637" s="8">
        <f t="shared" si="30"/>
        <v>38</v>
      </c>
      <c r="K637" s="70" t="s">
        <v>295</v>
      </c>
      <c r="L637" s="70" t="s">
        <v>318</v>
      </c>
      <c r="M637" s="70" t="s">
        <v>24</v>
      </c>
      <c r="N637" s="70" t="s">
        <v>191</v>
      </c>
      <c r="O637" s="70">
        <v>3500000</v>
      </c>
      <c r="P637" s="70">
        <v>165000</v>
      </c>
      <c r="Q637" s="71">
        <v>3665000</v>
      </c>
      <c r="R637" s="72">
        <v>46279</v>
      </c>
      <c r="S637" s="8">
        <f t="shared" si="29"/>
        <v>45</v>
      </c>
      <c r="T637" s="65" t="s">
        <v>1173</v>
      </c>
      <c r="U637" s="65" t="s">
        <v>433</v>
      </c>
    </row>
    <row r="638" spans="1:21" s="3" customFormat="1" ht="12" x14ac:dyDescent="0.3">
      <c r="A638" s="73" t="s">
        <v>701</v>
      </c>
      <c r="B638" s="73" t="s">
        <v>30</v>
      </c>
      <c r="C638" s="73">
        <v>69189192</v>
      </c>
      <c r="D638" s="73" t="s">
        <v>479</v>
      </c>
      <c r="E638" s="73">
        <v>2721387638</v>
      </c>
      <c r="F638" s="73" t="s">
        <v>32</v>
      </c>
      <c r="G638" s="73" t="s">
        <v>23</v>
      </c>
      <c r="H638" s="74">
        <v>46262</v>
      </c>
      <c r="I638" s="74">
        <v>46265</v>
      </c>
      <c r="J638" s="8">
        <f t="shared" si="30"/>
        <v>2</v>
      </c>
      <c r="K638" s="65" t="s">
        <v>295</v>
      </c>
      <c r="L638" s="65" t="s">
        <v>296</v>
      </c>
      <c r="M638" s="65" t="s">
        <v>24</v>
      </c>
      <c r="N638" s="65" t="s">
        <v>33</v>
      </c>
      <c r="O638" s="65">
        <v>150000</v>
      </c>
      <c r="P638" s="65">
        <v>40000</v>
      </c>
      <c r="Q638" s="67">
        <v>190000</v>
      </c>
      <c r="R638" s="66">
        <v>46279</v>
      </c>
      <c r="S638" s="8">
        <f t="shared" si="29"/>
        <v>12</v>
      </c>
      <c r="T638" s="65" t="s">
        <v>1173</v>
      </c>
      <c r="U638" s="65" t="s">
        <v>537</v>
      </c>
    </row>
    <row r="639" spans="1:21" x14ac:dyDescent="0.35">
      <c r="A639" s="17" t="s">
        <v>1174</v>
      </c>
      <c r="B639" s="17" t="s">
        <v>30</v>
      </c>
      <c r="C639" s="17">
        <v>65432145</v>
      </c>
      <c r="D639" s="17" t="s">
        <v>35</v>
      </c>
      <c r="E639" s="17">
        <v>2720257700</v>
      </c>
      <c r="F639" s="17" t="s">
        <v>32</v>
      </c>
      <c r="G639" s="17" t="s">
        <v>23</v>
      </c>
      <c r="H639" s="18">
        <v>46197</v>
      </c>
      <c r="I639" s="18">
        <v>46280</v>
      </c>
      <c r="J639" s="8">
        <f t="shared" si="30"/>
        <v>60</v>
      </c>
      <c r="K639" s="65" t="s">
        <v>295</v>
      </c>
      <c r="L639" s="65" t="s">
        <v>318</v>
      </c>
      <c r="M639" s="65" t="s">
        <v>24</v>
      </c>
      <c r="N639" s="65" t="s">
        <v>33</v>
      </c>
      <c r="O639" s="65">
        <v>1000000</v>
      </c>
      <c r="P639" s="65">
        <v>495000</v>
      </c>
      <c r="Q639" s="67">
        <v>1495000</v>
      </c>
      <c r="R639" s="66">
        <v>46280</v>
      </c>
      <c r="S639" s="8">
        <f t="shared" si="29"/>
        <v>60</v>
      </c>
      <c r="T639" s="65" t="s">
        <v>1173</v>
      </c>
      <c r="U639" s="65" t="s">
        <v>537</v>
      </c>
    </row>
    <row r="640" spans="1:21" x14ac:dyDescent="0.35">
      <c r="A640" s="17" t="s">
        <v>1175</v>
      </c>
      <c r="B640" s="17" t="s">
        <v>43</v>
      </c>
      <c r="C640" s="17">
        <v>67777967</v>
      </c>
      <c r="D640" s="17" t="s">
        <v>1176</v>
      </c>
      <c r="E640" s="17" t="s">
        <v>1177</v>
      </c>
      <c r="F640" s="17" t="s">
        <v>22</v>
      </c>
      <c r="G640" s="17" t="s">
        <v>23</v>
      </c>
      <c r="H640" s="18">
        <v>46238</v>
      </c>
      <c r="I640" s="18">
        <v>46267</v>
      </c>
      <c r="J640" s="8">
        <f t="shared" si="30"/>
        <v>22</v>
      </c>
      <c r="K640" s="65" t="s">
        <v>295</v>
      </c>
      <c r="L640" s="65" t="s">
        <v>296</v>
      </c>
      <c r="M640" s="65" t="s">
        <v>24</v>
      </c>
      <c r="N640" s="65" t="s">
        <v>53</v>
      </c>
      <c r="O640" s="65">
        <v>500000</v>
      </c>
      <c r="P640" s="65">
        <v>250000</v>
      </c>
      <c r="Q640" s="67">
        <v>750000</v>
      </c>
      <c r="R640" s="66">
        <v>46280</v>
      </c>
      <c r="S640" s="8">
        <f t="shared" si="29"/>
        <v>31</v>
      </c>
      <c r="T640" s="65" t="s">
        <v>1173</v>
      </c>
      <c r="U640" s="65" t="s">
        <v>537</v>
      </c>
    </row>
    <row r="641" spans="1:21" x14ac:dyDescent="0.35">
      <c r="A641" s="17" t="s">
        <v>1178</v>
      </c>
      <c r="B641" s="17" t="s">
        <v>19</v>
      </c>
      <c r="C641" s="17">
        <v>65800582</v>
      </c>
      <c r="D641" s="17" t="s">
        <v>1179</v>
      </c>
      <c r="E641" s="17" t="s">
        <v>1180</v>
      </c>
      <c r="F641" s="17" t="s">
        <v>46</v>
      </c>
      <c r="G641" s="17" t="s">
        <v>23</v>
      </c>
      <c r="H641" s="18">
        <v>46205</v>
      </c>
      <c r="I641" s="18">
        <v>46275</v>
      </c>
      <c r="J641" s="8">
        <f t="shared" si="30"/>
        <v>51</v>
      </c>
      <c r="K641" s="65" t="s">
        <v>295</v>
      </c>
      <c r="L641" s="65" t="s">
        <v>318</v>
      </c>
      <c r="M641" s="65" t="s">
        <v>24</v>
      </c>
      <c r="N641" s="65" t="s">
        <v>53</v>
      </c>
      <c r="O641" s="65">
        <v>100000</v>
      </c>
      <c r="P641" s="65">
        <v>250000</v>
      </c>
      <c r="Q641" s="67">
        <v>350000</v>
      </c>
      <c r="R641" s="66">
        <v>46280</v>
      </c>
      <c r="S641" s="8">
        <f t="shared" si="29"/>
        <v>54</v>
      </c>
      <c r="T641" s="65" t="s">
        <v>1173</v>
      </c>
      <c r="U641" s="65" t="s">
        <v>537</v>
      </c>
    </row>
    <row r="642" spans="1:21" x14ac:dyDescent="0.35">
      <c r="A642" s="17" t="s">
        <v>132</v>
      </c>
      <c r="B642" s="17" t="s">
        <v>43</v>
      </c>
      <c r="C642" s="17">
        <v>56618123</v>
      </c>
      <c r="D642" s="17" t="s">
        <v>175</v>
      </c>
      <c r="E642" s="17" t="s">
        <v>1181</v>
      </c>
      <c r="F642" s="17" t="s">
        <v>46</v>
      </c>
      <c r="G642" s="17" t="s">
        <v>23</v>
      </c>
      <c r="H642" s="18">
        <v>46035</v>
      </c>
      <c r="I642" s="18">
        <v>46273</v>
      </c>
      <c r="J642" s="8">
        <f t="shared" si="30"/>
        <v>171</v>
      </c>
      <c r="K642" s="65" t="s">
        <v>295</v>
      </c>
      <c r="L642" s="65" t="s">
        <v>302</v>
      </c>
      <c r="M642" s="65" t="s">
        <v>24</v>
      </c>
      <c r="N642" s="65" t="s">
        <v>135</v>
      </c>
      <c r="O642" s="65">
        <v>2000000</v>
      </c>
      <c r="P642" s="65">
        <v>300000</v>
      </c>
      <c r="Q642" s="67">
        <v>2300000</v>
      </c>
      <c r="R642" s="66">
        <v>46281</v>
      </c>
      <c r="S642" s="8">
        <f t="shared" si="29"/>
        <v>177</v>
      </c>
      <c r="T642" s="65" t="s">
        <v>1173</v>
      </c>
      <c r="U642" s="65" t="s">
        <v>537</v>
      </c>
    </row>
    <row r="643" spans="1:21" x14ac:dyDescent="0.35">
      <c r="A643" s="17" t="s">
        <v>1185</v>
      </c>
      <c r="B643" s="17" t="s">
        <v>19</v>
      </c>
      <c r="C643" s="17">
        <v>69652230</v>
      </c>
      <c r="D643" s="17" t="s">
        <v>99</v>
      </c>
      <c r="E643" s="17" t="s">
        <v>1186</v>
      </c>
      <c r="F643" s="17" t="s">
        <v>22</v>
      </c>
      <c r="G643" s="17" t="s">
        <v>37</v>
      </c>
      <c r="H643" s="18">
        <v>46270</v>
      </c>
      <c r="I643" s="18">
        <v>46280</v>
      </c>
      <c r="J643" s="8">
        <f t="shared" si="30"/>
        <v>7</v>
      </c>
      <c r="K643" s="65" t="s">
        <v>295</v>
      </c>
      <c r="L643" s="65" t="s">
        <v>296</v>
      </c>
      <c r="M643" s="65" t="s">
        <v>24</v>
      </c>
      <c r="N643" s="65" t="s">
        <v>38</v>
      </c>
      <c r="O643" s="65">
        <v>1000000</v>
      </c>
      <c r="P643" s="65">
        <v>295767</v>
      </c>
      <c r="Q643" s="67">
        <v>1295767</v>
      </c>
      <c r="R643" s="66">
        <v>46281</v>
      </c>
      <c r="S643" s="8">
        <f t="shared" si="29"/>
        <v>8</v>
      </c>
      <c r="T643" s="65" t="s">
        <v>1173</v>
      </c>
      <c r="U643" s="65" t="s">
        <v>537</v>
      </c>
    </row>
    <row r="644" spans="1:21" x14ac:dyDescent="0.35">
      <c r="A644" s="17" t="s">
        <v>1187</v>
      </c>
      <c r="B644" s="17" t="s">
        <v>43</v>
      </c>
      <c r="C644" s="17">
        <v>69408141</v>
      </c>
      <c r="D644" s="17" t="s">
        <v>1188</v>
      </c>
      <c r="E644" s="17" t="s">
        <v>1189</v>
      </c>
      <c r="F644" s="17" t="s">
        <v>46</v>
      </c>
      <c r="G644" s="17" t="s">
        <v>23</v>
      </c>
      <c r="H644" s="18">
        <v>46266</v>
      </c>
      <c r="I644" s="18">
        <v>46272</v>
      </c>
      <c r="J644" s="8">
        <f t="shared" si="30"/>
        <v>5</v>
      </c>
      <c r="K644" s="65" t="s">
        <v>295</v>
      </c>
      <c r="L644" s="65" t="s">
        <v>296</v>
      </c>
      <c r="M644" s="65" t="s">
        <v>24</v>
      </c>
      <c r="N644" s="65" t="s">
        <v>38</v>
      </c>
      <c r="O644" s="65">
        <v>1259319</v>
      </c>
      <c r="P644" s="65">
        <v>3291300</v>
      </c>
      <c r="Q644" s="67">
        <v>4550619</v>
      </c>
      <c r="R644" s="66">
        <v>46281</v>
      </c>
      <c r="S644" s="8">
        <f t="shared" si="29"/>
        <v>12</v>
      </c>
      <c r="T644" s="65" t="s">
        <v>1173</v>
      </c>
      <c r="U644" s="65" t="s">
        <v>537</v>
      </c>
    </row>
    <row r="645" spans="1:21" x14ac:dyDescent="0.35">
      <c r="A645" s="17" t="s">
        <v>1190</v>
      </c>
      <c r="B645" s="17" t="s">
        <v>19</v>
      </c>
      <c r="C645" s="17">
        <v>69121252</v>
      </c>
      <c r="D645" s="17" t="s">
        <v>44</v>
      </c>
      <c r="E645" s="17" t="s">
        <v>1191</v>
      </c>
      <c r="F645" s="17" t="s">
        <v>22</v>
      </c>
      <c r="G645" s="17" t="s">
        <v>23</v>
      </c>
      <c r="H645" s="18">
        <v>46261</v>
      </c>
      <c r="I645" s="18">
        <v>46281</v>
      </c>
      <c r="J645" s="8">
        <f t="shared" si="30"/>
        <v>15</v>
      </c>
      <c r="K645" s="65" t="s">
        <v>295</v>
      </c>
      <c r="L645" s="65" t="s">
        <v>296</v>
      </c>
      <c r="M645" s="65" t="s">
        <v>24</v>
      </c>
      <c r="N645" s="65" t="s">
        <v>53</v>
      </c>
      <c r="O645" s="65">
        <v>875000</v>
      </c>
      <c r="P645" s="65">
        <v>429000</v>
      </c>
      <c r="Q645" s="67">
        <v>1304000</v>
      </c>
      <c r="R645" s="66">
        <v>46281</v>
      </c>
      <c r="S645" s="8">
        <f t="shared" si="29"/>
        <v>15</v>
      </c>
      <c r="T645" s="65" t="s">
        <v>1173</v>
      </c>
      <c r="U645" s="65" t="s">
        <v>537</v>
      </c>
    </row>
    <row r="646" spans="1:21" x14ac:dyDescent="0.35">
      <c r="A646" s="17" t="s">
        <v>1192</v>
      </c>
      <c r="B646" s="17" t="s">
        <v>19</v>
      </c>
      <c r="C646" s="17">
        <v>69790474</v>
      </c>
      <c r="D646" s="17" t="s">
        <v>20</v>
      </c>
      <c r="E646" s="17" t="s">
        <v>1193</v>
      </c>
      <c r="F646" s="17" t="s">
        <v>22</v>
      </c>
      <c r="G646" s="17" t="s">
        <v>23</v>
      </c>
      <c r="H646" s="18">
        <v>46273</v>
      </c>
      <c r="I646" s="18">
        <v>46282</v>
      </c>
      <c r="J646" s="8">
        <f t="shared" si="30"/>
        <v>8</v>
      </c>
      <c r="K646" s="65" t="s">
        <v>295</v>
      </c>
      <c r="L646" s="65" t="s">
        <v>296</v>
      </c>
      <c r="M646" s="65" t="s">
        <v>24</v>
      </c>
      <c r="N646" s="65" t="s">
        <v>53</v>
      </c>
      <c r="O646" s="65">
        <v>500000</v>
      </c>
      <c r="P646" s="65">
        <v>284977</v>
      </c>
      <c r="Q646" s="67">
        <v>784977</v>
      </c>
      <c r="R646" s="66">
        <v>46282</v>
      </c>
      <c r="S646" s="8">
        <f t="shared" si="29"/>
        <v>8</v>
      </c>
      <c r="T646" s="65" t="s">
        <v>1173</v>
      </c>
      <c r="U646" s="65" t="s">
        <v>537</v>
      </c>
    </row>
    <row r="647" spans="1:21" x14ac:dyDescent="0.35">
      <c r="A647" s="17" t="s">
        <v>928</v>
      </c>
      <c r="B647" s="17" t="s">
        <v>43</v>
      </c>
      <c r="C647" s="17">
        <v>65836320</v>
      </c>
      <c r="D647" s="17" t="s">
        <v>44</v>
      </c>
      <c r="E647" s="17" t="s">
        <v>1194</v>
      </c>
      <c r="F647" s="17" t="s">
        <v>498</v>
      </c>
      <c r="G647" s="17" t="s">
        <v>37</v>
      </c>
      <c r="H647" s="18">
        <v>46205</v>
      </c>
      <c r="I647" s="18">
        <v>46281</v>
      </c>
      <c r="J647" s="8">
        <f t="shared" si="30"/>
        <v>55</v>
      </c>
      <c r="K647" s="65" t="s">
        <v>295</v>
      </c>
      <c r="L647" s="65" t="s">
        <v>318</v>
      </c>
      <c r="M647" s="65" t="s">
        <v>24</v>
      </c>
      <c r="N647" s="65" t="s">
        <v>931</v>
      </c>
      <c r="O647" s="65">
        <v>0</v>
      </c>
      <c r="P647" s="65">
        <v>0</v>
      </c>
      <c r="Q647" s="67">
        <v>0</v>
      </c>
      <c r="R647" s="66">
        <v>46283</v>
      </c>
      <c r="S647" s="8">
        <f t="shared" si="29"/>
        <v>57</v>
      </c>
      <c r="T647" s="65" t="s">
        <v>1173</v>
      </c>
      <c r="U647" s="65" t="s">
        <v>537</v>
      </c>
    </row>
    <row r="648" spans="1:21" x14ac:dyDescent="0.35">
      <c r="A648" s="17" t="s">
        <v>1195</v>
      </c>
      <c r="B648" s="17" t="s">
        <v>30</v>
      </c>
      <c r="C648" s="17">
        <v>69803466</v>
      </c>
      <c r="D648" s="17" t="s">
        <v>49</v>
      </c>
      <c r="E648" s="17">
        <v>2721712324</v>
      </c>
      <c r="F648" s="17" t="s">
        <v>32</v>
      </c>
      <c r="G648" s="17" t="s">
        <v>23</v>
      </c>
      <c r="H648" s="18">
        <v>46273</v>
      </c>
      <c r="I648" s="18">
        <v>46283</v>
      </c>
      <c r="J648" s="8">
        <f t="shared" si="30"/>
        <v>9</v>
      </c>
      <c r="K648" s="65" t="s">
        <v>295</v>
      </c>
      <c r="L648" s="65" t="s">
        <v>296</v>
      </c>
      <c r="M648" s="65" t="s">
        <v>24</v>
      </c>
      <c r="N648" s="65" t="s">
        <v>56</v>
      </c>
      <c r="O648" s="65">
        <v>270000</v>
      </c>
      <c r="P648" s="65">
        <v>71435</v>
      </c>
      <c r="Q648" s="67">
        <v>341435</v>
      </c>
      <c r="R648" s="66">
        <v>46283</v>
      </c>
      <c r="S648" s="8">
        <f t="shared" si="29"/>
        <v>9</v>
      </c>
      <c r="T648" s="65" t="s">
        <v>1173</v>
      </c>
      <c r="U648" s="65" t="s">
        <v>537</v>
      </c>
    </row>
    <row r="649" spans="1:21" x14ac:dyDescent="0.35">
      <c r="A649" s="17" t="s">
        <v>1196</v>
      </c>
      <c r="B649" s="17" t="s">
        <v>30</v>
      </c>
      <c r="C649" s="17">
        <v>69182973</v>
      </c>
      <c r="D649" s="17" t="s">
        <v>94</v>
      </c>
      <c r="E649" s="17">
        <v>2724391874</v>
      </c>
      <c r="F649" s="17" t="s">
        <v>32</v>
      </c>
      <c r="G649" s="17" t="s">
        <v>23</v>
      </c>
      <c r="H649" s="18">
        <v>46262</v>
      </c>
      <c r="I649" s="18">
        <v>46265</v>
      </c>
      <c r="J649" s="8">
        <f t="shared" si="30"/>
        <v>2</v>
      </c>
      <c r="K649" s="65" t="s">
        <v>295</v>
      </c>
      <c r="L649" s="65" t="s">
        <v>296</v>
      </c>
      <c r="M649" s="65" t="s">
        <v>24</v>
      </c>
      <c r="N649" s="65" t="s">
        <v>33</v>
      </c>
      <c r="O649" s="65">
        <v>150000</v>
      </c>
      <c r="P649" s="65">
        <v>60000</v>
      </c>
      <c r="Q649" s="67">
        <v>210000</v>
      </c>
      <c r="R649" s="66">
        <v>46283</v>
      </c>
      <c r="S649" s="8">
        <f t="shared" si="29"/>
        <v>16</v>
      </c>
      <c r="T649" s="65" t="s">
        <v>1173</v>
      </c>
      <c r="U649" s="65" t="s">
        <v>537</v>
      </c>
    </row>
    <row r="650" spans="1:21" x14ac:dyDescent="0.35">
      <c r="A650" s="17" t="s">
        <v>1197</v>
      </c>
      <c r="B650" s="17" t="s">
        <v>30</v>
      </c>
      <c r="C650" s="17">
        <v>69190782</v>
      </c>
      <c r="D650" s="17" t="s">
        <v>20</v>
      </c>
      <c r="E650" s="17">
        <v>2722580500</v>
      </c>
      <c r="F650" s="17" t="s">
        <v>32</v>
      </c>
      <c r="G650" s="17" t="s">
        <v>23</v>
      </c>
      <c r="H650" s="18">
        <v>46262</v>
      </c>
      <c r="I650" s="18">
        <v>46281</v>
      </c>
      <c r="J650" s="8">
        <f t="shared" si="30"/>
        <v>14</v>
      </c>
      <c r="K650" s="65" t="s">
        <v>295</v>
      </c>
      <c r="L650" s="65" t="s">
        <v>296</v>
      </c>
      <c r="M650" s="65" t="s">
        <v>24</v>
      </c>
      <c r="N650" s="65" t="s">
        <v>41</v>
      </c>
      <c r="O650" s="65">
        <v>570000</v>
      </c>
      <c r="P650" s="65">
        <v>221635</v>
      </c>
      <c r="Q650" s="67">
        <v>791635</v>
      </c>
      <c r="R650" s="66">
        <v>46283</v>
      </c>
      <c r="S650" s="8">
        <f t="shared" si="29"/>
        <v>16</v>
      </c>
      <c r="T650" s="65" t="s">
        <v>1173</v>
      </c>
      <c r="U650" s="65" t="s">
        <v>537</v>
      </c>
    </row>
    <row r="651" spans="1:21" s="3" customFormat="1" ht="12" x14ac:dyDescent="0.3">
      <c r="A651" s="73" t="s">
        <v>819</v>
      </c>
      <c r="B651" s="75" t="s">
        <v>43</v>
      </c>
      <c r="C651" s="73">
        <v>69974913</v>
      </c>
      <c r="D651" s="75" t="s">
        <v>1198</v>
      </c>
      <c r="E651" s="73" t="s">
        <v>1199</v>
      </c>
      <c r="F651" s="75" t="s">
        <v>46</v>
      </c>
      <c r="G651" s="75" t="s">
        <v>23</v>
      </c>
      <c r="H651" s="74">
        <v>46276</v>
      </c>
      <c r="I651" s="74">
        <v>46283</v>
      </c>
      <c r="J651" s="8">
        <f t="shared" si="30"/>
        <v>6</v>
      </c>
      <c r="K651" s="76" t="s">
        <v>295</v>
      </c>
      <c r="L651" s="75" t="s">
        <v>296</v>
      </c>
      <c r="M651" s="75" t="s">
        <v>47</v>
      </c>
      <c r="N651" s="75" t="s">
        <v>191</v>
      </c>
      <c r="O651" s="77">
        <v>800000</v>
      </c>
      <c r="P651" s="77">
        <v>0</v>
      </c>
      <c r="Q651" s="77">
        <f t="shared" ref="Q651" si="31">P651+O651</f>
        <v>800000</v>
      </c>
      <c r="R651" s="78">
        <v>46286</v>
      </c>
      <c r="S651" s="8">
        <f t="shared" si="29"/>
        <v>7</v>
      </c>
      <c r="T651" s="65" t="s">
        <v>1200</v>
      </c>
      <c r="U651" s="79" t="s">
        <v>537</v>
      </c>
    </row>
    <row r="652" spans="1:21" x14ac:dyDescent="0.35">
      <c r="A652" s="17" t="s">
        <v>1201</v>
      </c>
      <c r="B652" s="17" t="s">
        <v>19</v>
      </c>
      <c r="C652" s="17">
        <v>68272822</v>
      </c>
      <c r="D652" s="17" t="s">
        <v>67</v>
      </c>
      <c r="E652" s="17" t="s">
        <v>1202</v>
      </c>
      <c r="F652" s="17" t="s">
        <v>22</v>
      </c>
      <c r="G652" s="17" t="s">
        <v>37</v>
      </c>
      <c r="H652" s="18">
        <v>46247</v>
      </c>
      <c r="I652" s="18">
        <v>46281</v>
      </c>
      <c r="J652" s="8">
        <f t="shared" si="30"/>
        <v>25</v>
      </c>
      <c r="K652" s="65" t="s">
        <v>295</v>
      </c>
      <c r="L652" s="65" t="s">
        <v>296</v>
      </c>
      <c r="M652" s="65" t="s">
        <v>24</v>
      </c>
      <c r="N652" s="65" t="s">
        <v>262</v>
      </c>
      <c r="O652" s="65">
        <v>2000000</v>
      </c>
      <c r="P652" s="65">
        <v>215000</v>
      </c>
      <c r="Q652" s="67">
        <v>2215000</v>
      </c>
      <c r="R652" s="66">
        <v>46286</v>
      </c>
      <c r="S652" s="8">
        <f t="shared" si="29"/>
        <v>28</v>
      </c>
      <c r="T652" s="65" t="s">
        <v>1200</v>
      </c>
      <c r="U652" s="65" t="s">
        <v>537</v>
      </c>
    </row>
    <row r="653" spans="1:21" x14ac:dyDescent="0.35">
      <c r="A653" s="17" t="s">
        <v>1135</v>
      </c>
      <c r="B653" s="17" t="s">
        <v>19</v>
      </c>
      <c r="C653" s="17">
        <v>67062562</v>
      </c>
      <c r="D653" s="17" t="s">
        <v>35</v>
      </c>
      <c r="E653" s="17" t="s">
        <v>1203</v>
      </c>
      <c r="F653" s="17" t="s">
        <v>22</v>
      </c>
      <c r="G653" s="17" t="s">
        <v>23</v>
      </c>
      <c r="H653" s="18">
        <v>46226</v>
      </c>
      <c r="I653" s="18">
        <v>46282</v>
      </c>
      <c r="J653" s="8">
        <f t="shared" si="30"/>
        <v>41</v>
      </c>
      <c r="K653" s="65" t="s">
        <v>295</v>
      </c>
      <c r="L653" s="65" t="s">
        <v>318</v>
      </c>
      <c r="M653" s="65" t="s">
        <v>24</v>
      </c>
      <c r="N653" s="65" t="s">
        <v>38</v>
      </c>
      <c r="O653" s="65">
        <v>500000</v>
      </c>
      <c r="P653" s="65">
        <v>850000</v>
      </c>
      <c r="Q653" s="67">
        <v>1350000</v>
      </c>
      <c r="R653" s="66">
        <v>46286</v>
      </c>
      <c r="S653" s="8">
        <f t="shared" ref="S653:S665" si="32">NETWORKDAYS(H653,R653)</f>
        <v>43</v>
      </c>
      <c r="T653" s="65" t="s">
        <v>1200</v>
      </c>
      <c r="U653" s="65" t="s">
        <v>537</v>
      </c>
    </row>
    <row r="654" spans="1:21" x14ac:dyDescent="0.35">
      <c r="A654" s="17" t="s">
        <v>1204</v>
      </c>
      <c r="B654" s="17" t="s">
        <v>30</v>
      </c>
      <c r="C654" s="17">
        <v>64761746</v>
      </c>
      <c r="D654" s="17" t="s">
        <v>49</v>
      </c>
      <c r="E654" s="17">
        <v>2721712170</v>
      </c>
      <c r="F654" s="17" t="s">
        <v>32</v>
      </c>
      <c r="G654" s="17" t="s">
        <v>23</v>
      </c>
      <c r="H654" s="18">
        <v>46185</v>
      </c>
      <c r="I654" s="18">
        <v>46286</v>
      </c>
      <c r="J654" s="8">
        <f t="shared" si="30"/>
        <v>72</v>
      </c>
      <c r="K654" s="65" t="s">
        <v>295</v>
      </c>
      <c r="L654" s="65" t="s">
        <v>318</v>
      </c>
      <c r="M654" s="65" t="s">
        <v>24</v>
      </c>
      <c r="N654" s="65" t="s">
        <v>33</v>
      </c>
      <c r="O654" s="65">
        <v>150000</v>
      </c>
      <c r="P654" s="65">
        <v>60000</v>
      </c>
      <c r="Q654" s="67">
        <v>210000</v>
      </c>
      <c r="R654" s="66">
        <v>46286</v>
      </c>
      <c r="S654" s="8">
        <f t="shared" si="32"/>
        <v>72</v>
      </c>
      <c r="T654" s="65" t="s">
        <v>1200</v>
      </c>
      <c r="U654" s="65" t="s">
        <v>537</v>
      </c>
    </row>
    <row r="655" spans="1:21" x14ac:dyDescent="0.35">
      <c r="A655" s="17" t="s">
        <v>1205</v>
      </c>
      <c r="B655" s="17" t="s">
        <v>19</v>
      </c>
      <c r="C655" s="17">
        <v>69173063</v>
      </c>
      <c r="D655" s="17" t="s">
        <v>97</v>
      </c>
      <c r="E655" s="17" t="s">
        <v>1206</v>
      </c>
      <c r="F655" s="17" t="s">
        <v>22</v>
      </c>
      <c r="G655" s="17" t="s">
        <v>23</v>
      </c>
      <c r="H655" s="18">
        <v>46262</v>
      </c>
      <c r="I655" s="18">
        <v>46281</v>
      </c>
      <c r="J655" s="8">
        <f t="shared" si="30"/>
        <v>14</v>
      </c>
      <c r="K655" s="65" t="s">
        <v>295</v>
      </c>
      <c r="L655" s="65" t="s">
        <v>296</v>
      </c>
      <c r="M655" s="65" t="s">
        <v>24</v>
      </c>
      <c r="N655" s="65" t="s">
        <v>262</v>
      </c>
      <c r="O655" s="65">
        <v>2000000</v>
      </c>
      <c r="P655" s="65">
        <v>484889</v>
      </c>
      <c r="Q655" s="67">
        <v>2484889</v>
      </c>
      <c r="R655" s="66">
        <v>46287</v>
      </c>
      <c r="S655" s="8">
        <f t="shared" si="32"/>
        <v>18</v>
      </c>
      <c r="T655" s="65" t="s">
        <v>1200</v>
      </c>
      <c r="U655" s="65" t="s">
        <v>537</v>
      </c>
    </row>
    <row r="656" spans="1:21" x14ac:dyDescent="0.35">
      <c r="A656" s="17" t="s">
        <v>1207</v>
      </c>
      <c r="B656" s="17" t="s">
        <v>19</v>
      </c>
      <c r="C656" s="17">
        <v>70270437</v>
      </c>
      <c r="D656" s="17" t="s">
        <v>67</v>
      </c>
      <c r="E656" s="17" t="s">
        <v>1208</v>
      </c>
      <c r="F656" s="17" t="s">
        <v>22</v>
      </c>
      <c r="G656" s="17" t="s">
        <v>23</v>
      </c>
      <c r="H656" s="18">
        <v>46281</v>
      </c>
      <c r="I656" s="18">
        <v>46283</v>
      </c>
      <c r="J656" s="8">
        <f t="shared" si="30"/>
        <v>3</v>
      </c>
      <c r="K656" s="65" t="s">
        <v>295</v>
      </c>
      <c r="L656" s="65" t="s">
        <v>296</v>
      </c>
      <c r="M656" s="65" t="s">
        <v>24</v>
      </c>
      <c r="N656" s="65" t="s">
        <v>254</v>
      </c>
      <c r="O656" s="65">
        <v>2508676</v>
      </c>
      <c r="P656" s="65">
        <v>1000219</v>
      </c>
      <c r="Q656" s="67">
        <v>3508895</v>
      </c>
      <c r="R656" s="66">
        <v>46287</v>
      </c>
      <c r="S656" s="8">
        <f t="shared" si="32"/>
        <v>5</v>
      </c>
      <c r="T656" s="65" t="s">
        <v>1200</v>
      </c>
      <c r="U656" s="65" t="s">
        <v>537</v>
      </c>
    </row>
    <row r="657" spans="1:21" x14ac:dyDescent="0.35">
      <c r="A657" s="17" t="s">
        <v>1209</v>
      </c>
      <c r="B657" s="17" t="s">
        <v>19</v>
      </c>
      <c r="C657" s="17">
        <v>70424921</v>
      </c>
      <c r="D657" s="17" t="s">
        <v>20</v>
      </c>
      <c r="E657" s="17" t="s">
        <v>1210</v>
      </c>
      <c r="F657" s="17" t="s">
        <v>46</v>
      </c>
      <c r="G657" s="17" t="s">
        <v>23</v>
      </c>
      <c r="H657" s="18">
        <v>46283</v>
      </c>
      <c r="I657" s="18">
        <v>46286</v>
      </c>
      <c r="J657" s="8">
        <f t="shared" si="30"/>
        <v>2</v>
      </c>
      <c r="K657" s="65" t="s">
        <v>295</v>
      </c>
      <c r="L657" s="65" t="s">
        <v>296</v>
      </c>
      <c r="M657" s="65" t="s">
        <v>24</v>
      </c>
      <c r="N657" s="65" t="s">
        <v>38</v>
      </c>
      <c r="O657" s="65">
        <v>1605954</v>
      </c>
      <c r="P657" s="65">
        <v>0</v>
      </c>
      <c r="Q657" s="67">
        <v>1605954</v>
      </c>
      <c r="R657" s="66">
        <v>46286</v>
      </c>
      <c r="S657" s="8">
        <f t="shared" si="32"/>
        <v>2</v>
      </c>
      <c r="T657" s="65" t="s">
        <v>1200</v>
      </c>
      <c r="U657" s="65" t="s">
        <v>537</v>
      </c>
    </row>
    <row r="658" spans="1:21" x14ac:dyDescent="0.35">
      <c r="A658" s="17" t="s">
        <v>766</v>
      </c>
      <c r="B658" s="17" t="s">
        <v>85</v>
      </c>
      <c r="C658" s="17">
        <v>60757807</v>
      </c>
      <c r="D658" s="17" t="s">
        <v>1039</v>
      </c>
      <c r="E658" s="17">
        <v>2720242424</v>
      </c>
      <c r="F658" s="17" t="s">
        <v>32</v>
      </c>
      <c r="G658" s="17" t="s">
        <v>23</v>
      </c>
      <c r="H658" s="18">
        <v>46111</v>
      </c>
      <c r="I658" s="18">
        <v>46251</v>
      </c>
      <c r="J658" s="8">
        <f t="shared" si="30"/>
        <v>101</v>
      </c>
      <c r="K658" s="65" t="s">
        <v>295</v>
      </c>
      <c r="L658" s="65" t="s">
        <v>302</v>
      </c>
      <c r="M658" s="65" t="s">
        <v>47</v>
      </c>
      <c r="N658" s="65" t="s">
        <v>82</v>
      </c>
      <c r="O658" s="65">
        <v>1000000</v>
      </c>
      <c r="P658" s="65">
        <v>0</v>
      </c>
      <c r="Q658" s="67">
        <v>1000000</v>
      </c>
      <c r="R658" s="66">
        <v>46287</v>
      </c>
      <c r="S658" s="8">
        <f t="shared" si="32"/>
        <v>127</v>
      </c>
      <c r="T658" s="65" t="s">
        <v>1200</v>
      </c>
      <c r="U658" s="65" t="s">
        <v>537</v>
      </c>
    </row>
    <row r="659" spans="1:21" x14ac:dyDescent="0.35">
      <c r="A659" s="17" t="s">
        <v>766</v>
      </c>
      <c r="B659" s="17" t="s">
        <v>85</v>
      </c>
      <c r="C659" s="17">
        <v>60747953</v>
      </c>
      <c r="D659" s="17" t="s">
        <v>1039</v>
      </c>
      <c r="E659" s="17">
        <v>2720201600</v>
      </c>
      <c r="F659" s="17" t="s">
        <v>32</v>
      </c>
      <c r="G659" s="17" t="s">
        <v>23</v>
      </c>
      <c r="H659" s="18">
        <v>46111</v>
      </c>
      <c r="I659" s="18">
        <v>46253</v>
      </c>
      <c r="J659" s="8">
        <f t="shared" si="30"/>
        <v>103</v>
      </c>
      <c r="K659" s="65" t="s">
        <v>295</v>
      </c>
      <c r="L659" s="65" t="s">
        <v>302</v>
      </c>
      <c r="M659" s="65" t="s">
        <v>47</v>
      </c>
      <c r="N659" s="65" t="s">
        <v>82</v>
      </c>
      <c r="O659" s="65">
        <v>1000000</v>
      </c>
      <c r="P659" s="65">
        <v>0</v>
      </c>
      <c r="Q659" s="67">
        <v>1000000</v>
      </c>
      <c r="R659" s="66">
        <v>46287</v>
      </c>
      <c r="S659" s="8">
        <f t="shared" si="32"/>
        <v>127</v>
      </c>
      <c r="T659" s="65" t="s">
        <v>1200</v>
      </c>
      <c r="U659" s="65" t="s">
        <v>537</v>
      </c>
    </row>
    <row r="660" spans="1:21" x14ac:dyDescent="0.35">
      <c r="A660" s="17" t="s">
        <v>535</v>
      </c>
      <c r="B660" s="17" t="s">
        <v>19</v>
      </c>
      <c r="C660" s="17">
        <v>66190079</v>
      </c>
      <c r="D660" s="17" t="s">
        <v>49</v>
      </c>
      <c r="E660" s="17" t="s">
        <v>1211</v>
      </c>
      <c r="F660" s="17" t="s">
        <v>22</v>
      </c>
      <c r="G660" s="17" t="s">
        <v>37</v>
      </c>
      <c r="H660" s="18">
        <v>46211</v>
      </c>
      <c r="I660" s="18">
        <v>46275</v>
      </c>
      <c r="J660" s="8">
        <f t="shared" si="30"/>
        <v>47</v>
      </c>
      <c r="K660" s="65" t="s">
        <v>295</v>
      </c>
      <c r="L660" s="65" t="s">
        <v>302</v>
      </c>
      <c r="M660" s="65" t="s">
        <v>47</v>
      </c>
      <c r="N660" s="65" t="s">
        <v>103</v>
      </c>
      <c r="O660" s="65">
        <v>500000</v>
      </c>
      <c r="P660" s="65">
        <v>0</v>
      </c>
      <c r="Q660" s="67">
        <v>500000</v>
      </c>
      <c r="R660" s="66">
        <v>46287</v>
      </c>
      <c r="S660" s="8">
        <f t="shared" si="32"/>
        <v>55</v>
      </c>
      <c r="T660" s="65" t="s">
        <v>1200</v>
      </c>
      <c r="U660" s="65" t="s">
        <v>537</v>
      </c>
    </row>
    <row r="661" spans="1:21" x14ac:dyDescent="0.35">
      <c r="A661" s="17" t="s">
        <v>928</v>
      </c>
      <c r="B661" s="17" t="s">
        <v>43</v>
      </c>
      <c r="C661" s="17">
        <v>65833190</v>
      </c>
      <c r="D661" s="17" t="s">
        <v>1212</v>
      </c>
      <c r="E661" s="17" t="s">
        <v>1213</v>
      </c>
      <c r="F661" s="17" t="s">
        <v>498</v>
      </c>
      <c r="G661" s="17" t="s">
        <v>37</v>
      </c>
      <c r="H661" s="18">
        <v>46205</v>
      </c>
      <c r="I661" s="18">
        <v>46286</v>
      </c>
      <c r="J661" s="8">
        <f t="shared" si="30"/>
        <v>58</v>
      </c>
      <c r="K661" s="65" t="s">
        <v>295</v>
      </c>
      <c r="L661" s="65" t="s">
        <v>318</v>
      </c>
      <c r="M661" s="65" t="s">
        <v>24</v>
      </c>
      <c r="N661" s="65" t="s">
        <v>931</v>
      </c>
      <c r="O661" s="65">
        <v>0</v>
      </c>
      <c r="P661" s="65">
        <v>0</v>
      </c>
      <c r="Q661" s="67">
        <v>0</v>
      </c>
      <c r="R661" s="66">
        <v>46287</v>
      </c>
      <c r="S661" s="8">
        <f t="shared" si="32"/>
        <v>59</v>
      </c>
      <c r="T661" s="65" t="s">
        <v>1200</v>
      </c>
      <c r="U661" s="65" t="s">
        <v>537</v>
      </c>
    </row>
    <row r="662" spans="1:21" x14ac:dyDescent="0.35">
      <c r="A662" s="17" t="s">
        <v>1214</v>
      </c>
      <c r="B662" s="17" t="s">
        <v>19</v>
      </c>
      <c r="C662" s="17">
        <v>69372201</v>
      </c>
      <c r="D662" s="17" t="s">
        <v>1215</v>
      </c>
      <c r="E662" s="17" t="s">
        <v>1216</v>
      </c>
      <c r="F662" s="17" t="s">
        <v>190</v>
      </c>
      <c r="G662" s="17" t="s">
        <v>37</v>
      </c>
      <c r="H662" s="18">
        <v>46266</v>
      </c>
      <c r="I662" s="18">
        <v>46286</v>
      </c>
      <c r="J662" s="8">
        <f t="shared" si="30"/>
        <v>15</v>
      </c>
      <c r="K662" s="65" t="s">
        <v>295</v>
      </c>
      <c r="L662" s="65" t="s">
        <v>296</v>
      </c>
      <c r="M662" s="65" t="s">
        <v>24</v>
      </c>
      <c r="N662" s="65" t="s">
        <v>262</v>
      </c>
      <c r="O662" s="65">
        <v>1386000</v>
      </c>
      <c r="P662" s="65">
        <v>107800</v>
      </c>
      <c r="Q662" s="67">
        <v>1493800</v>
      </c>
      <c r="R662" s="66">
        <v>46287</v>
      </c>
      <c r="S662" s="8">
        <f t="shared" si="32"/>
        <v>16</v>
      </c>
      <c r="T662" s="65" t="s">
        <v>1200</v>
      </c>
      <c r="U662" s="65" t="s">
        <v>537</v>
      </c>
    </row>
    <row r="663" spans="1:21" x14ac:dyDescent="0.35">
      <c r="A663" s="17" t="s">
        <v>1217</v>
      </c>
      <c r="B663" s="17" t="s">
        <v>30</v>
      </c>
      <c r="C663" s="17">
        <v>66962325</v>
      </c>
      <c r="D663" s="17" t="s">
        <v>49</v>
      </c>
      <c r="E663" s="17">
        <v>2721712313</v>
      </c>
      <c r="F663" s="17" t="s">
        <v>32</v>
      </c>
      <c r="G663" s="17" t="s">
        <v>23</v>
      </c>
      <c r="H663" s="18">
        <v>46224</v>
      </c>
      <c r="I663" s="18">
        <v>46282</v>
      </c>
      <c r="J663" s="8">
        <f t="shared" si="30"/>
        <v>43</v>
      </c>
      <c r="K663" s="65" t="s">
        <v>295</v>
      </c>
      <c r="L663" s="65" t="s">
        <v>318</v>
      </c>
      <c r="M663" s="65" t="s">
        <v>24</v>
      </c>
      <c r="N663" s="65" t="s">
        <v>33</v>
      </c>
      <c r="O663" s="65">
        <v>270000</v>
      </c>
      <c r="P663" s="65">
        <v>111435</v>
      </c>
      <c r="Q663" s="67">
        <v>381435</v>
      </c>
      <c r="R663" s="66">
        <v>46287</v>
      </c>
      <c r="S663" s="8">
        <f t="shared" si="32"/>
        <v>46</v>
      </c>
      <c r="T663" s="65" t="s">
        <v>1200</v>
      </c>
      <c r="U663" s="65" t="s">
        <v>537</v>
      </c>
    </row>
    <row r="664" spans="1:21" x14ac:dyDescent="0.35">
      <c r="A664" s="17" t="s">
        <v>1218</v>
      </c>
      <c r="B664" s="17" t="s">
        <v>19</v>
      </c>
      <c r="C664" s="17">
        <v>68272847</v>
      </c>
      <c r="D664" s="17" t="s">
        <v>67</v>
      </c>
      <c r="E664" s="17" t="s">
        <v>1219</v>
      </c>
      <c r="F664" s="17" t="s">
        <v>22</v>
      </c>
      <c r="G664" s="17" t="s">
        <v>40</v>
      </c>
      <c r="H664" s="18">
        <v>46247</v>
      </c>
      <c r="I664" s="18">
        <v>46287</v>
      </c>
      <c r="J664" s="8">
        <f t="shared" si="30"/>
        <v>29</v>
      </c>
      <c r="K664" s="65" t="s">
        <v>295</v>
      </c>
      <c r="L664" s="65" t="s">
        <v>296</v>
      </c>
      <c r="M664" s="65" t="s">
        <v>24</v>
      </c>
      <c r="N664" s="65" t="s">
        <v>262</v>
      </c>
      <c r="O664" s="65">
        <v>2000000</v>
      </c>
      <c r="P664" s="65">
        <v>815000</v>
      </c>
      <c r="Q664" s="67">
        <v>2815000</v>
      </c>
      <c r="R664" s="66">
        <v>46288</v>
      </c>
      <c r="S664" s="8">
        <f t="shared" si="32"/>
        <v>30</v>
      </c>
      <c r="T664" s="65" t="s">
        <v>1200</v>
      </c>
      <c r="U664" s="65" t="s">
        <v>537</v>
      </c>
    </row>
    <row r="665" spans="1:21" x14ac:dyDescent="0.35">
      <c r="A665" s="17" t="s">
        <v>1220</v>
      </c>
      <c r="B665" s="17" t="s">
        <v>85</v>
      </c>
      <c r="C665" s="17">
        <v>69451554</v>
      </c>
      <c r="D665" s="17" t="s">
        <v>35</v>
      </c>
      <c r="E665" s="17">
        <v>2720253939</v>
      </c>
      <c r="F665" s="17" t="s">
        <v>32</v>
      </c>
      <c r="G665" s="17" t="s">
        <v>37</v>
      </c>
      <c r="H665" s="18">
        <v>46267</v>
      </c>
      <c r="I665" s="18">
        <v>46286</v>
      </c>
      <c r="J665" s="8">
        <f t="shared" si="30"/>
        <v>14</v>
      </c>
      <c r="K665" s="65" t="s">
        <v>295</v>
      </c>
      <c r="L665" s="65" t="s">
        <v>296</v>
      </c>
      <c r="M665" s="65" t="s">
        <v>24</v>
      </c>
      <c r="N665" s="65" t="s">
        <v>82</v>
      </c>
      <c r="O665" s="65">
        <v>0</v>
      </c>
      <c r="P665" s="65">
        <v>0</v>
      </c>
      <c r="Q665" s="67">
        <v>0</v>
      </c>
      <c r="R665" s="66">
        <v>46288</v>
      </c>
      <c r="S665" s="8">
        <f t="shared" si="32"/>
        <v>16</v>
      </c>
      <c r="T665" s="65" t="s">
        <v>1200</v>
      </c>
      <c r="U665" s="65" t="s">
        <v>537</v>
      </c>
    </row>
  </sheetData>
  <autoFilter ref="A1:U665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650 C652:C1048576">
    <cfRule type="duplicateValues" dxfId="89" priority="4"/>
  </conditionalFormatting>
  <conditionalFormatting sqref="C1:C650 C652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650 C652:C1048576">
    <cfRule type="duplicateValues" dxfId="23" priority="184"/>
    <cfRule type="duplicateValues" dxfId="22" priority="185"/>
  </conditionalFormatting>
  <conditionalFormatting sqref="C243:C286 C1:C211 C303:C328 C355:C356 C362:C369 C384:C395 C402:C435 C444:C650 C652:C1048576">
    <cfRule type="duplicateValues" dxfId="21" priority="194"/>
  </conditionalFormatting>
  <conditionalFormatting sqref="C243:C286 C1:C231 C303:C328 C355:C356 C362:C369 C384:C395 C402:C435 C444:C650 C652:C1048576">
    <cfRule type="duplicateValues" dxfId="20" priority="199"/>
  </conditionalFormatting>
  <conditionalFormatting sqref="C303:C328 C1:C293 C355:C356 C362:C369 C384:C395 C402:C435 C444:C650 C652:C1048576">
    <cfRule type="duplicateValues" dxfId="19" priority="204"/>
  </conditionalFormatting>
  <conditionalFormatting sqref="C303:C328 C1:C294 C355:C356 C362:C369 C384:C395 C402:C435 C444:C650 C652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650 C652:C1048576">
    <cfRule type="duplicateValues" dxfId="14" priority="8"/>
  </conditionalFormatting>
  <conditionalFormatting sqref="C402:C435 C1:C395 C444:C650 C652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2026-09-23T15:21:01Z</dcterms:modified>
</cp:coreProperties>
</file>