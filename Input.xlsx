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56" documentId="8_{96B9E37B-5941-46BA-AA97-B18EA540EAA4}" xr6:coauthVersionLast="47" xr6:coauthVersionMax="47" xr10:uidLastSave="{52142486-C238-4408-B765-B99D48F43AF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6" i="1" l="1"/>
  <c r="J396" i="1"/>
  <c r="S391" i="1"/>
  <c r="S392" i="1"/>
  <c r="S393" i="1"/>
  <c r="S394" i="1"/>
  <c r="S395" i="1"/>
  <c r="J391" i="1"/>
  <c r="J392" i="1"/>
  <c r="J393" i="1"/>
  <c r="J394" i="1"/>
  <c r="J395" i="1"/>
  <c r="S389" i="1"/>
  <c r="S390" i="1"/>
  <c r="J389" i="1"/>
  <c r="J390" i="1"/>
  <c r="S388" i="1"/>
  <c r="J388" i="1"/>
  <c r="J385" i="1"/>
  <c r="J386" i="1"/>
  <c r="J387" i="1"/>
  <c r="S385" i="1"/>
  <c r="S386" i="1"/>
  <c r="S387" i="1"/>
  <c r="S384" i="1"/>
  <c r="J384" i="1"/>
  <c r="Q384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S363" i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<sst xmlns="http://schemas.openxmlformats.org/spreadsheetml/2006/main" count="4272" uniqueCount="784">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</sst>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396"/>
  <sheetViews>
    <sheetView tabSelected="1" topLeftCell="A381" workbookViewId="0">
      <selection activeCell="V398" sqref="V398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hidden="1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hidden="1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hidden="1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hidden="1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hidden="1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hidden="1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hidden="1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hidden="1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hidden="1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hidden="1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hidden="1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hidden="1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hidden="1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hidden="1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hidden="1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hidden="1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hidden="1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hidden="1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hidden="1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hidden="1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hidden="1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hidden="1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hidden="1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hidden="1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hidden="1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hidden="1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hidden="1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hidden="1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hidden="1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hidden="1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hidden="1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hidden="1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hidden="1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hidden="1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hidden="1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hidden="1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hidden="1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hidden="1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hidden="1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hidden="1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hidden="1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hidden="1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hidden="1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hidden="1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hidden="1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hidden="1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hidden="1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hidden="1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hidden="1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hidden="1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hidden="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hidden="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hidden="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hidden="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hidden="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hidden="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hidden="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hidden="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hidden="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hidden="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hidden="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hidden="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hidden="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hidden="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hidden="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hidden="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hidden="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hidden="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hidden="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hidden="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hidden="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hidden="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hidden="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hidden="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hidden="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hidden="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hidden="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hidden="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hidden="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hidden="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hidden="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hidden="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hidden="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hidden="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hidden="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hidden="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hidden="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hidden="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hidden="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hidden="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hidden="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hidden="1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hidden="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hidden="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hidden="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hidden="1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hidden="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hidden="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hidden="1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hidden="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hidden="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hidden="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hidden="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hidden="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hidden="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hidden="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hidden="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hidden="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hidden="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hidden="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hidden="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hidden="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hidden="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hidden="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hidden="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hidden="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hidden="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hidden="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hidden="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hidden="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hidden="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hidden="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hidden="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hidden="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hidden="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hidden="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hidden="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hidden="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hidden="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hidden="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hidden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hidden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hidden="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hidden="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hidden="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hidden="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hidden="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hidden="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hidden="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hidden="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hidden="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hidden="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hidden="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hidden="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hidden="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hidden="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hidden="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hidden="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hidden="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hidden="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hidden="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hidden="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hidden="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hidden="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hidden="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hidden="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hidden="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hidden="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hidden="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hidden="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hidden="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hidden="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hidden="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hidden="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hidden="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hidden="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hidden="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hidden="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hidden="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hidden="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hidden="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hidden="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hidden="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hidden="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hidden="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hidden="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hidden="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hidden="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hidden="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hidden="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hidden="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hidden="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hidden="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hidden="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hidden="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hidden="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hidden="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hidden="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hidden="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hidden="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hidden="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hidden="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hidden="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hidden="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hidden="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hidden="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hidden="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hidden="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hidden="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hidden="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hidden="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hidden="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hidden="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hidden="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hidden="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hidden="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hidden="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hidden="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hidden="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hidden="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hidden="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hidden="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hidden="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hidden="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hidden="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hidden="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hidden="1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hidden="1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hidden="1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hidden="1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hidden="1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hidden="1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hidden="1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hidden="1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hidden="1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hidden="1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hidden="1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hidden="1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hidden="1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hidden="1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hidden="1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hidden="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hidden="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hidden="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hidden="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hidden="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hidden="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hidden="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hidden="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hidden="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hidden="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hidden="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hidden="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hidden="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hidden="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hidden="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hidden="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hidden="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hidden="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hidden="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hidden="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hidden="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hidden="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hidden="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hidden="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hidden="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hidden="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hidden="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hidden="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hidden="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hidden="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hidden="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hidden="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hidden="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hidden="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hidden="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hidden="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hidden="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hidden="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hidden="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hidden="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hidden="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hidden="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hidden="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hidden="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hidden="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hidden="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hidden="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hidden="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hidden="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hidden="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hidden="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hidden="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hidden="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hidden="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hidden="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hidden="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hidden="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hidden="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hidden="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hidden="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hidden="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hidden="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hidden="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hidden="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hidden="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hidden="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hidden="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hidden="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hidden="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hidden="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hidden="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hidden="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hidden="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hidden="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hidden="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hidden="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hidden="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hidden="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hidden="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hidden="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hidden="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hidden="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hidden="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hidden="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hidden="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hidden="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hidden="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hidden="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hidden="1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hidden="1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hidden="1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hidden="1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hidden="1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hidden="1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hidden="1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hidden="1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hidden="1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96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96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  <row r="371" spans="1:21" x14ac:dyDescent="0.35">
      <c r="A371" s="1" t="s">
        <v>736</v>
      </c>
      <c r="B371" s="5" t="s">
        <v>87</v>
      </c>
      <c r="C371" s="1">
        <v>61240462</v>
      </c>
      <c r="D371" s="5" t="s">
        <v>737</v>
      </c>
      <c r="E371" s="1" t="s">
        <v>738</v>
      </c>
      <c r="F371" s="6" t="s">
        <v>33</v>
      </c>
      <c r="G371" s="5" t="s">
        <v>38</v>
      </c>
      <c r="H371" s="8">
        <v>46120</v>
      </c>
      <c r="I371" s="7">
        <v>46162</v>
      </c>
      <c r="J371" s="16">
        <f t="shared" si="29"/>
        <v>31</v>
      </c>
      <c r="K371" s="6" t="s">
        <v>303</v>
      </c>
      <c r="L371" s="6" t="s">
        <v>310</v>
      </c>
      <c r="M371" s="6" t="s">
        <v>24</v>
      </c>
      <c r="N371" s="6" t="s">
        <v>84</v>
      </c>
      <c r="O371" s="6">
        <v>0</v>
      </c>
      <c r="P371" s="6">
        <v>0</v>
      </c>
      <c r="Q371" s="12">
        <v>0</v>
      </c>
      <c r="R371" s="8">
        <v>46162</v>
      </c>
      <c r="S371" s="16">
        <f t="shared" si="30"/>
        <v>31</v>
      </c>
      <c r="T371" s="6" t="s">
        <v>718</v>
      </c>
      <c r="U371" s="6" t="s">
        <v>625</v>
      </c>
    </row>
    <row r="372" spans="1:21" x14ac:dyDescent="0.35">
      <c r="A372" s="1" t="s">
        <v>739</v>
      </c>
      <c r="B372" s="5" t="s">
        <v>31</v>
      </c>
      <c r="C372" s="1">
        <v>62715782</v>
      </c>
      <c r="D372" s="5" t="s">
        <v>740</v>
      </c>
      <c r="E372" s="1">
        <v>2722520200</v>
      </c>
      <c r="F372" s="6" t="s">
        <v>33</v>
      </c>
      <c r="G372" s="5" t="s">
        <v>23</v>
      </c>
      <c r="H372" s="8">
        <v>46146</v>
      </c>
      <c r="I372" s="7">
        <v>46162</v>
      </c>
      <c r="J372" s="16">
        <f t="shared" si="29"/>
        <v>13</v>
      </c>
      <c r="K372" s="6" t="s">
        <v>303</v>
      </c>
      <c r="L372" s="6" t="s">
        <v>304</v>
      </c>
      <c r="M372" s="6" t="s">
        <v>24</v>
      </c>
      <c r="N372" s="6" t="s">
        <v>34</v>
      </c>
      <c r="O372" s="6">
        <v>150000</v>
      </c>
      <c r="P372" s="6">
        <v>40000</v>
      </c>
      <c r="Q372" s="12">
        <v>190000</v>
      </c>
      <c r="R372" s="8">
        <v>46162</v>
      </c>
      <c r="S372" s="16">
        <f t="shared" si="30"/>
        <v>13</v>
      </c>
      <c r="T372" s="6" t="s">
        <v>718</v>
      </c>
      <c r="U372" s="6" t="s">
        <v>551</v>
      </c>
    </row>
    <row r="373" spans="1:21" x14ac:dyDescent="0.35">
      <c r="A373" s="6" t="s">
        <v>741</v>
      </c>
      <c r="B373" s="6" t="s">
        <v>19</v>
      </c>
      <c r="C373" s="1">
        <v>62243628</v>
      </c>
      <c r="D373" s="6" t="s">
        <v>101</v>
      </c>
      <c r="E373" s="6" t="s">
        <v>742</v>
      </c>
      <c r="F373" s="6" t="s">
        <v>22</v>
      </c>
      <c r="G373" s="6" t="s">
        <v>23</v>
      </c>
      <c r="H373" s="8">
        <v>46137</v>
      </c>
      <c r="I373" s="8">
        <v>46163</v>
      </c>
      <c r="J373" s="16">
        <f t="shared" si="29"/>
        <v>19</v>
      </c>
      <c r="K373" s="6" t="s">
        <v>303</v>
      </c>
      <c r="L373" s="6" t="s">
        <v>304</v>
      </c>
      <c r="M373" s="6" t="s">
        <v>24</v>
      </c>
      <c r="N373" s="6" t="s">
        <v>39</v>
      </c>
      <c r="O373" s="6">
        <v>500000</v>
      </c>
      <c r="P373" s="6">
        <v>850000</v>
      </c>
      <c r="Q373" s="12">
        <v>1350000</v>
      </c>
      <c r="R373" s="8">
        <v>46163</v>
      </c>
      <c r="S373" s="16">
        <f t="shared" si="30"/>
        <v>19</v>
      </c>
      <c r="T373" s="6" t="s">
        <v>718</v>
      </c>
      <c r="U373" s="6" t="s">
        <v>551</v>
      </c>
    </row>
    <row r="374" spans="1:21" x14ac:dyDescent="0.35">
      <c r="A374" s="6" t="s">
        <v>743</v>
      </c>
      <c r="B374" s="5" t="s">
        <v>19</v>
      </c>
      <c r="C374" s="19" t="s">
        <v>744</v>
      </c>
      <c r="D374" s="5" t="s">
        <v>20</v>
      </c>
      <c r="E374" s="6" t="s">
        <v>745</v>
      </c>
      <c r="F374" s="5" t="s">
        <v>47</v>
      </c>
      <c r="G374" s="5" t="s">
        <v>23</v>
      </c>
      <c r="H374" s="8">
        <v>46150</v>
      </c>
      <c r="I374" s="7">
        <v>46160</v>
      </c>
      <c r="J374" s="16">
        <f t="shared" si="29"/>
        <v>7</v>
      </c>
      <c r="K374" s="6" t="s">
        <v>303</v>
      </c>
      <c r="L374" s="6" t="s">
        <v>304</v>
      </c>
      <c r="M374" s="6" t="s">
        <v>157</v>
      </c>
      <c r="N374" s="6" t="s">
        <v>39</v>
      </c>
      <c r="O374" s="6">
        <v>2881416</v>
      </c>
      <c r="P374" s="6">
        <v>0</v>
      </c>
      <c r="Q374" s="12">
        <v>2881416</v>
      </c>
      <c r="R374" s="8">
        <v>46163</v>
      </c>
      <c r="S374" s="16">
        <f t="shared" si="30"/>
        <v>10</v>
      </c>
      <c r="T374" s="6" t="s">
        <v>718</v>
      </c>
      <c r="U374" s="6" t="s">
        <v>551</v>
      </c>
    </row>
    <row r="375" spans="1:21" x14ac:dyDescent="0.35">
      <c r="A375" s="6" t="s">
        <v>746</v>
      </c>
      <c r="B375" s="5" t="s">
        <v>19</v>
      </c>
      <c r="C375" s="6">
        <v>59684312</v>
      </c>
      <c r="D375" s="5" t="s">
        <v>68</v>
      </c>
      <c r="E375" s="6" t="s">
        <v>747</v>
      </c>
      <c r="F375" s="5" t="s">
        <v>22</v>
      </c>
      <c r="G375" s="6" t="s">
        <v>23</v>
      </c>
      <c r="H375" s="8">
        <v>46098</v>
      </c>
      <c r="I375" s="8">
        <v>46162</v>
      </c>
      <c r="J375" s="16">
        <f t="shared" si="29"/>
        <v>47</v>
      </c>
      <c r="K375" s="6" t="s">
        <v>303</v>
      </c>
      <c r="L375" s="6" t="s">
        <v>304</v>
      </c>
      <c r="M375" s="6" t="s">
        <v>24</v>
      </c>
      <c r="N375" s="6" t="s">
        <v>105</v>
      </c>
      <c r="O375" s="6">
        <v>0</v>
      </c>
      <c r="P375" s="6">
        <v>0</v>
      </c>
      <c r="Q375" s="12">
        <v>0</v>
      </c>
      <c r="R375" s="8">
        <v>46163</v>
      </c>
      <c r="S375" s="16">
        <f t="shared" si="30"/>
        <v>48</v>
      </c>
      <c r="T375" s="6" t="s">
        <v>718</v>
      </c>
      <c r="U375" s="6" t="s">
        <v>563</v>
      </c>
    </row>
    <row r="376" spans="1:21" ht="24.5" x14ac:dyDescent="0.35">
      <c r="A376" s="21" t="s">
        <v>748</v>
      </c>
      <c r="B376" s="5" t="s">
        <v>19</v>
      </c>
      <c r="C376" s="6">
        <v>62014200</v>
      </c>
      <c r="D376" s="5" t="s">
        <v>20</v>
      </c>
      <c r="E376" s="6" t="s">
        <v>749</v>
      </c>
      <c r="F376" s="5" t="s">
        <v>22</v>
      </c>
      <c r="G376" s="5" t="s">
        <v>23</v>
      </c>
      <c r="H376" s="8">
        <v>46133</v>
      </c>
      <c r="I376" s="8">
        <v>46162</v>
      </c>
      <c r="J376" s="16">
        <f t="shared" si="29"/>
        <v>22</v>
      </c>
      <c r="K376" s="6" t="s">
        <v>303</v>
      </c>
      <c r="L376" s="6" t="s">
        <v>304</v>
      </c>
      <c r="M376" s="6" t="s">
        <v>157</v>
      </c>
      <c r="N376" s="6" t="s">
        <v>94</v>
      </c>
      <c r="O376" s="6">
        <v>0</v>
      </c>
      <c r="P376" s="6">
        <v>0</v>
      </c>
      <c r="Q376" s="12">
        <v>0</v>
      </c>
      <c r="R376" s="8">
        <v>46163</v>
      </c>
      <c r="S376" s="16">
        <f t="shared" si="30"/>
        <v>23</v>
      </c>
      <c r="T376" s="6" t="s">
        <v>718</v>
      </c>
      <c r="U376" s="6" t="s">
        <v>551</v>
      </c>
    </row>
    <row r="377" spans="1:21" x14ac:dyDescent="0.35">
      <c r="A377" s="6" t="s">
        <v>750</v>
      </c>
      <c r="B377" s="5" t="s">
        <v>19</v>
      </c>
      <c r="C377" s="6">
        <v>63143165</v>
      </c>
      <c r="D377" s="5" t="s">
        <v>50</v>
      </c>
      <c r="E377" s="6" t="s">
        <v>751</v>
      </c>
      <c r="F377" s="5" t="s">
        <v>47</v>
      </c>
      <c r="G377" s="5" t="s">
        <v>23</v>
      </c>
      <c r="H377" s="10">
        <v>46154</v>
      </c>
      <c r="I377" s="8">
        <v>46161</v>
      </c>
      <c r="J377" s="16">
        <f t="shared" si="29"/>
        <v>6</v>
      </c>
      <c r="K377" s="6" t="s">
        <v>303</v>
      </c>
      <c r="L377" s="6" t="s">
        <v>304</v>
      </c>
      <c r="M377" s="6" t="s">
        <v>157</v>
      </c>
      <c r="N377" s="6" t="s">
        <v>148</v>
      </c>
      <c r="O377" s="6">
        <v>7837678</v>
      </c>
      <c r="P377" s="6">
        <v>0</v>
      </c>
      <c r="Q377" s="12">
        <v>7837678</v>
      </c>
      <c r="R377" s="8">
        <v>46163</v>
      </c>
      <c r="S377" s="16">
        <f t="shared" si="30"/>
        <v>8</v>
      </c>
      <c r="T377" s="6" t="s">
        <v>718</v>
      </c>
      <c r="U377" s="6" t="s">
        <v>551</v>
      </c>
    </row>
    <row r="378" spans="1:21" x14ac:dyDescent="0.35">
      <c r="A378" s="6" t="s">
        <v>752</v>
      </c>
      <c r="B378" s="5" t="s">
        <v>19</v>
      </c>
      <c r="C378" s="6">
        <v>63518049</v>
      </c>
      <c r="D378" s="5" t="s">
        <v>202</v>
      </c>
      <c r="E378" s="6" t="s">
        <v>753</v>
      </c>
      <c r="F378" s="5" t="s">
        <v>47</v>
      </c>
      <c r="G378" s="5" t="s">
        <v>23</v>
      </c>
      <c r="H378" s="8">
        <v>46161</v>
      </c>
      <c r="I378" s="8">
        <v>46163</v>
      </c>
      <c r="J378" s="16">
        <f t="shared" si="29"/>
        <v>3</v>
      </c>
      <c r="K378" s="6" t="s">
        <v>303</v>
      </c>
      <c r="L378" s="6" t="s">
        <v>304</v>
      </c>
      <c r="M378" s="6" t="s">
        <v>157</v>
      </c>
      <c r="N378" s="6" t="s">
        <v>29</v>
      </c>
      <c r="O378" s="6">
        <v>1100000</v>
      </c>
      <c r="P378" s="6">
        <v>0</v>
      </c>
      <c r="Q378" s="12">
        <v>1100000</v>
      </c>
      <c r="R378" s="8">
        <v>46163</v>
      </c>
      <c r="S378" s="16">
        <f t="shared" si="30"/>
        <v>3</v>
      </c>
      <c r="T378" s="6" t="s">
        <v>718</v>
      </c>
      <c r="U378" s="6" t="s">
        <v>551</v>
      </c>
    </row>
    <row r="379" spans="1:21" x14ac:dyDescent="0.35">
      <c r="A379" s="6" t="s">
        <v>752</v>
      </c>
      <c r="B379" s="5" t="s">
        <v>19</v>
      </c>
      <c r="C379" s="6">
        <v>63518010</v>
      </c>
      <c r="D379" s="5" t="s">
        <v>202</v>
      </c>
      <c r="E379" s="6" t="s">
        <v>754</v>
      </c>
      <c r="F379" s="5" t="s">
        <v>47</v>
      </c>
      <c r="G379" s="5" t="s">
        <v>23</v>
      </c>
      <c r="H379" s="8">
        <v>46161</v>
      </c>
      <c r="I379" s="8">
        <v>46163</v>
      </c>
      <c r="J379" s="16">
        <f t="shared" si="29"/>
        <v>3</v>
      </c>
      <c r="K379" s="6" t="s">
        <v>303</v>
      </c>
      <c r="L379" s="6" t="s">
        <v>304</v>
      </c>
      <c r="M379" s="6" t="s">
        <v>157</v>
      </c>
      <c r="N379" s="6" t="s">
        <v>29</v>
      </c>
      <c r="O379" s="6">
        <v>1100000</v>
      </c>
      <c r="P379" s="6">
        <v>0</v>
      </c>
      <c r="Q379" s="12">
        <v>1100000</v>
      </c>
      <c r="R379" s="8">
        <v>46163</v>
      </c>
      <c r="S379" s="16">
        <f t="shared" si="30"/>
        <v>3</v>
      </c>
      <c r="T379" s="6" t="s">
        <v>718</v>
      </c>
      <c r="U379" s="6" t="s">
        <v>551</v>
      </c>
    </row>
    <row r="380" spans="1:21" x14ac:dyDescent="0.35">
      <c r="A380" s="1" t="s">
        <v>755</v>
      </c>
      <c r="B380" s="5" t="s">
        <v>31</v>
      </c>
      <c r="C380" s="1">
        <v>60874276</v>
      </c>
      <c r="D380" s="5" t="s">
        <v>20</v>
      </c>
      <c r="E380" s="1">
        <v>2722229530</v>
      </c>
      <c r="F380" s="6" t="s">
        <v>33</v>
      </c>
      <c r="G380" s="5" t="s">
        <v>23</v>
      </c>
      <c r="H380" s="7">
        <v>46113</v>
      </c>
      <c r="I380" s="8">
        <v>46163</v>
      </c>
      <c r="J380" s="16">
        <f t="shared" si="29"/>
        <v>37</v>
      </c>
      <c r="K380" s="6" t="s">
        <v>303</v>
      </c>
      <c r="L380" s="6" t="s">
        <v>304</v>
      </c>
      <c r="M380" s="6" t="s">
        <v>48</v>
      </c>
      <c r="N380" s="6" t="s">
        <v>34</v>
      </c>
      <c r="O380" s="6">
        <v>60000</v>
      </c>
      <c r="P380" s="6">
        <v>0</v>
      </c>
      <c r="Q380" s="12">
        <v>60000</v>
      </c>
      <c r="R380" s="8">
        <v>46163</v>
      </c>
      <c r="S380" s="16">
        <f t="shared" si="30"/>
        <v>37</v>
      </c>
      <c r="T380" s="6" t="s">
        <v>718</v>
      </c>
      <c r="U380" s="6" t="s">
        <v>551</v>
      </c>
    </row>
    <row r="381" spans="1:21" x14ac:dyDescent="0.35">
      <c r="A381" s="6" t="s">
        <v>756</v>
      </c>
      <c r="B381" s="6" t="s">
        <v>44</v>
      </c>
      <c r="C381" s="6">
        <v>62170297</v>
      </c>
      <c r="D381" s="6" t="s">
        <v>757</v>
      </c>
      <c r="E381" s="6" t="s">
        <v>758</v>
      </c>
      <c r="F381" s="6" t="s">
        <v>22</v>
      </c>
      <c r="G381" s="6" t="s">
        <v>23</v>
      </c>
      <c r="H381" s="8">
        <v>46136</v>
      </c>
      <c r="I381" s="8">
        <v>46163</v>
      </c>
      <c r="J381" s="16">
        <f t="shared" si="29"/>
        <v>20</v>
      </c>
      <c r="K381" s="6" t="s">
        <v>303</v>
      </c>
      <c r="L381" s="6" t="s">
        <v>304</v>
      </c>
      <c r="M381" s="6" t="s">
        <v>24</v>
      </c>
      <c r="N381" s="6" t="s">
        <v>29</v>
      </c>
      <c r="O381" s="6">
        <v>1500000</v>
      </c>
      <c r="P381" s="6">
        <v>456057</v>
      </c>
      <c r="Q381" s="12">
        <v>1956057</v>
      </c>
      <c r="R381" s="8">
        <v>46164</v>
      </c>
      <c r="S381" s="16">
        <f t="shared" si="30"/>
        <v>21</v>
      </c>
      <c r="T381" s="6" t="s">
        <v>718</v>
      </c>
      <c r="U381" s="6" t="s">
        <v>551</v>
      </c>
    </row>
    <row r="382" spans="1:21" ht="24" x14ac:dyDescent="0.35">
      <c r="A382" s="14" t="s">
        <v>344</v>
      </c>
      <c r="B382" s="14" t="s">
        <v>44</v>
      </c>
      <c r="C382" s="6">
        <v>58896886</v>
      </c>
      <c r="D382" s="5" t="s">
        <v>759</v>
      </c>
      <c r="E382" s="6" t="s">
        <v>760</v>
      </c>
      <c r="F382" s="5" t="s">
        <v>47</v>
      </c>
      <c r="G382" s="5" t="s">
        <v>23</v>
      </c>
      <c r="H382" s="8">
        <v>46079</v>
      </c>
      <c r="I382" s="8">
        <v>46163</v>
      </c>
      <c r="J382" s="16">
        <f t="shared" si="29"/>
        <v>61</v>
      </c>
      <c r="K382" s="6" t="s">
        <v>303</v>
      </c>
      <c r="L382" s="6" t="s">
        <v>304</v>
      </c>
      <c r="M382" s="6" t="s">
        <v>24</v>
      </c>
      <c r="N382" s="6" t="s">
        <v>84</v>
      </c>
      <c r="O382" s="6">
        <v>2000000</v>
      </c>
      <c r="P382" s="6">
        <v>0</v>
      </c>
      <c r="Q382" s="12">
        <v>2000000</v>
      </c>
      <c r="R382" s="8">
        <v>46164</v>
      </c>
      <c r="S382" s="16">
        <f t="shared" si="30"/>
        <v>62</v>
      </c>
      <c r="T382" s="6" t="s">
        <v>718</v>
      </c>
      <c r="U382" s="6" t="s">
        <v>551</v>
      </c>
    </row>
    <row r="383" spans="1:21" x14ac:dyDescent="0.35">
      <c r="A383" s="6" t="s">
        <v>43</v>
      </c>
      <c r="B383" s="6" t="s">
        <v>44</v>
      </c>
      <c r="C383" s="6">
        <v>58797846</v>
      </c>
      <c r="D383" s="6" t="s">
        <v>50</v>
      </c>
      <c r="E383" s="6" t="s">
        <v>761</v>
      </c>
      <c r="F383" s="6" t="s">
        <v>22</v>
      </c>
      <c r="G383" s="6" t="s">
        <v>23</v>
      </c>
      <c r="H383" s="8">
        <v>46076</v>
      </c>
      <c r="I383" s="8">
        <v>46164</v>
      </c>
      <c r="J383" s="16">
        <f t="shared" si="29"/>
        <v>65</v>
      </c>
      <c r="K383" s="6" t="s">
        <v>303</v>
      </c>
      <c r="L383" s="6" t="s">
        <v>327</v>
      </c>
      <c r="M383" s="6" t="s">
        <v>24</v>
      </c>
      <c r="N383" s="6" t="s">
        <v>49</v>
      </c>
      <c r="O383" s="6">
        <v>2000000</v>
      </c>
      <c r="P383" s="6">
        <v>462000</v>
      </c>
      <c r="Q383" s="12">
        <v>2462000</v>
      </c>
      <c r="R383" s="8">
        <v>46164</v>
      </c>
      <c r="S383" s="16">
        <f t="shared" si="30"/>
        <v>65</v>
      </c>
      <c r="T383" s="6" t="s">
        <v>718</v>
      </c>
      <c r="U383" s="6" t="s">
        <v>551</v>
      </c>
    </row>
    <row r="384" spans="1:21" x14ac:dyDescent="0.35">
      <c r="A384" s="6" t="s">
        <v>762</v>
      </c>
      <c r="B384" s="6" t="s">
        <v>19</v>
      </c>
      <c r="C384" s="6">
        <v>61828334</v>
      </c>
      <c r="D384" s="6" t="s">
        <v>329</v>
      </c>
      <c r="E384" s="6" t="s">
        <v>763</v>
      </c>
      <c r="F384" s="6" t="s">
        <v>22</v>
      </c>
      <c r="G384" s="6" t="s">
        <v>23</v>
      </c>
      <c r="H384" s="8">
        <v>46130</v>
      </c>
      <c r="I384" s="8">
        <v>46162</v>
      </c>
      <c r="J384" s="16">
        <f t="shared" si="29"/>
        <v>23</v>
      </c>
      <c r="K384" s="17" t="s">
        <v>303</v>
      </c>
      <c r="L384" s="5" t="s">
        <v>310</v>
      </c>
      <c r="M384" s="5" t="s">
        <v>24</v>
      </c>
      <c r="N384" s="42" t="s">
        <v>29</v>
      </c>
      <c r="O384" s="12">
        <v>1000000</v>
      </c>
      <c r="P384" s="12">
        <v>678945</v>
      </c>
      <c r="Q384" s="33">
        <f>P384+O384</f>
        <v>1678945</v>
      </c>
      <c r="R384" s="7">
        <v>46164</v>
      </c>
      <c r="S384" s="16">
        <f t="shared" si="30"/>
        <v>25</v>
      </c>
      <c r="T384" s="5" t="s">
        <v>718</v>
      </c>
      <c r="U384" s="5" t="s">
        <v>551</v>
      </c>
    </row>
    <row r="385" spans="1:21" x14ac:dyDescent="0.35">
      <c r="A385" s="6" t="s">
        <v>52</v>
      </c>
      <c r="B385" s="55" t="s">
        <v>19</v>
      </c>
      <c r="C385" s="55">
        <v>58963646</v>
      </c>
      <c r="D385" s="55" t="s">
        <v>50</v>
      </c>
      <c r="E385" s="55" t="s">
        <v>764</v>
      </c>
      <c r="F385" s="55" t="s">
        <v>22</v>
      </c>
      <c r="G385" s="55" t="s">
        <v>41</v>
      </c>
      <c r="H385" s="56">
        <v>46078</v>
      </c>
      <c r="I385" s="56">
        <v>46163</v>
      </c>
      <c r="J385" s="16">
        <f t="shared" si="29"/>
        <v>62</v>
      </c>
      <c r="K385" s="6" t="s">
        <v>303</v>
      </c>
      <c r="L385" s="6" t="s">
        <v>310</v>
      </c>
      <c r="M385" s="6" t="s">
        <v>24</v>
      </c>
      <c r="N385" s="6" t="s">
        <v>39</v>
      </c>
      <c r="O385" s="6">
        <v>0</v>
      </c>
      <c r="P385" s="6">
        <v>899000</v>
      </c>
      <c r="Q385" s="12">
        <v>899000</v>
      </c>
      <c r="R385" s="8">
        <v>46164</v>
      </c>
      <c r="S385" s="16">
        <f t="shared" si="30"/>
        <v>63</v>
      </c>
      <c r="T385" s="6" t="s">
        <v>718</v>
      </c>
      <c r="U385" s="6" t="s">
        <v>551</v>
      </c>
    </row>
    <row r="386" spans="1:21" x14ac:dyDescent="0.35">
      <c r="A386" s="6" t="s">
        <v>134</v>
      </c>
      <c r="B386" s="55" t="s">
        <v>44</v>
      </c>
      <c r="C386" s="55">
        <v>56611212</v>
      </c>
      <c r="D386" s="55" t="s">
        <v>765</v>
      </c>
      <c r="E386" s="55" t="s">
        <v>766</v>
      </c>
      <c r="F386" s="55" t="s">
        <v>47</v>
      </c>
      <c r="G386" s="55" t="s">
        <v>23</v>
      </c>
      <c r="H386" s="56">
        <v>46035</v>
      </c>
      <c r="I386" s="56">
        <v>46136</v>
      </c>
      <c r="J386" s="16">
        <f t="shared" si="29"/>
        <v>74</v>
      </c>
      <c r="K386" s="6" t="s">
        <v>303</v>
      </c>
      <c r="L386" s="6" t="s">
        <v>327</v>
      </c>
      <c r="M386" s="6" t="s">
        <v>24</v>
      </c>
      <c r="N386" s="6" t="s">
        <v>137</v>
      </c>
      <c r="O386" s="6">
        <v>2000000</v>
      </c>
      <c r="P386" s="6">
        <v>300000</v>
      </c>
      <c r="Q386" s="12">
        <v>2300000</v>
      </c>
      <c r="R386" s="8">
        <v>46168</v>
      </c>
      <c r="S386" s="16">
        <f t="shared" si="30"/>
        <v>96</v>
      </c>
      <c r="T386" s="6" t="s">
        <v>769</v>
      </c>
      <c r="U386" s="6" t="s">
        <v>551</v>
      </c>
    </row>
    <row r="387" spans="1:21" x14ac:dyDescent="0.35">
      <c r="A387" s="6" t="s">
        <v>134</v>
      </c>
      <c r="B387" s="55" t="s">
        <v>44</v>
      </c>
      <c r="C387" s="55">
        <v>56607988</v>
      </c>
      <c r="D387" s="55" t="s">
        <v>767</v>
      </c>
      <c r="E387" s="55" t="s">
        <v>768</v>
      </c>
      <c r="F387" s="55" t="s">
        <v>47</v>
      </c>
      <c r="G387" s="55" t="s">
        <v>23</v>
      </c>
      <c r="H387" s="56">
        <v>46035</v>
      </c>
      <c r="I387" s="56">
        <v>46141</v>
      </c>
      <c r="J387" s="16">
        <f t="shared" si="29"/>
        <v>77</v>
      </c>
      <c r="K387" s="6" t="s">
        <v>303</v>
      </c>
      <c r="L387" s="6" t="s">
        <v>327</v>
      </c>
      <c r="M387" s="6" t="s">
        <v>24</v>
      </c>
      <c r="N387" s="6" t="s">
        <v>137</v>
      </c>
      <c r="O387" s="6">
        <v>2000000</v>
      </c>
      <c r="P387" s="6">
        <v>300000</v>
      </c>
      <c r="Q387" s="12">
        <v>2300000</v>
      </c>
      <c r="R387" s="8">
        <v>46168</v>
      </c>
      <c r="S387" s="16">
        <f t="shared" si="30"/>
        <v>96</v>
      </c>
      <c r="T387" s="6" t="s">
        <v>769</v>
      </c>
      <c r="U387" s="6" t="s">
        <v>551</v>
      </c>
    </row>
    <row r="388" spans="1:21" s="18" customFormat="1" x14ac:dyDescent="0.35">
      <c r="A388" s="6" t="s">
        <v>52</v>
      </c>
      <c r="B388" s="6" t="s">
        <v>19</v>
      </c>
      <c r="C388" s="6">
        <v>58963630</v>
      </c>
      <c r="D388" s="6" t="s">
        <v>50</v>
      </c>
      <c r="E388" s="6" t="s">
        <v>770</v>
      </c>
      <c r="F388" s="6" t="s">
        <v>22</v>
      </c>
      <c r="G388" s="6" t="s">
        <v>38</v>
      </c>
      <c r="H388" s="8">
        <v>46078</v>
      </c>
      <c r="I388" s="8">
        <v>46168</v>
      </c>
      <c r="J388" s="16">
        <f t="shared" si="29"/>
        <v>65</v>
      </c>
      <c r="K388" s="6" t="s">
        <v>303</v>
      </c>
      <c r="L388" s="6" t="s">
        <v>327</v>
      </c>
      <c r="M388" s="6" t="s">
        <v>24</v>
      </c>
      <c r="N388" s="6" t="s">
        <v>39</v>
      </c>
      <c r="O388" s="6">
        <v>0</v>
      </c>
      <c r="P388" s="6">
        <v>0</v>
      </c>
      <c r="Q388" s="12">
        <v>0</v>
      </c>
      <c r="R388" s="8">
        <v>46168</v>
      </c>
      <c r="S388" s="16">
        <f t="shared" si="30"/>
        <v>65</v>
      </c>
      <c r="T388" s="6" t="s">
        <v>769</v>
      </c>
      <c r="U388" s="6" t="s">
        <v>551</v>
      </c>
    </row>
    <row r="389" spans="1:21" x14ac:dyDescent="0.35">
      <c r="A389" s="6" t="s">
        <v>58</v>
      </c>
      <c r="B389" s="55" t="s">
        <v>44</v>
      </c>
      <c r="C389" s="55">
        <v>56601982</v>
      </c>
      <c r="D389" s="55" t="s">
        <v>771</v>
      </c>
      <c r="E389" s="55" t="s">
        <v>772</v>
      </c>
      <c r="F389" s="55" t="s">
        <v>47</v>
      </c>
      <c r="G389" s="55" t="s">
        <v>23</v>
      </c>
      <c r="H389" s="56">
        <v>46035</v>
      </c>
      <c r="I389" s="56">
        <v>46162</v>
      </c>
      <c r="J389" s="16">
        <f t="shared" si="29"/>
        <v>92</v>
      </c>
      <c r="K389" s="55" t="s">
        <v>303</v>
      </c>
      <c r="L389" s="55" t="s">
        <v>327</v>
      </c>
      <c r="M389" s="55" t="s">
        <v>24</v>
      </c>
      <c r="N389" s="55" t="s">
        <v>49</v>
      </c>
      <c r="O389" s="55">
        <v>8033717</v>
      </c>
      <c r="P389" s="55">
        <v>400000</v>
      </c>
      <c r="Q389" s="60">
        <v>8433717</v>
      </c>
      <c r="R389" s="56">
        <v>46168</v>
      </c>
      <c r="S389" s="16">
        <f t="shared" si="30"/>
        <v>96</v>
      </c>
      <c r="T389" s="6" t="s">
        <v>769</v>
      </c>
      <c r="U389" s="6" t="s">
        <v>551</v>
      </c>
    </row>
    <row r="390" spans="1:21" x14ac:dyDescent="0.35">
      <c r="A390" s="6" t="s">
        <v>773</v>
      </c>
      <c r="B390" s="55" t="s">
        <v>19</v>
      </c>
      <c r="C390" s="55">
        <v>62937923</v>
      </c>
      <c r="D390" s="55" t="s">
        <v>529</v>
      </c>
      <c r="E390" s="55" t="s">
        <v>774</v>
      </c>
      <c r="F390" s="55" t="s">
        <v>22</v>
      </c>
      <c r="G390" s="55" t="s">
        <v>23</v>
      </c>
      <c r="H390" s="56">
        <v>46150</v>
      </c>
      <c r="I390" s="56">
        <v>46164</v>
      </c>
      <c r="J390" s="16">
        <f t="shared" si="29"/>
        <v>11</v>
      </c>
      <c r="K390" s="55" t="s">
        <v>303</v>
      </c>
      <c r="L390" s="55" t="s">
        <v>304</v>
      </c>
      <c r="M390" s="55" t="s">
        <v>24</v>
      </c>
      <c r="N390" s="55" t="s">
        <v>61</v>
      </c>
      <c r="O390" s="55">
        <v>250000</v>
      </c>
      <c r="P390" s="55">
        <v>370000</v>
      </c>
      <c r="Q390" s="60">
        <v>620000</v>
      </c>
      <c r="R390" s="56">
        <v>46168</v>
      </c>
      <c r="S390" s="16">
        <f t="shared" si="30"/>
        <v>13</v>
      </c>
      <c r="T390" s="6" t="s">
        <v>769</v>
      </c>
      <c r="U390" s="6" t="s">
        <v>551</v>
      </c>
    </row>
    <row r="391" spans="1:21" s="18" customFormat="1" x14ac:dyDescent="0.35">
      <c r="A391" s="6" t="s">
        <v>775</v>
      </c>
      <c r="B391" s="6" t="s">
        <v>31</v>
      </c>
      <c r="C391" s="6">
        <v>61710072</v>
      </c>
      <c r="D391" s="6" t="s">
        <v>50</v>
      </c>
      <c r="E391" s="6">
        <v>2721711717</v>
      </c>
      <c r="F391" s="6" t="s">
        <v>33</v>
      </c>
      <c r="G391" s="6" t="s">
        <v>23</v>
      </c>
      <c r="H391" s="8">
        <v>46128</v>
      </c>
      <c r="I391" s="8">
        <v>46168</v>
      </c>
      <c r="J391" s="16">
        <f t="shared" si="29"/>
        <v>29</v>
      </c>
      <c r="K391" s="6" t="s">
        <v>303</v>
      </c>
      <c r="L391" s="6" t="s">
        <v>304</v>
      </c>
      <c r="M391" s="6" t="s">
        <v>24</v>
      </c>
      <c r="N391" s="6" t="s">
        <v>34</v>
      </c>
      <c r="O391" s="6">
        <v>150000</v>
      </c>
      <c r="P391" s="6">
        <v>40000</v>
      </c>
      <c r="Q391" s="12">
        <v>190000</v>
      </c>
      <c r="R391" s="8">
        <v>46168</v>
      </c>
      <c r="S391" s="16">
        <f t="shared" si="30"/>
        <v>29</v>
      </c>
      <c r="T391" s="6" t="s">
        <v>769</v>
      </c>
      <c r="U391" s="6" t="s">
        <v>551</v>
      </c>
    </row>
    <row r="392" spans="1:21" s="18" customFormat="1" x14ac:dyDescent="0.35">
      <c r="A392" s="6" t="s">
        <v>776</v>
      </c>
      <c r="B392" s="6" t="s">
        <v>19</v>
      </c>
      <c r="C392" s="6">
        <v>59541145</v>
      </c>
      <c r="D392" s="6" t="s">
        <v>101</v>
      </c>
      <c r="E392" s="6" t="s">
        <v>777</v>
      </c>
      <c r="F392" s="6" t="s">
        <v>22</v>
      </c>
      <c r="G392" s="6" t="s">
        <v>38</v>
      </c>
      <c r="H392" s="8">
        <v>46088</v>
      </c>
      <c r="I392" s="8">
        <v>46162</v>
      </c>
      <c r="J392" s="16">
        <f t="shared" si="29"/>
        <v>53</v>
      </c>
      <c r="K392" s="6" t="s">
        <v>303</v>
      </c>
      <c r="L392" s="6" t="s">
        <v>327</v>
      </c>
      <c r="M392" s="6" t="s">
        <v>24</v>
      </c>
      <c r="N392" s="6" t="s">
        <v>54</v>
      </c>
      <c r="O392" s="6">
        <v>0</v>
      </c>
      <c r="P392" s="6">
        <v>0</v>
      </c>
      <c r="Q392" s="12">
        <v>0</v>
      </c>
      <c r="R392" s="8">
        <v>46170</v>
      </c>
      <c r="S392" s="16">
        <f t="shared" si="30"/>
        <v>59</v>
      </c>
      <c r="T392" s="6" t="s">
        <v>769</v>
      </c>
      <c r="U392" s="6" t="s">
        <v>625</v>
      </c>
    </row>
    <row r="393" spans="1:21" s="18" customFormat="1" x14ac:dyDescent="0.35">
      <c r="A393" s="6" t="s">
        <v>778</v>
      </c>
      <c r="B393" s="6" t="s">
        <v>19</v>
      </c>
      <c r="C393" s="6">
        <v>62348127</v>
      </c>
      <c r="D393" s="6" t="s">
        <v>20</v>
      </c>
      <c r="E393" s="6" t="s">
        <v>779</v>
      </c>
      <c r="F393" s="6" t="s">
        <v>196</v>
      </c>
      <c r="G393" s="6" t="s">
        <v>38</v>
      </c>
      <c r="H393" s="8">
        <v>46139</v>
      </c>
      <c r="I393" s="8">
        <v>46170</v>
      </c>
      <c r="J393" s="16">
        <f t="shared" si="29"/>
        <v>24</v>
      </c>
      <c r="K393" s="6" t="s">
        <v>303</v>
      </c>
      <c r="L393" s="6" t="s">
        <v>304</v>
      </c>
      <c r="M393" s="6" t="s">
        <v>48</v>
      </c>
      <c r="N393" s="6" t="s">
        <v>119</v>
      </c>
      <c r="O393" s="6">
        <v>0</v>
      </c>
      <c r="P393" s="6">
        <v>0</v>
      </c>
      <c r="Q393" s="12">
        <v>0</v>
      </c>
      <c r="R393" s="8">
        <v>46170</v>
      </c>
      <c r="S393" s="16">
        <f t="shared" si="30"/>
        <v>24</v>
      </c>
      <c r="T393" s="6" t="s">
        <v>769</v>
      </c>
      <c r="U393" s="6" t="s">
        <v>551</v>
      </c>
    </row>
    <row r="394" spans="1:21" s="18" customFormat="1" x14ac:dyDescent="0.35">
      <c r="A394" s="6" t="s">
        <v>778</v>
      </c>
      <c r="B394" s="6" t="s">
        <v>19</v>
      </c>
      <c r="C394" s="6">
        <v>62346912</v>
      </c>
      <c r="D394" s="6" t="s">
        <v>20</v>
      </c>
      <c r="E394" s="6" t="s">
        <v>780</v>
      </c>
      <c r="F394" s="6" t="s">
        <v>47</v>
      </c>
      <c r="G394" s="6" t="s">
        <v>41</v>
      </c>
      <c r="H394" s="8">
        <v>46139</v>
      </c>
      <c r="I394" s="8">
        <v>46170</v>
      </c>
      <c r="J394" s="16">
        <f t="shared" si="29"/>
        <v>24</v>
      </c>
      <c r="K394" s="6" t="s">
        <v>303</v>
      </c>
      <c r="L394" s="6" t="s">
        <v>304</v>
      </c>
      <c r="M394" s="6" t="s">
        <v>48</v>
      </c>
      <c r="N394" s="6" t="s">
        <v>119</v>
      </c>
      <c r="O394" s="6">
        <v>1500000</v>
      </c>
      <c r="P394" s="6">
        <v>0</v>
      </c>
      <c r="Q394" s="12">
        <v>1500000</v>
      </c>
      <c r="R394" s="8">
        <v>46170</v>
      </c>
      <c r="S394" s="16">
        <f t="shared" si="30"/>
        <v>24</v>
      </c>
      <c r="T394" s="6" t="s">
        <v>769</v>
      </c>
      <c r="U394" s="6" t="s">
        <v>551</v>
      </c>
    </row>
    <row r="395" spans="1:21" s="18" customFormat="1" x14ac:dyDescent="0.35">
      <c r="A395" s="6" t="s">
        <v>781</v>
      </c>
      <c r="B395" s="6" t="s">
        <v>31</v>
      </c>
      <c r="C395" s="6">
        <v>62880812</v>
      </c>
      <c r="D395" s="6" t="s">
        <v>20</v>
      </c>
      <c r="E395" s="6">
        <v>2722560070</v>
      </c>
      <c r="F395" s="6" t="s">
        <v>33</v>
      </c>
      <c r="G395" s="6" t="s">
        <v>23</v>
      </c>
      <c r="H395" s="8">
        <v>46149</v>
      </c>
      <c r="I395" s="8">
        <v>46170</v>
      </c>
      <c r="J395" s="16">
        <f t="shared" si="29"/>
        <v>16</v>
      </c>
      <c r="K395" s="6" t="s">
        <v>303</v>
      </c>
      <c r="L395" s="6" t="s">
        <v>304</v>
      </c>
      <c r="M395" s="6" t="s">
        <v>24</v>
      </c>
      <c r="N395" s="6" t="s">
        <v>34</v>
      </c>
      <c r="O395" s="6">
        <v>150000</v>
      </c>
      <c r="P395" s="6">
        <v>40000</v>
      </c>
      <c r="Q395" s="12">
        <v>190000</v>
      </c>
      <c r="R395" s="8">
        <v>46170</v>
      </c>
      <c r="S395" s="16">
        <f t="shared" si="30"/>
        <v>16</v>
      </c>
      <c r="T395" s="6" t="s">
        <v>769</v>
      </c>
      <c r="U395" s="6" t="s">
        <v>551</v>
      </c>
    </row>
    <row r="396" spans="1:21" x14ac:dyDescent="0.35">
      <c r="A396" s="6" t="s">
        <v>43</v>
      </c>
      <c r="B396" s="55" t="s">
        <v>44</v>
      </c>
      <c r="C396" s="55">
        <v>63178332</v>
      </c>
      <c r="D396" s="55" t="s">
        <v>782</v>
      </c>
      <c r="E396" s="55" t="s">
        <v>783</v>
      </c>
      <c r="F396" s="55" t="s">
        <v>22</v>
      </c>
      <c r="G396" s="55" t="s">
        <v>23</v>
      </c>
      <c r="H396" s="56">
        <v>46154</v>
      </c>
      <c r="I396" s="56">
        <v>46171</v>
      </c>
      <c r="J396" s="16">
        <f t="shared" si="29"/>
        <v>14</v>
      </c>
      <c r="K396" s="55" t="s">
        <v>303</v>
      </c>
      <c r="L396" s="55" t="s">
        <v>304</v>
      </c>
      <c r="M396" s="55" t="s">
        <v>24</v>
      </c>
      <c r="N396" s="55" t="s">
        <v>49</v>
      </c>
      <c r="O396" s="55">
        <v>2000000</v>
      </c>
      <c r="P396" s="55">
        <v>462000</v>
      </c>
      <c r="Q396" s="60">
        <v>2462000</v>
      </c>
      <c r="R396" s="56">
        <v>46171</v>
      </c>
      <c r="S396" s="16">
        <f t="shared" si="30"/>
        <v>14</v>
      </c>
      <c r="T396" s="55" t="s">
        <v>769</v>
      </c>
      <c r="U396" s="55" t="s">
        <v>551</v>
      </c>
    </row>
  </sheetData>
  <autoFilter ref="A1:U395" xr:uid="{00000000-0001-0000-0000-000000000000}">
    <filterColumn colId="17">
      <filters>
        <dateGroupItem year="2026" month="5" dateTimeGrouping="month"/>
      </filters>
    </filterColumn>
  </autoFilter>
  <conditionalFormatting sqref="C1">
    <cfRule type="duplicateValues" dxfId="92" priority="86"/>
    <cfRule type="duplicateValues" dxfId="91" priority="88"/>
    <cfRule type="duplicateValues" dxfId="90" priority="89"/>
    <cfRule type="duplicateValues" dxfId="89" priority="90"/>
    <cfRule type="duplicateValues" dxfId="88" priority="91"/>
    <cfRule type="duplicateValues" dxfId="87" priority="92"/>
  </conditionalFormatting>
  <conditionalFormatting sqref="C1:C205 C244:C287 C304:C329 C356:C357 C363:C370 C385:C1048576">
    <cfRule type="duplicateValues" dxfId="86" priority="180"/>
    <cfRule type="duplicateValues" dxfId="85" priority="181"/>
  </conditionalFormatting>
  <conditionalFormatting sqref="C1:C212 C244:C287 C304:C329 C356:C357 C363:C370 C385:C1048576">
    <cfRule type="duplicateValues" dxfId="84" priority="190"/>
  </conditionalFormatting>
  <conditionalFormatting sqref="C1:C232 C244:C287 C304:C329 C356:C357 C363:C370 C385:C1048576">
    <cfRule type="duplicateValues" dxfId="83" priority="195"/>
  </conditionalFormatting>
  <conditionalFormatting sqref="C1:C294 C304:C329 C356:C357 C363:C370 C385:C1048576">
    <cfRule type="duplicateValues" dxfId="82" priority="200"/>
  </conditionalFormatting>
  <conditionalFormatting sqref="C1:C295 C304:C329 C356:C357 C363:C370 C385:C1048576">
    <cfRule type="duplicateValues" dxfId="81" priority="176"/>
  </conditionalFormatting>
  <conditionalFormatting sqref="C1:C370 C385:C1048576">
    <cfRule type="duplicateValues" dxfId="80" priority="4"/>
  </conditionalFormatting>
  <conditionalFormatting sqref="C1:C1048576">
    <cfRule type="duplicateValues" dxfId="79" priority="1"/>
  </conditionalFormatting>
  <conditionalFormatting sqref="C2:C15 C17:C31">
    <cfRule type="duplicateValues" dxfId="78" priority="66"/>
    <cfRule type="duplicateValues" dxfId="77" priority="67"/>
  </conditionalFormatting>
  <conditionalFormatting sqref="C2:C58">
    <cfRule type="duplicateValues" dxfId="76" priority="46"/>
    <cfRule type="duplicateValues" dxfId="75" priority="47"/>
  </conditionalFormatting>
  <conditionalFormatting sqref="C2:C70">
    <cfRule type="duplicateValues" dxfId="74" priority="44"/>
  </conditionalFormatting>
  <conditionalFormatting sqref="C8">
    <cfRule type="duplicateValues" dxfId="73" priority="64"/>
    <cfRule type="duplicateValues" dxfId="72" priority="65"/>
  </conditionalFormatting>
  <conditionalFormatting sqref="C9">
    <cfRule type="duplicateValues" dxfId="71" priority="63"/>
  </conditionalFormatting>
  <conditionalFormatting sqref="C10">
    <cfRule type="duplicateValues" dxfId="70" priority="62"/>
  </conditionalFormatting>
  <conditionalFormatting sqref="C12">
    <cfRule type="duplicateValues" dxfId="69" priority="61"/>
  </conditionalFormatting>
  <conditionalFormatting sqref="C15">
    <cfRule type="duplicateValues" dxfId="68" priority="60"/>
  </conditionalFormatting>
  <conditionalFormatting sqref="C16">
    <cfRule type="duplicateValues" dxfId="67" priority="52"/>
  </conditionalFormatting>
  <conditionalFormatting sqref="C20:C31">
    <cfRule type="duplicateValues" dxfId="66" priority="59"/>
  </conditionalFormatting>
  <conditionalFormatting sqref="C32">
    <cfRule type="duplicateValues" dxfId="65" priority="57"/>
  </conditionalFormatting>
  <conditionalFormatting sqref="C33:C37">
    <cfRule type="duplicateValues" dxfId="64" priority="56"/>
  </conditionalFormatting>
  <conditionalFormatting sqref="C39">
    <cfRule type="duplicateValues" dxfId="63" priority="54"/>
  </conditionalFormatting>
  <conditionalFormatting sqref="C40">
    <cfRule type="duplicateValues" dxfId="62" priority="53"/>
  </conditionalFormatting>
  <conditionalFormatting sqref="C47">
    <cfRule type="duplicateValues" dxfId="61" priority="50"/>
  </conditionalFormatting>
  <conditionalFormatting sqref="C59:C66">
    <cfRule type="duplicateValues" dxfId="60" priority="45"/>
  </conditionalFormatting>
  <conditionalFormatting sqref="C73">
    <cfRule type="duplicateValues" dxfId="59" priority="43"/>
  </conditionalFormatting>
  <conditionalFormatting sqref="C75">
    <cfRule type="duplicateValues" dxfId="58" priority="42"/>
  </conditionalFormatting>
  <conditionalFormatting sqref="C77">
    <cfRule type="duplicateValues" dxfId="57" priority="85"/>
  </conditionalFormatting>
  <conditionalFormatting sqref="C77:C109 C1">
    <cfRule type="duplicateValues" dxfId="56" priority="94"/>
  </conditionalFormatting>
  <conditionalFormatting sqref="C78">
    <cfRule type="duplicateValues" dxfId="55" priority="84"/>
  </conditionalFormatting>
  <conditionalFormatting sqref="C80:C81">
    <cfRule type="duplicateValues" dxfId="54" priority="83"/>
  </conditionalFormatting>
  <conditionalFormatting sqref="C85">
    <cfRule type="duplicateValues" dxfId="53" priority="81"/>
    <cfRule type="duplicateValues" dxfId="52" priority="82"/>
  </conditionalFormatting>
  <conditionalFormatting sqref="C92">
    <cfRule type="duplicateValues" dxfId="51" priority="80"/>
  </conditionalFormatting>
  <conditionalFormatting sqref="C93">
    <cfRule type="duplicateValues" dxfId="50" priority="79"/>
  </conditionalFormatting>
  <conditionalFormatting sqref="C98">
    <cfRule type="duplicateValues" dxfId="49" priority="77"/>
  </conditionalFormatting>
  <conditionalFormatting sqref="C101">
    <cfRule type="duplicateValues" dxfId="48" priority="76"/>
  </conditionalFormatting>
  <conditionalFormatting sqref="C102">
    <cfRule type="duplicateValues" dxfId="47" priority="74"/>
    <cfRule type="duplicateValues" dxfId="46" priority="75"/>
  </conditionalFormatting>
  <conditionalFormatting sqref="C103:C109">
    <cfRule type="duplicateValues" dxfId="45" priority="73"/>
  </conditionalFormatting>
  <conditionalFormatting sqref="C114">
    <cfRule type="duplicateValues" dxfId="44" priority="71"/>
  </conditionalFormatting>
  <conditionalFormatting sqref="C115">
    <cfRule type="duplicateValues" dxfId="43" priority="70"/>
  </conditionalFormatting>
  <conditionalFormatting sqref="C145">
    <cfRule type="duplicateValues" dxfId="42" priority="40"/>
    <cfRule type="duplicateValues" dxfId="41" priority="41"/>
  </conditionalFormatting>
  <conditionalFormatting sqref="C157:C160">
    <cfRule type="duplicateValues" dxfId="40" priority="100"/>
  </conditionalFormatting>
  <conditionalFormatting sqref="C161:C163">
    <cfRule type="duplicateValues" dxfId="39" priority="38"/>
  </conditionalFormatting>
  <conditionalFormatting sqref="C166">
    <cfRule type="duplicateValues" dxfId="38" priority="36"/>
    <cfRule type="duplicateValues" dxfId="37" priority="37"/>
  </conditionalFormatting>
  <conditionalFormatting sqref="C167">
    <cfRule type="duplicateValues" dxfId="36" priority="34"/>
    <cfRule type="duplicateValues" dxfId="35" priority="35"/>
  </conditionalFormatting>
  <conditionalFormatting sqref="C168">
    <cfRule type="duplicateValues" dxfId="34" priority="33"/>
  </conditionalFormatting>
  <conditionalFormatting sqref="C170">
    <cfRule type="duplicateValues" dxfId="33" priority="32"/>
  </conditionalFormatting>
  <conditionalFormatting sqref="C171">
    <cfRule type="duplicateValues" dxfId="32" priority="31"/>
  </conditionalFormatting>
  <conditionalFormatting sqref="C173">
    <cfRule type="duplicateValues" dxfId="31" priority="28"/>
    <cfRule type="duplicateValues" dxfId="30" priority="29"/>
  </conditionalFormatting>
  <conditionalFormatting sqref="C174">
    <cfRule type="duplicateValues" dxfId="29" priority="27"/>
  </conditionalFormatting>
  <conditionalFormatting sqref="C175">
    <cfRule type="duplicateValues" dxfId="28" priority="26"/>
  </conditionalFormatting>
  <conditionalFormatting sqref="C177">
    <cfRule type="duplicateValues" dxfId="27" priority="23"/>
  </conditionalFormatting>
  <conditionalFormatting sqref="C177:C178">
    <cfRule type="duplicateValues" dxfId="26" priority="24"/>
  </conditionalFormatting>
  <conditionalFormatting sqref="C179">
    <cfRule type="duplicateValues" dxfId="25" priority="21"/>
    <cfRule type="duplicateValues" dxfId="24" priority="22"/>
  </conditionalFormatting>
  <conditionalFormatting sqref="C206:C212">
    <cfRule type="duplicateValues" dxfId="23" priority="14"/>
  </conditionalFormatting>
  <conditionalFormatting sqref="C207">
    <cfRule type="duplicateValues" dxfId="22" priority="15"/>
    <cfRule type="duplicateValues" dxfId="21" priority="16"/>
  </conditionalFormatting>
  <conditionalFormatting sqref="C208">
    <cfRule type="duplicateValues" dxfId="20" priority="17"/>
    <cfRule type="duplicateValues" dxfId="19" priority="18"/>
  </conditionalFormatting>
  <conditionalFormatting sqref="C218:C223">
    <cfRule type="duplicateValues" dxfId="18" priority="12"/>
  </conditionalFormatting>
  <conditionalFormatting sqref="C225:C232">
    <cfRule type="duplicateValues" dxfId="17" priority="11"/>
  </conditionalFormatting>
  <conditionalFormatting sqref="C233:C243">
    <cfRule type="duplicateValues" dxfId="16" priority="8"/>
  </conditionalFormatting>
  <conditionalFormatting sqref="C341:C347">
    <cfRule type="duplicateValues" dxfId="15" priority="5"/>
  </conditionalFormatting>
  <conditionalFormatting sqref="C371:C381">
    <cfRule type="duplicateValues" dxfId="14" priority="3"/>
  </conditionalFormatting>
  <conditionalFormatting sqref="C384">
    <cfRule type="duplicateValues" dxfId="13" priority="2"/>
  </conditionalFormatting>
  <conditionalFormatting sqref="E1">
    <cfRule type="duplicateValues" dxfId="12" priority="87"/>
    <cfRule type="duplicateValues" dxfId="11" priority="93"/>
  </conditionalFormatting>
  <conditionalFormatting sqref="E2:E15 E17:E31">
    <cfRule type="duplicateValues" dxfId="10" priority="69"/>
  </conditionalFormatting>
  <conditionalFormatting sqref="E16">
    <cfRule type="duplicateValues" dxfId="9" priority="51"/>
  </conditionalFormatting>
  <conditionalFormatting sqref="E20:E31">
    <cfRule type="duplicateValues" dxfId="8" priority="58"/>
  </conditionalFormatting>
  <conditionalFormatting sqref="E33">
    <cfRule type="duplicateValues" dxfId="7" priority="55"/>
  </conditionalFormatting>
  <conditionalFormatting sqref="E47">
    <cfRule type="duplicateValues" dxfId="6" priority="49"/>
  </conditionalFormatting>
  <conditionalFormatting sqref="E53">
    <cfRule type="duplicateValues" dxfId="5" priority="48"/>
  </conditionalFormatting>
  <conditionalFormatting sqref="E58">
    <cfRule type="duplicateValues" dxfId="4" priority="68"/>
  </conditionalFormatting>
  <conditionalFormatting sqref="E77:E97 E1">
    <cfRule type="duplicateValues" dxfId="3" priority="96"/>
  </conditionalFormatting>
  <conditionalFormatting sqref="E172">
    <cfRule type="duplicateValues" dxfId="2" priority="30"/>
  </conditionalFormatting>
  <conditionalFormatting sqref="E175">
    <cfRule type="duplicateValues" dxfId="1" priority="25"/>
  </conditionalFormatting>
  <conditionalFormatting sqref="E243">
    <cfRule type="duplicateValues" dxfId="0" priority="9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2026-05-29T16:07:48Z</dcterms:modified>
</cp:coreProperties>
</file>