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516" documentId="8_{A229127E-4F00-4A53-B430-1D5D94EE020C}" xr6:coauthVersionLast="47" xr6:coauthVersionMax="47" xr10:uidLastSave="{AA11F96C-A40F-4147-BF29-6579F80BED20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Q443" i="1"/>
  <c r="Q442" i="1"/>
  <c r="Q441" i="1"/>
  <c r="Q440" i="1"/>
  <c r="Q439" i="1"/>
  <c r="Q438" i="1"/>
  <c r="Q437" i="1"/>
  <c r="Q436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<sst xmlns="http://schemas.openxmlformats.org/spreadsheetml/2006/main" count="5493" uniqueCount="909">
  <si>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</si>
  <si>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</si>
  <si>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</si>
  <si>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</si>
  <si>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</si>
  <si>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</si>
  <si>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</si>
  <si>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</si>
  <si>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</si>
  <si>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</si>
  <si>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</si>
  <si>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</si>
  <si>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</si>
  <si>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</si>
  <si>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</si>
  <si>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</si>
  <si>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</si>
  <si>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</si>
  <si>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</si>
  <si>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</si>
  <si>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</si>
  <si>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</si>
  <si>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</si>
  <si>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</si>
  <si>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</si>
  <si>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</si>
  <si>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</si>
  <si>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</si>
  <si>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</si>
  <si>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</si>
  <si>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</si>
  <si>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</si>
  <si>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</si>
  <si>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</si>
  <si>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</si>
  <si>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</si>
  <si>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</si>
  <si>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</si>
  <si>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</si>
  <si>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</si>
  <si>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</si>
  <si>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</si>
  <si>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</si>
  <si>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</si>
  <si>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</si>
  <si>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</si>
  <si>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</si>
  <si>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</si>
  <si>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</si>
  <si>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</si>
  <si>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</si>
  <si>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</si>
  <si>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</si>
  <si>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</si>
  <si>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</si>
  <si>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</si>
  <si>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</si>
  <si>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</si>
  <si>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</si>
  <si>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</si>
  <si>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</si>
  <si>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</si>
  <si>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</si>
  <si>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</si>
  <si>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</si>
  <si>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</si>
  <si>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</si>
  <si>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</si>
  <si>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</si>
  <si>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</si>
  <si>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</si>
  <si>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</si>
  <si>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</si>
  <si>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</si>
  <si>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</si>
  <si>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</si>
  <si>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</si>
  <si>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</si>
  <si>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</si>
  <si>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</si>
  <si>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</si>
  <si>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</si>
  <si>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</si>
  <si>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</si>
  <si>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</si>
  <si>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</si>
  <si>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</si>
  <si>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</si>
  <si>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</si>
  <si>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</si>
  <si>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</si>
  <si>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</si>
  <si>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</si>
  <si>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</si>
  <si>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</si>
  <si>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</si>
  <si>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</si>
  <si>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</si>
  <si>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</si>
  <si>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</si>
  <si>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</si>
  <si>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</si>
  <si>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</si>
  <si>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</si>
  <si>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</si>
  <si>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</si>
  <si>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</si>
  <si>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</si>
  <si>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</si>
  <si>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</si>
  <si>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</si>
  <si>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</si>
  <si>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</si>
  <si>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</si>
  <si>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</si>
  <si>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</si>
  <si>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</si>
  <si>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</si>
  <si>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</si>
  <si>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</si>
  <si>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</si>
  <si>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</si>
  <si>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</si>
  <si>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</si>
  <si>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</si>
  <si>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</si>
  <si>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</si>
  <si>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</si>
  <si>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</si>
  <si>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</si>
  <si>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</si>
  <si>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</si>
  <si>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</si>
  <si>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</si>
  <si>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</si>
  <si>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</si>
  <si>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</si>
  <si>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</si>
  <si>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</si>
  <si>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</si>
  <si>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</si>
  <si>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</si>
  <si>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</si>
  <si>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</si>
  <si>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</si>
  <si>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</si>
  <si>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</si>
  <si>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</si>
  <si>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</si>
  <si>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</si>
  <si>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</si>
  <si>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</si>
  <si>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</si>
  <si>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</si>
  <si>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</si>
  <si>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</si>
  <si>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</si>
  <si>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</si>
  <si>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</si>
  <si>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</si>
  <si>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</si>
  <si>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</si>
  <si>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</si>
  <si>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</si>
  <si>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</si>
  <si>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</si>
  <si>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</si>
  <si>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</si>
  <si>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</si>
  <si>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</si>
  <si>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</si>
  <si>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</si>
  <si>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</si>
  <si>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</si>
  <si>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</si>
  <si>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</si>
  <si>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</si>
  <si>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</si>
  <si>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</si>
  <si>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</si>
  <si>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</si>
  <si>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</si>
  <si>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</si>
  <si>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</si>
  <si>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</si>
  <si>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</si>
  <si>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</si>
  <si>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</si>
  <si>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</si>
  <si>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</si>
  <si>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</si>
  <si>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</si>
  <si>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</si>
  <si>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</si>
  <si>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</si>
  <si>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</si>
  <si>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</si>
  <si>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</si>
  <si>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</si>
  <si>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</si>
  <si>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</si>
  <si>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</si>
  <si>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</si>
  <si>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</si>
  <si>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</si>
  <si>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</si>
  <si>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</si>
  <si>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</si>
  <si>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</si>
  <si>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</si>
  <si>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</si>
  <si>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</si>
  <si>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</si>
  <si>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</si>
  <si>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</si>
  <si>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</si>
  <si>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</si>
  <si>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</si>
  <si>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</si>
  <si>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</si>
  <si>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</si>
  <si>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</si>
  <si>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</si>
  <si>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</si>
  <si>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</si>
  <si>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</si>
  <si>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</si>
  <si>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</si>
  <si>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</si>
  <si>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</si>
  <si>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</si>
  <si>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</si>
  <si>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</si>
  <si>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</si>
  <si>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</si>
  <si>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</si>
  <si>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</si>
  <si>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</si>
  <si>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</si>
  <si>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</si>
  <si>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</si>
  <si>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</si>
  <si>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</si>
  <si>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</si>
  <si>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</si>
  <si>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</si>
  <si>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</si>
  <si>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</si>
  <si>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</si>
  <si>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</si>
  <si>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</si>
  <si>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</si>
  <si>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</si>
  <si>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</si>
  <si>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</si>
  <si>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</si>
  <si>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</si>
  <si>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</si>
  <si>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</si>
  <si>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</si>
  <si>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</si>
  <si>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</si>
  <si>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</si>
  <si>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</si>
  <si>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</si>
  <si>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</si>
  <si>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</si>
  <si>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</si>
  <si>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</si>
  <si>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</si>
  <si>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</si>
  <si>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</si>
  <si>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</si>
  <si>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</si>
  <si>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</si>
  <si>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</si>
  <si>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</si>
  <si>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</si>
  <si>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</si>
  <si>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</si>
  <si>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</si>
  <si>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</si>
  <si>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</si>
  <si>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</si>
  <si>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</si>
  <si>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</si>
  <si>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</si>
  <si>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</si>
  <si>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</si>
  <si>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</si>
  <si>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</si>
  <si>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</si>
  <si>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</si>
  <si>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</si>
  <si>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</si>
  <si>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</si>
  <si>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</si>
  <si>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</si>
  <si>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</si>
  <si>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</si>
  <si>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</si>
  <si>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</si>
  <si>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</si>
  <si>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</si>
  <si>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</si>
  <si>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</si>
  <si>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</si>
  <si>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</si>
  <si>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</si>
  <si>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</si>
  <si>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</si>
  <si>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</si>
  <si>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</si>
  <si>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</si>
  <si>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</si>
  <si>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</si>
  <si>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</si>
  <si>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</si>
  <si>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</si>
  <si>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</si>
  <si>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</si>
  <si>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</si>
  <si>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</si>
  <si>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</si>
  <si>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</si>
  <si>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</si>
  <si>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</si>
  <si>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</si>
  <si>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</si>
  <si>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</si>
  <si>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</si>
  <si>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</si>
  <si>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</si>
  <si>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</si>
  <si>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</si>
  <si>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</si>
  <si>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</si>
  <si>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</si>
  <si>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</si>
  <si>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</si>
  <si>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</si>
  <si>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</si>
  <si>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</si>
  <si>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</si>
  <si>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</si>
  <si>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</si>
  <si>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</si>
  <si>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</si>
  <si>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</si>
  <si>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</si>
  <si>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</si>
  <si>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</si>
  <si>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</si>
  <si>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</si>
  <si>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</si>
  <si>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</si>
  <si>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</si>
  <si>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</si>
  <si>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</si>
  <si>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</si>
  <si>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</si>
  <si>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</si>
  <si>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</si>
  <si>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</si>
  <si>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</si>
  <si>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</si>
  <si>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</si>
  <si>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</si>
  <si>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</si>
  <si>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</si>
  <si>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</si>
  <si>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</si>
  <si>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</si>
  <si>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</si>
  <si>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</si>
  <si>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</si>
  <si>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</si>
  <si>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</si>
  <si>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</si>
  <si>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</si>
  <si>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</si>
  <si>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</si>
  <si>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</si>
  <si>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</si>
  <si>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</si>
  <si>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</si>
  <si>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</si>
  <si>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</si>
  <si>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</si>
  <si>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</si>
  <si>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</si>
  <si>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</si>
  <si>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</si>
  <si>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</si>
  <si>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</si>
  <si>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</si>
  <si>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</si>
  <si>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</si>
  <si>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</si>
  <si>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</si>
  <si>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</si>
  <si>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</si>
  <si>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</si>
  <si>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</si>
  <si>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</si>
  <si>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</si>
  <si>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</si>
  <si>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</si>
  <si>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</si>
  <si>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</si>
  <si>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</si>
  <si>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</si>
  <si>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</si>
  <si>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</si>
  <si>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</si>
  <si>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</si>
  <si>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</si>
  <si>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</si>
  <si>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</si>
  <si>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</si>
  <si>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</si>
  <si>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</si>
  <si>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</si>
  <si>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</si>
  <si>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</si>
  <si>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</si>
  <si>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</si>
  <si>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</si>
  <si>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</si>
  <si>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</si>
  <si>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</si>
  <si>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</si>
  <si>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</si>
  <si>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</si>
  <si>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</si>
  <si>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</si>
  <si>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</si>
  <si>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</si>
  <si>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</si>
  <si>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</si>
  <si>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</si>
  <si>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</si>
  <si>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</si>
  <si>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</si>
  <si>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</si>
  <si>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</si>
  <si>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</si>
  <si>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</si>
  <si>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</si>
  <si>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</si>
  <si>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</si>
  <si>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</si>
  <si>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</si>
  <si>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</si>
  <si>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</si>
  <si>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</si>
  <si>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</si>
  <si>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</si>
  <si>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</si>
  <si>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</si>
  <si>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</si>
  <si>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</si>
  <si>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</si>
  <si>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</si>
  <si>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</si>
  <si>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</si>
  <si>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</si>
  <si>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</si>
  <si>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</si>
  <si>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</si>
  <si>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</si>
  <si>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</si>
  <si>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</si>
  <si>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</si>
  <si>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</si>
  <si>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</si>
  <si>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</si>
  <si>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</si>
  <si>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</si>
  <si>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</si>
  <si>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</si>
  <si>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</si>
  <si>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</si>
  <si>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</si>
  <si>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</si>
  <si>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</si>
  <si>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</si>
  <si>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</si>
  <si>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</si>
  <si>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</si>
  <si>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</si>
  <si>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</si>
  <si>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</si>
  <si>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</si>
  <si>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</si>
  <si>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</si>
  <si>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</si>
  <si>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</si>
  <si>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</si>
  <si>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</si>
  <si>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</si>
  <si>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</si>
  <si>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</si>
  <si>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</si>
  <si>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</si>
  <si>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</si>
  <si>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</si>
  <si>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</si>
  <si>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</si>
  <si>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</si>
  <si>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</si>
  <si>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</si>
  <si>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</si>
  <si>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</si>
  <si>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</si>
  <si>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</si>
  <si>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</si>
  <si>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</si>
  <si>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</si>
  <si>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</si>
  <si>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</si>
  <si>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</si>
  <si>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</si>
  <si>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</si>
  <si>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</si>
  <si>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</si>
  <si>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</si>
  <si>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</si>
  <si>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</si>
  <si>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</si>
  <si>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</si>
  <si>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</si>
  <si>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</si>
  <si>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</si>
  <si>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</si>
  <si>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</si>
  <si>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</si>
  <si>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</si>
  <si>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</si>
  <si>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</si>
  <si>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</si>
  <si>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</si>
  <si>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</si>
  <si>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</si>
  <si>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</si>
  <si>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</si>
  <si>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</si>
  <si>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</si>
  <si>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</si>
  <si>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</si>
  <si>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</si>
  <si>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</si>
  <si>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</si>
  <si>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</si>
  <si>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</si>
  <si>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</si>
  <si>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</si>
  <si>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</si>
  <si>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</si>
  <si>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</si>
  <si>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</si>
  <si>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</si>
  <si>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</si>
  <si>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</si>
  <si>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</si>
  <si>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</si>
  <si>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</si>
  <si>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</si>
  <si>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</si>
  <si>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</si>
  <si>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</si>
  <si>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</si>
  <si>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</si>
  <si>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</si>
  <si>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</si>
  <si>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</si>
  <si>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</si>
  <si>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</si>
  <si>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</si>
  <si>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</si>
  <si>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</si>
  <si>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</si>
  <si>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</si>
  <si>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</si>
  <si>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</si>
  <si>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</si>
  <si>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</si>
  <si>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</si>
  <si>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</si>
  <si>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</si>
  <si>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</si>
  <si>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</si>
  <si>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</si>
  <si>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</si>
  <si>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</si>
  <si>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</si>
  <si>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</si>
  <si>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</si>
  <si>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</si>
  <si>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</si>
  <si>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</si>
  <si>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</si>
  <si>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</si>
  <si>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</si>
  <si>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</si>
  <si>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</si>
  <si>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</si>
  <si>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</si>
  <si>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</si>
  <si>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</si>
  <si>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</si>
  <si>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</si>
  <si>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</si>
  <si>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</si>
  <si>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</si>
  <si>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</si>
  <si>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</si>
  <si>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</si>
  <si>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</si>
  <si>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</si>
  <si>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</si>
  <si>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</si>
  <si>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</si>
  <si>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</si>
  <si>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</si>
  <si>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</si>
  <si>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</si>
  <si>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</si>
  <si>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</si>
  <si>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</si>
  <si>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</si>
  <si>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</si>
  <si>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</si>
  <si>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</si>
  <si>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</si>
  <si>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</si>
  <si>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</si>
  <si>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</si>
  <si>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</si>
  <si>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</si>
  <si>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</si>
  <si>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</si>
  <si>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</si>
  <si>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</si>
  <si>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</si>
  <si>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</si>
  <si>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</si>
  <si>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</si>
  <si>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</si>
  <si>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</si>
  <si>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</si>
  <si>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</si>
  <si>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</si>
  <si>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</si>
  <si>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</si>
  <si>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</si>
  <si>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</si>
  <si>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</si>
  <si>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</si>
  <si>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</si>
  <si>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</si>
  <si>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</si>
  <si>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</si>
  <si>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</si>
  <si>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</si>
  <si>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</si>
  <si>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</si>
  <si>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</si>
  <si>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</si>
  <si>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</si>
  <si>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</si>
  <si>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</si>
  <si>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</si>
  <si>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</si>
  <si>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</si>
  <si>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</si>
  <si>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</si>
  <si>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</si>
  <si>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</si>
  <si>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</si>
  <si>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</si>
  <si>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</si>
  <si>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</si>
  <si>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</si>
  <si>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</si>
  <si>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</si>
  <si>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</si>
  <si>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</si>
  <si>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</si>
  <si>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</si>
  <si>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</si>
  <si>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</si>
  <si>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</si>
  <si>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</si>
  <si>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</si>
  <si>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</si>
  <si>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</si>
  <si>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</si>
  <si>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</si>
  <si>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</si>
  <si>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</si>
  <si>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</si>
  <si>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</si>
  <si>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</si>
  <si>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</si>
  <si>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</si>
  <si>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</si>
  <si>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</si>
  <si>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</si>
  <si>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</si>
  <si>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</si>
  <si>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</si>
  <si>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</si>
  <si>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</si>
  <si>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</si>
  <si>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</si>
  <si>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</si>
  <si>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</si>
  <si>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</si>
  <si>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</si>
  <si>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</si>
  <si>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</si>
  <si>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</si>
  <si>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</si>
  <si>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</si>
  <si>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</si>
  <si>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</si>
  <si>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</si>
  <si>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</si>
  <si>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</si>
  <si>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</si>
  <si>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</si>
  <si>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</si>
  <si>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</si>
  <si>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</si>
  <si>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</si>
  <si>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</si>
  <si>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</si>
  <si>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</si>
  <si>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</si>
  <si>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</si>
  <si>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</si>
  <si>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</si>
  <si>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</si>
  <si>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</si>
  <si>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</si>
  <si>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</si>
  <si>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</si>
  <si>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</si>
  <si>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</si>
  <si>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</si>
  <si>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</si>
  <si>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</si>
  <si>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</si>
  <si>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</si>
  <si>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</si>
  <si>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</si>
  <si>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</si>
  <si>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</si>
  <si>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</si>
  <si>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</si>
  <si>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</si>
  <si>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</si>
  <si>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</si>
  <si>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</si>
  <si>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</si>
  <si>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</si>
  <si>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</si>
  <si>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</si>
  <si>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</si>
  <si>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</si>
  <si>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</si>
  <si>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</si>
  <si>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</si>
  <si>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</si>
  <si>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</si>
  <si>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</si>
  <si>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</si>
  <si>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</si>
  <si>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</si>
  <si>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</si>
  <si>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</si>
  <si>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</si>
  <si>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</si>
  <si>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</si>
  <si>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</si>
  <si>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</si>
  <si>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</si>
  <si>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</si>
  <si>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</si>
  <si>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</si>
  <si>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</si>
  <si>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</si>
  <si>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</si>
  <si>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</si>
  <si>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</si>
  <si>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</si>
  <si>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</si>
  <si>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</si>
  <si>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</si>
  <si>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</si>
  <si>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</si>
  <si>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</si>
  <si>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</si>
  <si>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</si>
  <si>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</si>
  <si>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</si>
  <si>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</si>
  <si>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</si>
  <si>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</si>
  <si>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</si>
  <si>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</si>
  <si>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</si>
  <si>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</si>
  <si>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</si>
  <si>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</si>
  <si>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</si>
  <si>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</si>
  <si>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</si>
  <si>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</si>
  <si>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</si>
  <si>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</si>
  <si>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</si>
  <si>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</si>
  <si>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</si>
  <si>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</si>
  <si>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</si>
  <si>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</si>
  <si>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</si>
  <si>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</si>
  <si>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</si>
  <si>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</si>
  <si>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</si>
  <si>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</si>
  <si>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</si>
  <si>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</si>
  <si>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</si>
  <si>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</si>
  <si>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</si>
  <si>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</si>
  <si>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</si>
  <si>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</si>
  <si>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</si>
  <si>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</si>
  <si>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</si>
  <si>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</si>
  <si>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</si>
  <si>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</si>
  <si>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</si>
  <si>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</si>
  <si>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</si>
  <si>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</si>
  <si>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</si>
  <si>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</si>
  <si>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</si>
  <si>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</si>
  <si>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</si>
  <si>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</si>
  <si>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</si>
  <si>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</si>
  <si>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</si>
  <si>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</si>
  <si>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</si>
  <si>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</si>
  <si>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</si>
  <si>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</si>
  <si>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</si>
  <si>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</si>
  <si>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</si>
  <si>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</si>
  <si>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</si>
  <si>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</si>
  <si>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</si>
  <si>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</si>
  <si>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</si>
  <si>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</si>
  <si>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</si>
  <si>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</si>
  <si>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</si>
  <si>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</si>
  <si>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</si>
  <si>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</si>
  <si>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</si>
  <si>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</si>
  <si>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</si>
  <si>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</si>
  <si>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</si>
  <si>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</si>
  <si>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</si>
  <si>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</si>
  <si>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</si>
  <si>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</si>
  <si>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</si>
  <si>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</si>
  <si>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</si>
  <si>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</si>
  <si>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</si>
  <si>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</si>
  <si>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</si>
  <si>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</si>
  <si>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</si>
  <si>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</si>
  <si>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</si>
  <si>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 xml:space="preserve">0  </t>
  </si>
  <si>
    <t>S27</t>
  </si>
  <si>
    <t>COMITE NATIONAL DE PILOTAGE DES PARTENARIATS PUBLIC PRIVE</t>
  </si>
  <si>
    <t>SYTHD260186</t>
  </si>
  <si>
    <t>BUVPN240133</t>
  </si>
  <si>
    <t>SOCACI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</si>
</sst>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7"/>
  <sheetViews>
    <sheetView tabSelected="1" topLeftCell="A463" workbookViewId="0">
      <selection activeCell="T475" sqref="T475:U477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306</v>
      </c>
      <c r="L1" s="13" t="s">
        <v>307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431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295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432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295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432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295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432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295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432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295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432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295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432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295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432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295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432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295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432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295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432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295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432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295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432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295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432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295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432</v>
      </c>
    </row>
    <row r="16" spans="1:21" ht="29" customHeight="1" x14ac:dyDescent="0.35">
      <c r="A16" s="6" t="s">
        <v>291</v>
      </c>
      <c r="B16" s="6" t="s">
        <v>19</v>
      </c>
      <c r="C16" s="6">
        <v>55409194</v>
      </c>
      <c r="D16" s="6" t="s">
        <v>99</v>
      </c>
      <c r="E16" s="6" t="s">
        <v>292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295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265</v>
      </c>
      <c r="U16" s="34" t="s">
        <v>432</v>
      </c>
    </row>
    <row r="17" spans="1:21" ht="29" customHeight="1" x14ac:dyDescent="0.35">
      <c r="A17" s="1" t="s">
        <v>283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295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265</v>
      </c>
      <c r="U17" s="34" t="s">
        <v>432</v>
      </c>
    </row>
    <row r="18" spans="1:21" ht="29" customHeight="1" x14ac:dyDescent="0.35">
      <c r="A18" s="1" t="s">
        <v>284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344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265</v>
      </c>
      <c r="U18" s="34" t="s">
        <v>432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268</v>
      </c>
      <c r="E19" s="6" t="s">
        <v>285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295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265</v>
      </c>
      <c r="U19" s="34" t="s">
        <v>433</v>
      </c>
    </row>
    <row r="20" spans="1:21" ht="29" customHeight="1" x14ac:dyDescent="0.35">
      <c r="A20" s="6" t="s">
        <v>286</v>
      </c>
      <c r="B20" s="6" t="s">
        <v>19</v>
      </c>
      <c r="C20" s="14">
        <v>53798113</v>
      </c>
      <c r="D20" s="6" t="s">
        <v>287</v>
      </c>
      <c r="E20" s="6" t="s">
        <v>288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295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265</v>
      </c>
      <c r="U20" s="34" t="s">
        <v>432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289</v>
      </c>
      <c r="E21" s="6" t="s">
        <v>290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295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265</v>
      </c>
      <c r="U21" s="34" t="s">
        <v>433</v>
      </c>
    </row>
    <row r="22" spans="1:21" ht="29" customHeight="1" x14ac:dyDescent="0.35">
      <c r="A22" s="6" t="s">
        <v>278</v>
      </c>
      <c r="B22" s="6" t="s">
        <v>19</v>
      </c>
      <c r="C22" s="6">
        <v>56603297</v>
      </c>
      <c r="D22" s="6" t="s">
        <v>35</v>
      </c>
      <c r="E22" s="6" t="s">
        <v>279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295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265</v>
      </c>
      <c r="U22" s="34" t="s">
        <v>432</v>
      </c>
    </row>
    <row r="23" spans="1:21" ht="29" customHeight="1" x14ac:dyDescent="0.35">
      <c r="A23" s="14" t="s">
        <v>280</v>
      </c>
      <c r="B23" s="6" t="s">
        <v>19</v>
      </c>
      <c r="C23" s="6">
        <v>54796984</v>
      </c>
      <c r="D23" s="6" t="s">
        <v>281</v>
      </c>
      <c r="E23" s="6" t="s">
        <v>282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295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265</v>
      </c>
      <c r="U23" s="34" t="s">
        <v>432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266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295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265</v>
      </c>
      <c r="U24" s="34" t="s">
        <v>432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267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344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265</v>
      </c>
      <c r="U25" s="34" t="s">
        <v>432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268</v>
      </c>
      <c r="E26" s="6" t="s">
        <v>269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295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265</v>
      </c>
      <c r="U26" s="34" t="s">
        <v>433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270</v>
      </c>
      <c r="E27" s="6" t="s">
        <v>271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344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265</v>
      </c>
      <c r="U27" s="34" t="s">
        <v>433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272</v>
      </c>
      <c r="E28" s="6" t="s">
        <v>273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295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265</v>
      </c>
      <c r="U28" s="34" t="s">
        <v>433</v>
      </c>
    </row>
    <row r="29" spans="1:21" ht="29" customHeight="1" x14ac:dyDescent="0.35">
      <c r="A29" s="6" t="s">
        <v>274</v>
      </c>
      <c r="B29" s="6" t="s">
        <v>43</v>
      </c>
      <c r="C29" s="6">
        <v>54135373</v>
      </c>
      <c r="D29" s="6" t="s">
        <v>275</v>
      </c>
      <c r="E29" s="6" t="s">
        <v>276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295</v>
      </c>
      <c r="L29" s="22"/>
      <c r="M29" s="5" t="s">
        <v>24</v>
      </c>
      <c r="N29" s="6" t="s">
        <v>193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265</v>
      </c>
      <c r="U29" s="34" t="s">
        <v>432</v>
      </c>
    </row>
    <row r="30" spans="1:21" ht="29" customHeight="1" x14ac:dyDescent="0.35">
      <c r="A30" s="1" t="s">
        <v>277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295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265</v>
      </c>
      <c r="U30" s="34" t="s">
        <v>432</v>
      </c>
    </row>
    <row r="31" spans="1:21" ht="29" customHeight="1" x14ac:dyDescent="0.35">
      <c r="A31" s="6" t="s">
        <v>263</v>
      </c>
      <c r="B31" s="6" t="s">
        <v>19</v>
      </c>
      <c r="C31" s="14">
        <v>52894293</v>
      </c>
      <c r="D31" s="6" t="s">
        <v>20</v>
      </c>
      <c r="E31" s="6" t="s">
        <v>264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295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265</v>
      </c>
      <c r="U31" s="34" t="s">
        <v>432</v>
      </c>
    </row>
    <row r="32" spans="1:21" ht="29" customHeight="1" x14ac:dyDescent="0.35">
      <c r="A32" s="6" t="s">
        <v>776</v>
      </c>
      <c r="B32" s="55" t="s">
        <v>43</v>
      </c>
      <c r="C32" s="55">
        <v>61220160</v>
      </c>
      <c r="D32" s="55" t="s">
        <v>55</v>
      </c>
      <c r="E32" s="55" t="s">
        <v>777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295</v>
      </c>
      <c r="L32" s="6" t="s">
        <v>296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785</v>
      </c>
      <c r="U32" s="6" t="s">
        <v>537</v>
      </c>
    </row>
    <row r="33" spans="1:21" ht="29" customHeight="1" x14ac:dyDescent="0.35">
      <c r="A33" s="6" t="s">
        <v>778</v>
      </c>
      <c r="B33" s="55" t="s">
        <v>19</v>
      </c>
      <c r="C33" s="55">
        <v>64023674</v>
      </c>
      <c r="D33" s="55" t="s">
        <v>49</v>
      </c>
      <c r="E33" s="55" t="s">
        <v>779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295</v>
      </c>
      <c r="L33" s="6" t="s">
        <v>296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785</v>
      </c>
      <c r="U33" s="6" t="s">
        <v>537</v>
      </c>
    </row>
    <row r="34" spans="1:21" ht="29" customHeight="1" x14ac:dyDescent="0.35">
      <c r="A34" s="6" t="s">
        <v>760</v>
      </c>
      <c r="B34" s="55" t="s">
        <v>19</v>
      </c>
      <c r="C34" s="55">
        <v>62344830</v>
      </c>
      <c r="D34" s="55" t="s">
        <v>20</v>
      </c>
      <c r="E34" s="55" t="s">
        <v>780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295</v>
      </c>
      <c r="L34" s="6" t="s">
        <v>296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785</v>
      </c>
      <c r="U34" s="6" t="s">
        <v>537</v>
      </c>
    </row>
    <row r="35" spans="1:21" ht="29" customHeight="1" x14ac:dyDescent="0.35">
      <c r="A35" s="6" t="s">
        <v>760</v>
      </c>
      <c r="B35" s="55" t="s">
        <v>19</v>
      </c>
      <c r="C35" s="55">
        <v>62343389</v>
      </c>
      <c r="D35" s="55" t="s">
        <v>20</v>
      </c>
      <c r="E35" s="55" t="s">
        <v>781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295</v>
      </c>
      <c r="L35" s="6" t="s">
        <v>296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785</v>
      </c>
      <c r="U35" s="6" t="s">
        <v>537</v>
      </c>
    </row>
    <row r="36" spans="1:21" ht="29" customHeight="1" x14ac:dyDescent="0.35">
      <c r="A36" s="6" t="s">
        <v>782</v>
      </c>
      <c r="B36" s="55" t="s">
        <v>30</v>
      </c>
      <c r="C36" s="55">
        <v>63449095</v>
      </c>
      <c r="D36" s="55" t="s">
        <v>783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295</v>
      </c>
      <c r="L36" s="6" t="s">
        <v>296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785</v>
      </c>
      <c r="U36" s="6" t="s">
        <v>537</v>
      </c>
    </row>
    <row r="37" spans="1:21" ht="29" customHeight="1" x14ac:dyDescent="0.35">
      <c r="A37" s="6" t="s">
        <v>784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295</v>
      </c>
      <c r="L37" s="6" t="s">
        <v>296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785</v>
      </c>
      <c r="U37" s="6" t="s">
        <v>537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764</v>
      </c>
      <c r="E38" s="55" t="s">
        <v>765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295</v>
      </c>
      <c r="L38" s="55" t="s">
        <v>296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751</v>
      </c>
      <c r="U38" s="55" t="s">
        <v>537</v>
      </c>
    </row>
    <row r="39" spans="1:21" ht="29" customHeight="1" x14ac:dyDescent="0.35">
      <c r="A39" s="6" t="s">
        <v>766</v>
      </c>
      <c r="B39" s="6" t="s">
        <v>19</v>
      </c>
      <c r="C39" s="6">
        <v>62880594</v>
      </c>
      <c r="D39" s="6" t="s">
        <v>170</v>
      </c>
      <c r="E39" s="6" t="s">
        <v>767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295</v>
      </c>
      <c r="L39" s="5" t="s">
        <v>296</v>
      </c>
      <c r="M39" s="5" t="s">
        <v>24</v>
      </c>
      <c r="N39" s="6" t="s">
        <v>262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751</v>
      </c>
      <c r="U39" s="5" t="s">
        <v>537</v>
      </c>
    </row>
    <row r="40" spans="1:21" ht="29" customHeight="1" x14ac:dyDescent="0.35">
      <c r="A40" s="6" t="s">
        <v>766</v>
      </c>
      <c r="B40" s="6" t="s">
        <v>19</v>
      </c>
      <c r="C40" s="6">
        <v>62880628</v>
      </c>
      <c r="D40" s="6" t="s">
        <v>170</v>
      </c>
      <c r="E40" s="6" t="s">
        <v>768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295</v>
      </c>
      <c r="L40" s="5" t="s">
        <v>296</v>
      </c>
      <c r="M40" s="5" t="s">
        <v>24</v>
      </c>
      <c r="N40" s="6" t="s">
        <v>262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751</v>
      </c>
      <c r="U40" s="5" t="s">
        <v>537</v>
      </c>
    </row>
    <row r="41" spans="1:21" ht="29" customHeight="1" x14ac:dyDescent="0.35">
      <c r="A41" s="6" t="s">
        <v>769</v>
      </c>
      <c r="B41" s="5" t="s">
        <v>19</v>
      </c>
      <c r="C41" s="26">
        <v>64009558</v>
      </c>
      <c r="D41" s="5" t="s">
        <v>20</v>
      </c>
      <c r="E41" s="6" t="s">
        <v>770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295</v>
      </c>
      <c r="L41" s="5" t="s">
        <v>296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751</v>
      </c>
      <c r="U41" s="5" t="s">
        <v>537</v>
      </c>
    </row>
    <row r="42" spans="1:21" ht="29" customHeight="1" x14ac:dyDescent="0.35">
      <c r="A42" s="3" t="s">
        <v>771</v>
      </c>
      <c r="B42" s="5" t="s">
        <v>30</v>
      </c>
      <c r="C42" s="3">
        <v>62682536</v>
      </c>
      <c r="D42" s="5" t="s">
        <v>772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295</v>
      </c>
      <c r="L42" s="5" t="s">
        <v>318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751</v>
      </c>
      <c r="U42" s="5" t="s">
        <v>537</v>
      </c>
    </row>
    <row r="43" spans="1:21" ht="29" customHeight="1" x14ac:dyDescent="0.35">
      <c r="A43" s="3" t="s">
        <v>760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295</v>
      </c>
      <c r="L43" s="5" t="s">
        <v>296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751</v>
      </c>
      <c r="U43" s="5" t="s">
        <v>537</v>
      </c>
    </row>
    <row r="44" spans="1:21" ht="29" customHeight="1" x14ac:dyDescent="0.35">
      <c r="A44" s="6" t="s">
        <v>773</v>
      </c>
      <c r="B44" s="5" t="s">
        <v>19</v>
      </c>
      <c r="C44" s="6">
        <v>63330974</v>
      </c>
      <c r="D44" s="5" t="s">
        <v>20</v>
      </c>
      <c r="E44" s="6" t="s">
        <v>774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295</v>
      </c>
      <c r="L44" s="5" t="s">
        <v>296</v>
      </c>
      <c r="M44" s="5" t="s">
        <v>24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751</v>
      </c>
      <c r="U44" s="5" t="s">
        <v>537</v>
      </c>
    </row>
    <row r="45" spans="1:21" ht="29" customHeight="1" x14ac:dyDescent="0.35">
      <c r="A45" s="6" t="s">
        <v>758</v>
      </c>
      <c r="B45" s="6" t="s">
        <v>19</v>
      </c>
      <c r="C45" s="6">
        <v>59541145</v>
      </c>
      <c r="D45" s="6" t="s">
        <v>99</v>
      </c>
      <c r="E45" s="6" t="s">
        <v>759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295</v>
      </c>
      <c r="L45" s="6" t="s">
        <v>318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751</v>
      </c>
      <c r="U45" s="6" t="s">
        <v>433</v>
      </c>
    </row>
    <row r="46" spans="1:21" ht="29" customHeight="1" x14ac:dyDescent="0.35">
      <c r="A46" s="6" t="s">
        <v>760</v>
      </c>
      <c r="B46" s="6" t="s">
        <v>19</v>
      </c>
      <c r="C46" s="6">
        <v>62348127</v>
      </c>
      <c r="D46" s="6" t="s">
        <v>20</v>
      </c>
      <c r="E46" s="6" t="s">
        <v>761</v>
      </c>
      <c r="F46" s="6" t="s">
        <v>190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295</v>
      </c>
      <c r="L46" s="6" t="s">
        <v>296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751</v>
      </c>
      <c r="U46" s="6" t="s">
        <v>537</v>
      </c>
    </row>
    <row r="47" spans="1:21" ht="29" customHeight="1" x14ac:dyDescent="0.35">
      <c r="A47" s="6" t="s">
        <v>760</v>
      </c>
      <c r="B47" s="6" t="s">
        <v>19</v>
      </c>
      <c r="C47" s="6">
        <v>62346912</v>
      </c>
      <c r="D47" s="6" t="s">
        <v>20</v>
      </c>
      <c r="E47" s="6" t="s">
        <v>762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295</v>
      </c>
      <c r="L47" s="6" t="s">
        <v>296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751</v>
      </c>
      <c r="U47" s="6" t="s">
        <v>537</v>
      </c>
    </row>
    <row r="48" spans="1:21" ht="29" customHeight="1" x14ac:dyDescent="0.35">
      <c r="A48" s="6" t="s">
        <v>763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295</v>
      </c>
      <c r="L48" s="6" t="s">
        <v>296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751</v>
      </c>
      <c r="U48" s="6" t="s">
        <v>537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747</v>
      </c>
      <c r="E49" s="55" t="s">
        <v>748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295</v>
      </c>
      <c r="L49" s="6" t="s">
        <v>318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751</v>
      </c>
      <c r="U49" s="6" t="s">
        <v>537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749</v>
      </c>
      <c r="E50" s="55" t="s">
        <v>750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295</v>
      </c>
      <c r="L50" s="6" t="s">
        <v>318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751</v>
      </c>
      <c r="U50" s="6" t="s">
        <v>537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752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295</v>
      </c>
      <c r="L51" s="6" t="s">
        <v>318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751</v>
      </c>
      <c r="U51" s="6" t="s">
        <v>537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753</v>
      </c>
      <c r="E52" s="55" t="s">
        <v>754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295</v>
      </c>
      <c r="L52" s="55" t="s">
        <v>318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751</v>
      </c>
      <c r="U52" s="6" t="s">
        <v>537</v>
      </c>
    </row>
    <row r="53" spans="1:21" x14ac:dyDescent="0.35">
      <c r="A53" s="6" t="s">
        <v>755</v>
      </c>
      <c r="B53" s="55" t="s">
        <v>19</v>
      </c>
      <c r="C53" s="55">
        <v>62937923</v>
      </c>
      <c r="D53" s="55" t="s">
        <v>515</v>
      </c>
      <c r="E53" s="55" t="s">
        <v>756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295</v>
      </c>
      <c r="L53" s="55" t="s">
        <v>296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751</v>
      </c>
      <c r="U53" s="6" t="s">
        <v>537</v>
      </c>
    </row>
    <row r="54" spans="1:21" x14ac:dyDescent="0.35">
      <c r="A54" s="6" t="s">
        <v>757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295</v>
      </c>
      <c r="L54" s="6" t="s">
        <v>296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751</v>
      </c>
      <c r="U54" s="6" t="s">
        <v>537</v>
      </c>
    </row>
    <row r="55" spans="1:21" x14ac:dyDescent="0.35">
      <c r="A55" s="6" t="s">
        <v>738</v>
      </c>
      <c r="B55" s="6" t="s">
        <v>43</v>
      </c>
      <c r="C55" s="6">
        <v>62170297</v>
      </c>
      <c r="D55" s="6" t="s">
        <v>739</v>
      </c>
      <c r="E55" s="6" t="s">
        <v>740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295</v>
      </c>
      <c r="L55" s="6" t="s">
        <v>296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700</v>
      </c>
      <c r="U55" s="6" t="s">
        <v>537</v>
      </c>
    </row>
    <row r="56" spans="1:21" ht="24" x14ac:dyDescent="0.35">
      <c r="A56" s="14" t="s">
        <v>335</v>
      </c>
      <c r="B56" s="14" t="s">
        <v>43</v>
      </c>
      <c r="C56" s="6">
        <v>58896886</v>
      </c>
      <c r="D56" s="5" t="s">
        <v>741</v>
      </c>
      <c r="E56" s="6" t="s">
        <v>742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295</v>
      </c>
      <c r="L56" s="6" t="s">
        <v>296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700</v>
      </c>
      <c r="U56" s="6" t="s">
        <v>537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743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295</v>
      </c>
      <c r="L57" s="6" t="s">
        <v>318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700</v>
      </c>
      <c r="U57" s="6" t="s">
        <v>537</v>
      </c>
    </row>
    <row r="58" spans="1:21" x14ac:dyDescent="0.35">
      <c r="A58" s="6" t="s">
        <v>744</v>
      </c>
      <c r="B58" s="6" t="s">
        <v>19</v>
      </c>
      <c r="C58" s="6">
        <v>61828334</v>
      </c>
      <c r="D58" s="6" t="s">
        <v>320</v>
      </c>
      <c r="E58" s="6" t="s">
        <v>745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295</v>
      </c>
      <c r="L58" s="5" t="s">
        <v>302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700</v>
      </c>
      <c r="U58" s="5" t="s">
        <v>537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746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295</v>
      </c>
      <c r="L59" s="6" t="s">
        <v>302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700</v>
      </c>
      <c r="U59" s="6" t="s">
        <v>537</v>
      </c>
    </row>
    <row r="60" spans="1:21" x14ac:dyDescent="0.35">
      <c r="A60" s="6" t="s">
        <v>723</v>
      </c>
      <c r="B60" s="6" t="s">
        <v>19</v>
      </c>
      <c r="C60" s="1">
        <v>62243628</v>
      </c>
      <c r="D60" s="6" t="s">
        <v>99</v>
      </c>
      <c r="E60" s="6" t="s">
        <v>724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295</v>
      </c>
      <c r="L60" s="6" t="s">
        <v>296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700</v>
      </c>
      <c r="U60" s="6" t="s">
        <v>537</v>
      </c>
    </row>
    <row r="61" spans="1:21" x14ac:dyDescent="0.35">
      <c r="A61" s="6" t="s">
        <v>725</v>
      </c>
      <c r="B61" s="5" t="s">
        <v>19</v>
      </c>
      <c r="C61" s="19" t="s">
        <v>726</v>
      </c>
      <c r="D61" s="5" t="s">
        <v>20</v>
      </c>
      <c r="E61" s="6" t="s">
        <v>727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295</v>
      </c>
      <c r="L61" s="6" t="s">
        <v>296</v>
      </c>
      <c r="M61" s="5" t="s">
        <v>24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700</v>
      </c>
      <c r="U61" s="6" t="s">
        <v>537</v>
      </c>
    </row>
    <row r="62" spans="1:21" x14ac:dyDescent="0.35">
      <c r="A62" s="6" t="s">
        <v>728</v>
      </c>
      <c r="B62" s="5" t="s">
        <v>19</v>
      </c>
      <c r="C62" s="6">
        <v>59684312</v>
      </c>
      <c r="D62" s="5" t="s">
        <v>67</v>
      </c>
      <c r="E62" s="6" t="s">
        <v>729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295</v>
      </c>
      <c r="L62" s="6" t="s">
        <v>296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700</v>
      </c>
      <c r="U62" s="6" t="s">
        <v>433</v>
      </c>
    </row>
    <row r="63" spans="1:21" ht="24.5" x14ac:dyDescent="0.35">
      <c r="A63" s="21" t="s">
        <v>730</v>
      </c>
      <c r="B63" s="5" t="s">
        <v>19</v>
      </c>
      <c r="C63" s="6">
        <v>62014200</v>
      </c>
      <c r="D63" s="5" t="s">
        <v>20</v>
      </c>
      <c r="E63" s="6" t="s">
        <v>731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295</v>
      </c>
      <c r="L63" s="6" t="s">
        <v>296</v>
      </c>
      <c r="M63" s="5" t="s">
        <v>24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700</v>
      </c>
      <c r="U63" s="6" t="s">
        <v>537</v>
      </c>
    </row>
    <row r="64" spans="1:21" x14ac:dyDescent="0.35">
      <c r="A64" s="6" t="s">
        <v>732</v>
      </c>
      <c r="B64" s="5" t="s">
        <v>19</v>
      </c>
      <c r="C64" s="6">
        <v>63143165</v>
      </c>
      <c r="D64" s="5" t="s">
        <v>49</v>
      </c>
      <c r="E64" s="6" t="s">
        <v>733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295</v>
      </c>
      <c r="L64" s="6" t="s">
        <v>296</v>
      </c>
      <c r="M64" s="5" t="s">
        <v>24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700</v>
      </c>
      <c r="U64" s="6" t="s">
        <v>537</v>
      </c>
    </row>
    <row r="65" spans="1:21" x14ac:dyDescent="0.35">
      <c r="A65" s="6" t="s">
        <v>734</v>
      </c>
      <c r="B65" s="5" t="s">
        <v>19</v>
      </c>
      <c r="C65" s="6">
        <v>63518049</v>
      </c>
      <c r="D65" s="5" t="s">
        <v>195</v>
      </c>
      <c r="E65" s="6" t="s">
        <v>735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295</v>
      </c>
      <c r="L65" s="6" t="s">
        <v>296</v>
      </c>
      <c r="M65" s="5" t="s">
        <v>24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700</v>
      </c>
      <c r="U65" s="6" t="s">
        <v>537</v>
      </c>
    </row>
    <row r="66" spans="1:21" x14ac:dyDescent="0.35">
      <c r="A66" s="6" t="s">
        <v>734</v>
      </c>
      <c r="B66" s="5" t="s">
        <v>19</v>
      </c>
      <c r="C66" s="6">
        <v>63518010</v>
      </c>
      <c r="D66" s="5" t="s">
        <v>195</v>
      </c>
      <c r="E66" s="6" t="s">
        <v>736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295</v>
      </c>
      <c r="L66" s="6" t="s">
        <v>296</v>
      </c>
      <c r="M66" s="5" t="s">
        <v>24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700</v>
      </c>
      <c r="U66" s="6" t="s">
        <v>537</v>
      </c>
    </row>
    <row r="67" spans="1:21" x14ac:dyDescent="0.35">
      <c r="A67" s="1" t="s">
        <v>737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295</v>
      </c>
      <c r="L67" s="6" t="s">
        <v>296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700</v>
      </c>
      <c r="U67" s="6" t="s">
        <v>537</v>
      </c>
    </row>
    <row r="68" spans="1:21" x14ac:dyDescent="0.35">
      <c r="A68" s="6" t="s">
        <v>715</v>
      </c>
      <c r="B68" s="55" t="s">
        <v>19</v>
      </c>
      <c r="C68" s="55">
        <v>63302106</v>
      </c>
      <c r="D68" s="55" t="s">
        <v>195</v>
      </c>
      <c r="E68" s="55" t="s">
        <v>716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295</v>
      </c>
      <c r="L68" s="55" t="s">
        <v>296</v>
      </c>
      <c r="M68" s="5" t="s">
        <v>24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700</v>
      </c>
      <c r="U68" s="55" t="s">
        <v>537</v>
      </c>
    </row>
    <row r="69" spans="1:21" x14ac:dyDescent="0.35">
      <c r="A69" s="6" t="s">
        <v>715</v>
      </c>
      <c r="B69" s="55" t="s">
        <v>19</v>
      </c>
      <c r="C69" s="55">
        <v>63303380</v>
      </c>
      <c r="D69" s="55" t="s">
        <v>195</v>
      </c>
      <c r="E69" s="55" t="s">
        <v>717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295</v>
      </c>
      <c r="L69" s="55" t="s">
        <v>296</v>
      </c>
      <c r="M69" s="5" t="s">
        <v>24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700</v>
      </c>
      <c r="U69" s="55" t="s">
        <v>537</v>
      </c>
    </row>
    <row r="70" spans="1:21" x14ac:dyDescent="0.35">
      <c r="A70" s="1" t="s">
        <v>718</v>
      </c>
      <c r="B70" s="5" t="s">
        <v>85</v>
      </c>
      <c r="C70" s="1">
        <v>61240462</v>
      </c>
      <c r="D70" s="5" t="s">
        <v>719</v>
      </c>
      <c r="E70" s="1" t="s">
        <v>720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295</v>
      </c>
      <c r="L70" s="6" t="s">
        <v>302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700</v>
      </c>
      <c r="U70" s="6" t="s">
        <v>433</v>
      </c>
    </row>
    <row r="71" spans="1:21" x14ac:dyDescent="0.35">
      <c r="A71" s="1" t="s">
        <v>721</v>
      </c>
      <c r="B71" s="5" t="s">
        <v>30</v>
      </c>
      <c r="C71" s="1">
        <v>62715782</v>
      </c>
      <c r="D71" s="5" t="s">
        <v>722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295</v>
      </c>
      <c r="L71" s="6" t="s">
        <v>296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700</v>
      </c>
      <c r="U71" s="6" t="s">
        <v>537</v>
      </c>
    </row>
    <row r="72" spans="1:21" x14ac:dyDescent="0.35">
      <c r="A72" s="6" t="s">
        <v>545</v>
      </c>
      <c r="B72" s="55" t="s">
        <v>19</v>
      </c>
      <c r="C72" s="55">
        <v>60356605</v>
      </c>
      <c r="D72" s="55" t="s">
        <v>712</v>
      </c>
      <c r="E72" s="55" t="s">
        <v>713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295</v>
      </c>
      <c r="L72" s="55" t="s">
        <v>318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700</v>
      </c>
      <c r="U72" s="55" t="s">
        <v>537</v>
      </c>
    </row>
    <row r="73" spans="1:21" x14ac:dyDescent="0.35">
      <c r="A73" s="6" t="s">
        <v>689</v>
      </c>
      <c r="B73" s="55" t="s">
        <v>43</v>
      </c>
      <c r="C73" s="55">
        <v>62748443</v>
      </c>
      <c r="D73" s="55" t="s">
        <v>20</v>
      </c>
      <c r="E73" s="55" t="s">
        <v>714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295</v>
      </c>
      <c r="L73" s="55" t="s">
        <v>296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700</v>
      </c>
      <c r="U73" s="55" t="s">
        <v>537</v>
      </c>
    </row>
    <row r="74" spans="1:21" x14ac:dyDescent="0.35">
      <c r="A74" s="1" t="s">
        <v>699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295</v>
      </c>
      <c r="L74" s="5" t="s">
        <v>296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700</v>
      </c>
      <c r="U74" s="5" t="s">
        <v>537</v>
      </c>
    </row>
    <row r="75" spans="1:21" x14ac:dyDescent="0.35">
      <c r="A75" s="1" t="s">
        <v>701</v>
      </c>
      <c r="B75" s="5" t="s">
        <v>30</v>
      </c>
      <c r="C75" s="1">
        <v>61702838</v>
      </c>
      <c r="D75" s="5" t="s">
        <v>702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295</v>
      </c>
      <c r="L75" s="5" t="s">
        <v>296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700</v>
      </c>
      <c r="U75" s="5" t="s">
        <v>537</v>
      </c>
    </row>
    <row r="76" spans="1:21" x14ac:dyDescent="0.35">
      <c r="A76" s="6" t="s">
        <v>703</v>
      </c>
      <c r="B76" s="6" t="s">
        <v>19</v>
      </c>
      <c r="C76" s="6">
        <v>62241651</v>
      </c>
      <c r="D76" s="6" t="s">
        <v>35</v>
      </c>
      <c r="E76" s="6" t="s">
        <v>704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295</v>
      </c>
      <c r="L76" s="5" t="s">
        <v>296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700</v>
      </c>
      <c r="U76" s="5" t="s">
        <v>537</v>
      </c>
    </row>
    <row r="77" spans="1:21" x14ac:dyDescent="0.35">
      <c r="A77" s="6" t="s">
        <v>705</v>
      </c>
      <c r="B77" s="55" t="s">
        <v>43</v>
      </c>
      <c r="C77" s="55">
        <v>62544794</v>
      </c>
      <c r="D77" s="55" t="s">
        <v>706</v>
      </c>
      <c r="E77" s="55" t="s">
        <v>707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295</v>
      </c>
      <c r="L77" s="55" t="s">
        <v>296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700</v>
      </c>
      <c r="U77" s="55" t="s">
        <v>537</v>
      </c>
    </row>
    <row r="78" spans="1:21" x14ac:dyDescent="0.35">
      <c r="A78" s="6" t="s">
        <v>708</v>
      </c>
      <c r="B78" s="55" t="s">
        <v>30</v>
      </c>
      <c r="C78" s="55">
        <v>61700587</v>
      </c>
      <c r="D78" s="55" t="s">
        <v>515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295</v>
      </c>
      <c r="L78" s="55" t="s">
        <v>296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700</v>
      </c>
      <c r="U78" s="55" t="s">
        <v>537</v>
      </c>
    </row>
    <row r="79" spans="1:21" x14ac:dyDescent="0.35">
      <c r="A79" s="6" t="s">
        <v>709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295</v>
      </c>
      <c r="L79" s="55" t="s">
        <v>296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700</v>
      </c>
      <c r="U79" s="55" t="s">
        <v>537</v>
      </c>
    </row>
    <row r="80" spans="1:21" x14ac:dyDescent="0.35">
      <c r="A80" s="6" t="s">
        <v>710</v>
      </c>
      <c r="B80" s="55" t="s">
        <v>30</v>
      </c>
      <c r="C80" s="55">
        <v>59480507</v>
      </c>
      <c r="D80" s="55" t="s">
        <v>711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295</v>
      </c>
      <c r="L80" s="55" t="s">
        <v>318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700</v>
      </c>
      <c r="U80" s="55" t="s">
        <v>537</v>
      </c>
    </row>
    <row r="81" spans="1:21" x14ac:dyDescent="0.35">
      <c r="A81" s="6" t="s">
        <v>696</v>
      </c>
      <c r="B81" s="6" t="s">
        <v>19</v>
      </c>
      <c r="C81" s="6">
        <v>60026486</v>
      </c>
      <c r="D81" s="6" t="s">
        <v>122</v>
      </c>
      <c r="E81" s="6" t="s">
        <v>697</v>
      </c>
      <c r="F81" s="6" t="s">
        <v>190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344</v>
      </c>
      <c r="L81" s="5" t="s">
        <v>296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684</v>
      </c>
      <c r="U81" s="6" t="s">
        <v>433</v>
      </c>
    </row>
    <row r="82" spans="1:21" x14ac:dyDescent="0.35">
      <c r="A82" s="6" t="s">
        <v>167</v>
      </c>
      <c r="B82" s="6" t="s">
        <v>19</v>
      </c>
      <c r="C82" s="6">
        <v>57706849</v>
      </c>
      <c r="D82" s="6" t="s">
        <v>35</v>
      </c>
      <c r="E82" s="6" t="s">
        <v>698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295</v>
      </c>
      <c r="L82" s="5" t="s">
        <v>650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684</v>
      </c>
      <c r="U82" s="5" t="s">
        <v>537</v>
      </c>
    </row>
    <row r="83" spans="1:21" x14ac:dyDescent="0.35">
      <c r="A83" s="6" t="s">
        <v>693</v>
      </c>
      <c r="B83" s="55" t="s">
        <v>19</v>
      </c>
      <c r="C83" s="55">
        <v>62852675</v>
      </c>
      <c r="D83" s="55" t="s">
        <v>20</v>
      </c>
      <c r="E83" s="55" t="s">
        <v>694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295</v>
      </c>
      <c r="L83" s="6" t="s">
        <v>296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684</v>
      </c>
      <c r="U83" s="6" t="s">
        <v>537</v>
      </c>
    </row>
    <row r="84" spans="1:21" x14ac:dyDescent="0.35">
      <c r="A84" s="6" t="s">
        <v>689</v>
      </c>
      <c r="B84" s="55" t="s">
        <v>19</v>
      </c>
      <c r="C84" s="55">
        <v>62746621</v>
      </c>
      <c r="D84" s="55" t="s">
        <v>435</v>
      </c>
      <c r="E84" s="55" t="s">
        <v>695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295</v>
      </c>
      <c r="L84" s="6" t="s">
        <v>296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684</v>
      </c>
      <c r="U84" s="6" t="s">
        <v>537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355</v>
      </c>
      <c r="E85" s="6" t="s">
        <v>691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295</v>
      </c>
      <c r="L85" s="5" t="s">
        <v>302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684</v>
      </c>
      <c r="U85" s="5" t="s">
        <v>537</v>
      </c>
    </row>
    <row r="86" spans="1:21" x14ac:dyDescent="0.35">
      <c r="A86" s="1" t="s">
        <v>667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295</v>
      </c>
      <c r="L86" s="5" t="s">
        <v>296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684</v>
      </c>
      <c r="U86" s="5" t="s">
        <v>537</v>
      </c>
    </row>
    <row r="87" spans="1:21" x14ac:dyDescent="0.35">
      <c r="A87" s="1" t="s">
        <v>692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295</v>
      </c>
      <c r="L87" s="5" t="s">
        <v>296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684</v>
      </c>
      <c r="U87" s="5" t="s">
        <v>537</v>
      </c>
    </row>
    <row r="88" spans="1:21" x14ac:dyDescent="0.35">
      <c r="A88" s="1" t="s">
        <v>692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295</v>
      </c>
      <c r="L88" s="5" t="s">
        <v>296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684</v>
      </c>
      <c r="U88" s="5" t="s">
        <v>537</v>
      </c>
    </row>
    <row r="89" spans="1:21" x14ac:dyDescent="0.35">
      <c r="A89" s="6" t="s">
        <v>682</v>
      </c>
      <c r="B89" s="3" t="s">
        <v>19</v>
      </c>
      <c r="C89" s="6">
        <v>61363241</v>
      </c>
      <c r="D89" s="5" t="s">
        <v>49</v>
      </c>
      <c r="E89" s="6" t="s">
        <v>683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295</v>
      </c>
      <c r="L89" s="5" t="s">
        <v>296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684</v>
      </c>
      <c r="U89" s="5" t="s">
        <v>537</v>
      </c>
    </row>
    <row r="90" spans="1:21" x14ac:dyDescent="0.35">
      <c r="A90" s="3" t="s">
        <v>685</v>
      </c>
      <c r="B90" s="3" t="s">
        <v>19</v>
      </c>
      <c r="C90" s="54">
        <v>62840921</v>
      </c>
      <c r="D90" s="5" t="s">
        <v>686</v>
      </c>
      <c r="E90" s="6" t="s">
        <v>687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295</v>
      </c>
      <c r="L90" s="5" t="s">
        <v>296</v>
      </c>
      <c r="M90" s="5" t="s">
        <v>24</v>
      </c>
      <c r="N90" s="5" t="s">
        <v>688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684</v>
      </c>
      <c r="U90" s="6" t="s">
        <v>433</v>
      </c>
    </row>
    <row r="91" spans="1:21" x14ac:dyDescent="0.35">
      <c r="A91" s="14" t="s">
        <v>689</v>
      </c>
      <c r="B91" s="6" t="s">
        <v>19</v>
      </c>
      <c r="C91" s="6">
        <v>62742919</v>
      </c>
      <c r="D91" s="6" t="s">
        <v>20</v>
      </c>
      <c r="E91" s="6" t="s">
        <v>690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295</v>
      </c>
      <c r="L91" s="5" t="s">
        <v>296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684</v>
      </c>
      <c r="U91" s="5" t="s">
        <v>537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669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295</v>
      </c>
      <c r="L92" s="5" t="s">
        <v>318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653</v>
      </c>
      <c r="U92" s="5" t="s">
        <v>537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670</v>
      </c>
      <c r="E93" s="6" t="s">
        <v>671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295</v>
      </c>
      <c r="L93" s="5" t="s">
        <v>302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653</v>
      </c>
      <c r="U93" s="5" t="s">
        <v>537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594</v>
      </c>
      <c r="E94" s="6" t="s">
        <v>672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295</v>
      </c>
      <c r="L94" s="5" t="s">
        <v>302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653</v>
      </c>
      <c r="U94" s="5" t="s">
        <v>537</v>
      </c>
    </row>
    <row r="95" spans="1:21" x14ac:dyDescent="0.35">
      <c r="A95" s="6" t="s">
        <v>673</v>
      </c>
      <c r="B95" s="1" t="s">
        <v>19</v>
      </c>
      <c r="C95" s="6">
        <v>60845648</v>
      </c>
      <c r="D95" s="6" t="s">
        <v>674</v>
      </c>
      <c r="E95" s="6" t="s">
        <v>675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295</v>
      </c>
      <c r="L95" s="5" t="s">
        <v>296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653</v>
      </c>
      <c r="U95" s="6" t="s">
        <v>537</v>
      </c>
    </row>
    <row r="96" spans="1:21" x14ac:dyDescent="0.35">
      <c r="A96" s="6" t="s">
        <v>676</v>
      </c>
      <c r="B96" s="6" t="s">
        <v>19</v>
      </c>
      <c r="C96" s="6">
        <v>61671472</v>
      </c>
      <c r="D96" s="6" t="s">
        <v>479</v>
      </c>
      <c r="E96" s="6" t="s">
        <v>677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295</v>
      </c>
      <c r="L96" s="5" t="s">
        <v>302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653</v>
      </c>
      <c r="U96" s="5" t="s">
        <v>537</v>
      </c>
    </row>
    <row r="97" spans="1:21" ht="22.5" customHeight="1" x14ac:dyDescent="0.35">
      <c r="A97" s="14" t="s">
        <v>593</v>
      </c>
      <c r="B97" s="6" t="s">
        <v>19</v>
      </c>
      <c r="C97" s="1">
        <v>61541433</v>
      </c>
      <c r="D97" s="6" t="s">
        <v>678</v>
      </c>
      <c r="E97" s="6" t="s">
        <v>679</v>
      </c>
      <c r="F97" s="6" t="s">
        <v>190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295</v>
      </c>
      <c r="L97" s="5" t="s">
        <v>296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653</v>
      </c>
      <c r="U97" s="5" t="s">
        <v>537</v>
      </c>
    </row>
    <row r="98" spans="1:21" x14ac:dyDescent="0.35">
      <c r="A98" s="3" t="s">
        <v>680</v>
      </c>
      <c r="B98" s="6" t="s">
        <v>30</v>
      </c>
      <c r="C98" s="3">
        <v>60760104</v>
      </c>
      <c r="D98" s="6" t="s">
        <v>479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295</v>
      </c>
      <c r="L98" s="5" t="s">
        <v>318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653</v>
      </c>
      <c r="U98" s="5" t="s">
        <v>537</v>
      </c>
    </row>
    <row r="99" spans="1:21" x14ac:dyDescent="0.35">
      <c r="A99" s="6" t="s">
        <v>673</v>
      </c>
      <c r="B99" s="3" t="s">
        <v>19</v>
      </c>
      <c r="C99" s="6">
        <v>60845660</v>
      </c>
      <c r="D99" s="6" t="s">
        <v>674</v>
      </c>
      <c r="E99" s="6" t="s">
        <v>681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344</v>
      </c>
      <c r="L99" s="5" t="s">
        <v>296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653</v>
      </c>
      <c r="U99" s="6" t="s">
        <v>537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662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295</v>
      </c>
      <c r="L100" s="5" t="s">
        <v>565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653</v>
      </c>
      <c r="U100" s="5" t="s">
        <v>537</v>
      </c>
    </row>
    <row r="101" spans="1:21" x14ac:dyDescent="0.35">
      <c r="A101" s="6" t="s">
        <v>663</v>
      </c>
      <c r="B101" s="6" t="s">
        <v>19</v>
      </c>
      <c r="C101" s="6">
        <v>61317028</v>
      </c>
      <c r="D101" s="6" t="s">
        <v>35</v>
      </c>
      <c r="E101" s="6" t="s">
        <v>664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295</v>
      </c>
      <c r="L101" s="5" t="s">
        <v>296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653</v>
      </c>
      <c r="U101" s="6" t="s">
        <v>433</v>
      </c>
    </row>
    <row r="102" spans="1:21" x14ac:dyDescent="0.35">
      <c r="A102" s="1" t="s">
        <v>665</v>
      </c>
      <c r="B102" s="1" t="s">
        <v>85</v>
      </c>
      <c r="C102" s="1">
        <v>61239330</v>
      </c>
      <c r="D102" s="6" t="s">
        <v>490</v>
      </c>
      <c r="E102" s="1" t="s">
        <v>666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295</v>
      </c>
      <c r="L102" s="5" t="s">
        <v>296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653</v>
      </c>
      <c r="U102" s="6" t="s">
        <v>433</v>
      </c>
    </row>
    <row r="103" spans="1:21" x14ac:dyDescent="0.35">
      <c r="A103" s="1" t="s">
        <v>667</v>
      </c>
      <c r="B103" s="6" t="s">
        <v>85</v>
      </c>
      <c r="C103" s="1">
        <v>59409078</v>
      </c>
      <c r="D103" s="6" t="s">
        <v>490</v>
      </c>
      <c r="E103" s="1" t="s">
        <v>668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295</v>
      </c>
      <c r="L103" s="5" t="s">
        <v>318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653</v>
      </c>
      <c r="U103" s="6" t="s">
        <v>433</v>
      </c>
    </row>
    <row r="104" spans="1:21" x14ac:dyDescent="0.35">
      <c r="A104" s="14" t="s">
        <v>593</v>
      </c>
      <c r="B104" s="6" t="s">
        <v>19</v>
      </c>
      <c r="C104" s="6">
        <v>61532855</v>
      </c>
      <c r="D104" s="6" t="s">
        <v>331</v>
      </c>
      <c r="E104" s="6" t="s">
        <v>661</v>
      </c>
      <c r="F104" s="6" t="s">
        <v>190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295</v>
      </c>
      <c r="L104" s="5" t="s">
        <v>296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653</v>
      </c>
      <c r="U104" s="5" t="s">
        <v>537</v>
      </c>
    </row>
    <row r="105" spans="1:21" x14ac:dyDescent="0.35">
      <c r="A105" s="6" t="s">
        <v>654</v>
      </c>
      <c r="B105" s="6" t="s">
        <v>19</v>
      </c>
      <c r="C105" s="19">
        <v>61532967</v>
      </c>
      <c r="D105" s="6" t="s">
        <v>49</v>
      </c>
      <c r="E105" s="6" t="s">
        <v>655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295</v>
      </c>
      <c r="L105" s="5" t="s">
        <v>296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653</v>
      </c>
      <c r="U105" s="5" t="s">
        <v>537</v>
      </c>
    </row>
    <row r="106" spans="1:21" x14ac:dyDescent="0.35">
      <c r="A106" s="1" t="s">
        <v>656</v>
      </c>
      <c r="B106" s="6" t="s">
        <v>30</v>
      </c>
      <c r="C106" s="1">
        <v>61918089</v>
      </c>
      <c r="D106" s="6" t="s">
        <v>657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295</v>
      </c>
      <c r="L106" s="5" t="s">
        <v>296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653</v>
      </c>
      <c r="U106" s="5" t="s">
        <v>537</v>
      </c>
    </row>
    <row r="107" spans="1:21" x14ac:dyDescent="0.35">
      <c r="A107" s="1" t="s">
        <v>658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295</v>
      </c>
      <c r="L107" s="5" t="s">
        <v>296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653</v>
      </c>
      <c r="U107" s="5" t="s">
        <v>537</v>
      </c>
    </row>
    <row r="108" spans="1:21" x14ac:dyDescent="0.35">
      <c r="A108" s="1" t="s">
        <v>659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295</v>
      </c>
      <c r="L108" s="5" t="s">
        <v>296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653</v>
      </c>
      <c r="U108" s="5" t="s">
        <v>537</v>
      </c>
    </row>
    <row r="109" spans="1:21" x14ac:dyDescent="0.35">
      <c r="A109" s="1" t="s">
        <v>660</v>
      </c>
      <c r="B109" s="3" t="s">
        <v>30</v>
      </c>
      <c r="C109" s="1">
        <v>61702223</v>
      </c>
      <c r="D109" s="6" t="s">
        <v>479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295</v>
      </c>
      <c r="L109" s="5" t="s">
        <v>296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653</v>
      </c>
      <c r="U109" s="5" t="s">
        <v>537</v>
      </c>
    </row>
    <row r="110" spans="1:21" x14ac:dyDescent="0.35">
      <c r="A110" s="6" t="s">
        <v>651</v>
      </c>
      <c r="B110" s="6" t="s">
        <v>19</v>
      </c>
      <c r="C110" s="6">
        <v>59801109</v>
      </c>
      <c r="D110" s="6" t="s">
        <v>449</v>
      </c>
      <c r="E110" s="6" t="s">
        <v>652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295</v>
      </c>
      <c r="L110" s="5" t="s">
        <v>296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653</v>
      </c>
      <c r="U110" s="5" t="s">
        <v>537</v>
      </c>
    </row>
    <row r="111" spans="1:21" x14ac:dyDescent="0.35">
      <c r="A111" s="6" t="s">
        <v>167</v>
      </c>
      <c r="B111" s="6" t="s">
        <v>43</v>
      </c>
      <c r="C111" s="6">
        <v>60461778</v>
      </c>
      <c r="D111" s="6" t="s">
        <v>594</v>
      </c>
      <c r="E111" s="6" t="s">
        <v>618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295</v>
      </c>
      <c r="L111" s="6" t="s">
        <v>296</v>
      </c>
      <c r="M111" s="6" t="s">
        <v>24</v>
      </c>
      <c r="N111" s="6" t="s">
        <v>191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645</v>
      </c>
      <c r="U111" s="5" t="s">
        <v>433</v>
      </c>
    </row>
    <row r="112" spans="1:21" x14ac:dyDescent="0.35">
      <c r="A112" s="6" t="s">
        <v>617</v>
      </c>
      <c r="B112" s="6" t="s">
        <v>19</v>
      </c>
      <c r="C112" s="6">
        <v>62008380</v>
      </c>
      <c r="D112" s="6" t="s">
        <v>195</v>
      </c>
      <c r="E112" s="6" t="s">
        <v>616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295</v>
      </c>
      <c r="L112" s="6" t="s">
        <v>296</v>
      </c>
      <c r="M112" s="6" t="s">
        <v>24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645</v>
      </c>
      <c r="U112" s="5" t="s">
        <v>537</v>
      </c>
    </row>
    <row r="113" spans="1:21" x14ac:dyDescent="0.35">
      <c r="A113" s="6" t="s">
        <v>428</v>
      </c>
      <c r="B113" s="6" t="s">
        <v>43</v>
      </c>
      <c r="C113" s="6">
        <v>58889872</v>
      </c>
      <c r="D113" s="6" t="s">
        <v>569</v>
      </c>
      <c r="E113" s="6" t="s">
        <v>615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295</v>
      </c>
      <c r="L113" s="6" t="s">
        <v>318</v>
      </c>
      <c r="M113" s="6" t="s">
        <v>24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645</v>
      </c>
      <c r="U113" s="5" t="s">
        <v>537</v>
      </c>
    </row>
    <row r="114" spans="1:21" x14ac:dyDescent="0.35">
      <c r="A114" s="6" t="s">
        <v>167</v>
      </c>
      <c r="B114" s="6" t="s">
        <v>43</v>
      </c>
      <c r="C114" s="6">
        <v>60458135</v>
      </c>
      <c r="D114" s="6" t="s">
        <v>333</v>
      </c>
      <c r="E114" s="6" t="s">
        <v>614</v>
      </c>
      <c r="F114" s="6" t="s">
        <v>498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295</v>
      </c>
      <c r="L114" s="6" t="s">
        <v>296</v>
      </c>
      <c r="M114" s="6" t="s">
        <v>24</v>
      </c>
      <c r="N114" s="6" t="s">
        <v>191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645</v>
      </c>
      <c r="U114" s="5" t="s">
        <v>433</v>
      </c>
    </row>
    <row r="115" spans="1:21" x14ac:dyDescent="0.35">
      <c r="A115" s="6" t="s">
        <v>167</v>
      </c>
      <c r="B115" s="6" t="s">
        <v>43</v>
      </c>
      <c r="C115" s="6">
        <v>60461761</v>
      </c>
      <c r="D115" s="6" t="s">
        <v>594</v>
      </c>
      <c r="E115" s="6" t="s">
        <v>613</v>
      </c>
      <c r="F115" s="6" t="s">
        <v>498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344</v>
      </c>
      <c r="L115" s="6" t="s">
        <v>296</v>
      </c>
      <c r="M115" s="6" t="s">
        <v>24</v>
      </c>
      <c r="N115" s="6" t="s">
        <v>191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645</v>
      </c>
      <c r="U115" s="5" t="s">
        <v>433</v>
      </c>
    </row>
    <row r="116" spans="1:21" x14ac:dyDescent="0.35">
      <c r="A116" s="6" t="s">
        <v>634</v>
      </c>
      <c r="B116" s="6" t="s">
        <v>19</v>
      </c>
      <c r="C116" s="6">
        <v>58649804</v>
      </c>
      <c r="D116" s="6" t="s">
        <v>35</v>
      </c>
      <c r="E116" s="6" t="s">
        <v>647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295</v>
      </c>
      <c r="L116" s="6" t="s">
        <v>650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645</v>
      </c>
      <c r="U116" s="6" t="s">
        <v>537</v>
      </c>
    </row>
    <row r="117" spans="1:21" x14ac:dyDescent="0.35">
      <c r="A117" s="6" t="s">
        <v>648</v>
      </c>
      <c r="B117" s="6" t="s">
        <v>19</v>
      </c>
      <c r="C117" s="6">
        <v>61157877</v>
      </c>
      <c r="D117" s="6" t="s">
        <v>20</v>
      </c>
      <c r="E117" s="6" t="s">
        <v>649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295</v>
      </c>
      <c r="L117" s="6" t="s">
        <v>302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645</v>
      </c>
      <c r="U117" s="6" t="s">
        <v>537</v>
      </c>
    </row>
    <row r="118" spans="1:21" x14ac:dyDescent="0.35">
      <c r="A118" s="6" t="s">
        <v>167</v>
      </c>
      <c r="B118" s="6" t="s">
        <v>43</v>
      </c>
      <c r="C118" s="6">
        <v>58821553</v>
      </c>
      <c r="D118" s="6" t="s">
        <v>49</v>
      </c>
      <c r="E118" s="6" t="s">
        <v>632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295</v>
      </c>
      <c r="L118" s="6" t="s">
        <v>302</v>
      </c>
      <c r="M118" s="6" t="s">
        <v>24</v>
      </c>
      <c r="N118" s="6" t="s">
        <v>191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645</v>
      </c>
      <c r="U118" s="5" t="s">
        <v>433</v>
      </c>
    </row>
    <row r="119" spans="1:21" x14ac:dyDescent="0.35">
      <c r="A119" s="6" t="s">
        <v>167</v>
      </c>
      <c r="B119" s="6" t="s">
        <v>43</v>
      </c>
      <c r="C119" s="6">
        <v>60463210</v>
      </c>
      <c r="D119" s="6" t="s">
        <v>316</v>
      </c>
      <c r="E119" s="6" t="s">
        <v>631</v>
      </c>
      <c r="F119" s="6" t="s">
        <v>498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295</v>
      </c>
      <c r="L119" s="6" t="s">
        <v>296</v>
      </c>
      <c r="M119" s="6" t="s">
        <v>24</v>
      </c>
      <c r="N119" s="6" t="s">
        <v>191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645</v>
      </c>
      <c r="U119" s="5" t="s">
        <v>433</v>
      </c>
    </row>
    <row r="120" spans="1:21" x14ac:dyDescent="0.35">
      <c r="A120" s="6" t="s">
        <v>167</v>
      </c>
      <c r="B120" s="6" t="s">
        <v>43</v>
      </c>
      <c r="C120" s="6">
        <v>60458148</v>
      </c>
      <c r="D120" s="6" t="s">
        <v>333</v>
      </c>
      <c r="E120" s="6" t="s">
        <v>630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295</v>
      </c>
      <c r="L120" s="6" t="s">
        <v>296</v>
      </c>
      <c r="M120" s="6" t="s">
        <v>24</v>
      </c>
      <c r="N120" s="6" t="s">
        <v>191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645</v>
      </c>
      <c r="U120" s="5" t="s">
        <v>433</v>
      </c>
    </row>
    <row r="121" spans="1:21" x14ac:dyDescent="0.35">
      <c r="A121" s="6" t="s">
        <v>167</v>
      </c>
      <c r="B121" s="6" t="s">
        <v>43</v>
      </c>
      <c r="C121" s="6">
        <v>58821537</v>
      </c>
      <c r="D121" s="6" t="s">
        <v>49</v>
      </c>
      <c r="E121" s="6" t="s">
        <v>629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295</v>
      </c>
      <c r="L121" s="6" t="s">
        <v>296</v>
      </c>
      <c r="M121" s="6" t="s">
        <v>24</v>
      </c>
      <c r="N121" s="6" t="s">
        <v>191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645</v>
      </c>
      <c r="U121" s="5" t="s">
        <v>433</v>
      </c>
    </row>
    <row r="122" spans="1:21" x14ac:dyDescent="0.35">
      <c r="A122" s="6" t="s">
        <v>167</v>
      </c>
      <c r="B122" s="6" t="s">
        <v>43</v>
      </c>
      <c r="C122" s="6">
        <v>58822576</v>
      </c>
      <c r="D122" s="6" t="s">
        <v>281</v>
      </c>
      <c r="E122" s="6" t="s">
        <v>628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295</v>
      </c>
      <c r="L122" s="6" t="s">
        <v>296</v>
      </c>
      <c r="M122" s="6" t="s">
        <v>24</v>
      </c>
      <c r="N122" s="6" t="s">
        <v>191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645</v>
      </c>
      <c r="U122" s="5" t="s">
        <v>433</v>
      </c>
    </row>
    <row r="123" spans="1:21" x14ac:dyDescent="0.35">
      <c r="A123" s="6" t="s">
        <v>167</v>
      </c>
      <c r="B123" s="6" t="s">
        <v>43</v>
      </c>
      <c r="C123" s="6">
        <v>58822595</v>
      </c>
      <c r="D123" s="6" t="s">
        <v>281</v>
      </c>
      <c r="E123" s="6" t="s">
        <v>627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295</v>
      </c>
      <c r="L123" s="6" t="s">
        <v>296</v>
      </c>
      <c r="M123" s="6" t="s">
        <v>24</v>
      </c>
      <c r="N123" s="6" t="s">
        <v>191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645</v>
      </c>
      <c r="U123" s="5" t="s">
        <v>433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557</v>
      </c>
      <c r="E124" s="6" t="s">
        <v>626</v>
      </c>
      <c r="F124" s="6" t="s">
        <v>190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295</v>
      </c>
      <c r="L124" s="6" t="s">
        <v>296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645</v>
      </c>
      <c r="U124" s="5" t="s">
        <v>646</v>
      </c>
    </row>
    <row r="125" spans="1:21" x14ac:dyDescent="0.35">
      <c r="A125" s="6" t="s">
        <v>625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295</v>
      </c>
      <c r="L125" s="6" t="s">
        <v>296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645</v>
      </c>
      <c r="U125" s="6" t="s">
        <v>433</v>
      </c>
    </row>
    <row r="126" spans="1:21" x14ac:dyDescent="0.35">
      <c r="A126" s="6" t="s">
        <v>624</v>
      </c>
      <c r="B126" s="6" t="s">
        <v>19</v>
      </c>
      <c r="C126" s="6">
        <v>61565561</v>
      </c>
      <c r="D126" s="6" t="s">
        <v>136</v>
      </c>
      <c r="E126" s="6" t="s">
        <v>623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295</v>
      </c>
      <c r="L126" s="6" t="s">
        <v>296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645</v>
      </c>
      <c r="U126" s="5" t="s">
        <v>537</v>
      </c>
    </row>
    <row r="127" spans="1:21" x14ac:dyDescent="0.35">
      <c r="A127" s="6" t="s">
        <v>622</v>
      </c>
      <c r="B127" s="6" t="s">
        <v>19</v>
      </c>
      <c r="C127" s="6">
        <v>61580430</v>
      </c>
      <c r="D127" s="6" t="s">
        <v>35</v>
      </c>
      <c r="E127" s="6" t="s">
        <v>621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295</v>
      </c>
      <c r="L127" s="6" t="s">
        <v>296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645</v>
      </c>
      <c r="U127" s="5" t="s">
        <v>537</v>
      </c>
    </row>
    <row r="128" spans="1:21" x14ac:dyDescent="0.35">
      <c r="A128" s="6" t="s">
        <v>620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295</v>
      </c>
      <c r="L128" s="6" t="s">
        <v>296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645</v>
      </c>
      <c r="U128" s="6" t="s">
        <v>433</v>
      </c>
    </row>
    <row r="129" spans="1:21" x14ac:dyDescent="0.35">
      <c r="A129" s="6" t="s">
        <v>619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295</v>
      </c>
      <c r="L129" s="6" t="s">
        <v>318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645</v>
      </c>
      <c r="U129" s="6" t="s">
        <v>433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638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295</v>
      </c>
      <c r="L130" s="6" t="s">
        <v>296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645</v>
      </c>
      <c r="U130" s="5" t="s">
        <v>537</v>
      </c>
    </row>
    <row r="131" spans="1:21" x14ac:dyDescent="0.35">
      <c r="A131" s="6" t="s">
        <v>624</v>
      </c>
      <c r="B131" s="6" t="s">
        <v>19</v>
      </c>
      <c r="C131" s="6">
        <v>61509436</v>
      </c>
      <c r="D131" s="6" t="s">
        <v>268</v>
      </c>
      <c r="E131" s="6" t="s">
        <v>637</v>
      </c>
      <c r="F131" s="6" t="s">
        <v>190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295</v>
      </c>
      <c r="L131" s="6" t="s">
        <v>296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645</v>
      </c>
      <c r="U131" s="5" t="s">
        <v>433</v>
      </c>
    </row>
    <row r="132" spans="1:21" s="18" customFormat="1" x14ac:dyDescent="0.35">
      <c r="A132" s="6" t="s">
        <v>624</v>
      </c>
      <c r="B132" s="6" t="s">
        <v>19</v>
      </c>
      <c r="C132" s="6">
        <v>61510116</v>
      </c>
      <c r="D132" s="6" t="s">
        <v>636</v>
      </c>
      <c r="E132" s="6" t="s">
        <v>635</v>
      </c>
      <c r="F132" s="6" t="s">
        <v>190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295</v>
      </c>
      <c r="L132" s="6" t="s">
        <v>296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645</v>
      </c>
      <c r="U132" s="5" t="s">
        <v>433</v>
      </c>
    </row>
    <row r="133" spans="1:21" s="18" customFormat="1" x14ac:dyDescent="0.35">
      <c r="A133" s="6" t="s">
        <v>634</v>
      </c>
      <c r="B133" s="6" t="s">
        <v>19</v>
      </c>
      <c r="C133" s="6">
        <v>58649837</v>
      </c>
      <c r="D133" s="6" t="s">
        <v>35</v>
      </c>
      <c r="E133" s="6" t="s">
        <v>633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295</v>
      </c>
      <c r="L133" s="6" t="s">
        <v>296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645</v>
      </c>
      <c r="U133" s="5" t="s">
        <v>433</v>
      </c>
    </row>
    <row r="134" spans="1:21" x14ac:dyDescent="0.35">
      <c r="A134" s="6" t="s">
        <v>644</v>
      </c>
      <c r="B134" s="6" t="s">
        <v>19</v>
      </c>
      <c r="C134" s="6">
        <v>61622459</v>
      </c>
      <c r="D134" s="6" t="s">
        <v>643</v>
      </c>
      <c r="E134" s="6" t="s">
        <v>642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344</v>
      </c>
      <c r="L134" s="6" t="s">
        <v>296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645</v>
      </c>
      <c r="U134" s="6" t="s">
        <v>433</v>
      </c>
    </row>
    <row r="135" spans="1:21" x14ac:dyDescent="0.35">
      <c r="A135" s="6" t="s">
        <v>641</v>
      </c>
      <c r="B135" s="6" t="s">
        <v>19</v>
      </c>
      <c r="C135" s="6">
        <v>58274609</v>
      </c>
      <c r="D135" s="6" t="s">
        <v>20</v>
      </c>
      <c r="E135" s="6" t="s">
        <v>640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295</v>
      </c>
      <c r="L135" s="6" t="s">
        <v>565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645</v>
      </c>
      <c r="U135" s="5" t="s">
        <v>537</v>
      </c>
    </row>
    <row r="136" spans="1:21" x14ac:dyDescent="0.35">
      <c r="A136" s="6" t="s">
        <v>455</v>
      </c>
      <c r="B136" s="6" t="s">
        <v>19</v>
      </c>
      <c r="C136" s="6">
        <v>61572859</v>
      </c>
      <c r="D136" s="6" t="s">
        <v>20</v>
      </c>
      <c r="E136" s="6" t="s">
        <v>639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295</v>
      </c>
      <c r="L136" s="6" t="s">
        <v>296</v>
      </c>
      <c r="M136" s="5" t="s">
        <v>24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645</v>
      </c>
      <c r="U136" s="5" t="s">
        <v>537</v>
      </c>
    </row>
    <row r="137" spans="1:21" x14ac:dyDescent="0.35">
      <c r="A137" s="1" t="s">
        <v>612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295</v>
      </c>
      <c r="L137" s="5" t="s">
        <v>296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588</v>
      </c>
      <c r="U137" s="6" t="s">
        <v>433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604</v>
      </c>
      <c r="E138" s="6" t="s">
        <v>605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295</v>
      </c>
      <c r="L138" s="5" t="s">
        <v>318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588</v>
      </c>
      <c r="U138" s="5" t="s">
        <v>537</v>
      </c>
    </row>
    <row r="139" spans="1:21" x14ac:dyDescent="0.35">
      <c r="A139" s="14" t="s">
        <v>606</v>
      </c>
      <c r="B139" s="6" t="s">
        <v>19</v>
      </c>
      <c r="C139" s="6">
        <v>55686160</v>
      </c>
      <c r="D139" s="6" t="s">
        <v>122</v>
      </c>
      <c r="E139" s="6" t="s">
        <v>607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295</v>
      </c>
      <c r="L139" s="5" t="s">
        <v>302</v>
      </c>
      <c r="M139" s="5" t="s">
        <v>24</v>
      </c>
      <c r="N139" s="6" t="s">
        <v>254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588</v>
      </c>
      <c r="U139" s="5" t="s">
        <v>537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608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295</v>
      </c>
      <c r="L140" s="5" t="s">
        <v>318</v>
      </c>
      <c r="M140" s="5" t="s">
        <v>24</v>
      </c>
      <c r="N140" s="6" t="s">
        <v>169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588</v>
      </c>
      <c r="U140" s="6" t="s">
        <v>433</v>
      </c>
    </row>
    <row r="141" spans="1:21" x14ac:dyDescent="0.35">
      <c r="A141" s="3" t="s">
        <v>609</v>
      </c>
      <c r="B141" s="3" t="s">
        <v>30</v>
      </c>
      <c r="C141" s="3">
        <v>61183418</v>
      </c>
      <c r="D141" s="5" t="s">
        <v>610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295</v>
      </c>
      <c r="L141" s="5" t="s">
        <v>296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588</v>
      </c>
      <c r="U141" s="5" t="s">
        <v>537</v>
      </c>
    </row>
    <row r="142" spans="1:21" x14ac:dyDescent="0.35">
      <c r="A142" s="1" t="s">
        <v>611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295</v>
      </c>
      <c r="L142" s="5" t="s">
        <v>296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588</v>
      </c>
      <c r="U142" s="5" t="s">
        <v>537</v>
      </c>
    </row>
    <row r="143" spans="1:21" x14ac:dyDescent="0.35">
      <c r="A143" s="1" t="s">
        <v>601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295</v>
      </c>
      <c r="L143" s="5" t="s">
        <v>296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588</v>
      </c>
      <c r="U143" s="5" t="s">
        <v>537</v>
      </c>
    </row>
    <row r="144" spans="1:21" x14ac:dyDescent="0.35">
      <c r="A144" s="6" t="s">
        <v>596</v>
      </c>
      <c r="B144" s="6" t="s">
        <v>19</v>
      </c>
      <c r="C144" s="6">
        <v>61507701</v>
      </c>
      <c r="D144" s="6" t="s">
        <v>355</v>
      </c>
      <c r="E144" s="6" t="s">
        <v>602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295</v>
      </c>
      <c r="L144" s="5" t="s">
        <v>296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588</v>
      </c>
      <c r="U144" s="5" t="s">
        <v>537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603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295</v>
      </c>
      <c r="L145" s="5" t="s">
        <v>296</v>
      </c>
      <c r="M145" s="42" t="s">
        <v>24</v>
      </c>
      <c r="N145" s="6" t="s">
        <v>193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588</v>
      </c>
      <c r="U145" s="5" t="s">
        <v>537</v>
      </c>
    </row>
    <row r="146" spans="1:21" x14ac:dyDescent="0.35">
      <c r="A146" s="6" t="s">
        <v>596</v>
      </c>
      <c r="B146" s="6" t="s">
        <v>19</v>
      </c>
      <c r="C146" s="6">
        <v>61506362</v>
      </c>
      <c r="D146" s="6" t="s">
        <v>597</v>
      </c>
      <c r="E146" s="6" t="s">
        <v>598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295</v>
      </c>
      <c r="L146" s="5" t="s">
        <v>296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588</v>
      </c>
      <c r="U146" s="5" t="s">
        <v>537</v>
      </c>
    </row>
    <row r="147" spans="1:21" x14ac:dyDescent="0.35">
      <c r="A147" s="6" t="s">
        <v>345</v>
      </c>
      <c r="B147" s="6" t="s">
        <v>19</v>
      </c>
      <c r="C147" s="6">
        <v>60399905</v>
      </c>
      <c r="D147" s="6" t="s">
        <v>569</v>
      </c>
      <c r="E147" s="6" t="s">
        <v>599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295</v>
      </c>
      <c r="L147" s="5" t="s">
        <v>296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588</v>
      </c>
      <c r="U147" s="5" t="s">
        <v>537</v>
      </c>
    </row>
    <row r="148" spans="1:21" x14ac:dyDescent="0.35">
      <c r="A148" s="5" t="s">
        <v>535</v>
      </c>
      <c r="B148" s="5" t="s">
        <v>43</v>
      </c>
      <c r="C148" s="6">
        <v>44431296</v>
      </c>
      <c r="D148" s="5" t="s">
        <v>281</v>
      </c>
      <c r="E148" s="6" t="s">
        <v>600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295</v>
      </c>
      <c r="L148" s="5" t="s">
        <v>318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588</v>
      </c>
      <c r="U148" s="5" t="s">
        <v>537</v>
      </c>
    </row>
    <row r="149" spans="1:21" x14ac:dyDescent="0.35">
      <c r="A149" s="6" t="s">
        <v>586</v>
      </c>
      <c r="B149" s="6" t="s">
        <v>19</v>
      </c>
      <c r="C149" s="6">
        <v>60416636</v>
      </c>
      <c r="D149" s="6" t="s">
        <v>281</v>
      </c>
      <c r="E149" s="6" t="s">
        <v>587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295</v>
      </c>
      <c r="L149" s="5" t="s">
        <v>296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588</v>
      </c>
      <c r="U149" s="5" t="s">
        <v>537</v>
      </c>
    </row>
    <row r="150" spans="1:21" x14ac:dyDescent="0.35">
      <c r="A150" s="6" t="s">
        <v>589</v>
      </c>
      <c r="B150" s="6" t="s">
        <v>43</v>
      </c>
      <c r="C150" s="6">
        <v>57849095</v>
      </c>
      <c r="D150" s="6" t="s">
        <v>35</v>
      </c>
      <c r="E150" s="6" t="s">
        <v>590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295</v>
      </c>
      <c r="L150" s="5" t="s">
        <v>296</v>
      </c>
      <c r="M150" s="5" t="s">
        <v>24</v>
      </c>
      <c r="N150" s="6" t="s">
        <v>169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588</v>
      </c>
      <c r="U150" s="6" t="s">
        <v>433</v>
      </c>
    </row>
    <row r="151" spans="1:21" x14ac:dyDescent="0.35">
      <c r="A151" s="6" t="s">
        <v>589</v>
      </c>
      <c r="B151" s="6" t="s">
        <v>43</v>
      </c>
      <c r="C151" s="6">
        <v>57692887</v>
      </c>
      <c r="D151" s="6" t="s">
        <v>591</v>
      </c>
      <c r="E151" s="6" t="s">
        <v>592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295</v>
      </c>
      <c r="L151" s="5" t="s">
        <v>296</v>
      </c>
      <c r="M151" s="5" t="s">
        <v>24</v>
      </c>
      <c r="N151" s="6" t="s">
        <v>169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588</v>
      </c>
      <c r="U151" s="6" t="s">
        <v>433</v>
      </c>
    </row>
    <row r="152" spans="1:21" x14ac:dyDescent="0.35">
      <c r="A152" s="14" t="s">
        <v>593</v>
      </c>
      <c r="B152" s="6" t="s">
        <v>19</v>
      </c>
      <c r="C152" s="6">
        <v>61552809</v>
      </c>
      <c r="D152" s="6" t="s">
        <v>594</v>
      </c>
      <c r="E152" s="6" t="s">
        <v>595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295</v>
      </c>
      <c r="L152" s="5" t="s">
        <v>296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588</v>
      </c>
      <c r="U152" s="5" t="s">
        <v>537</v>
      </c>
    </row>
    <row r="153" spans="1:21" x14ac:dyDescent="0.35">
      <c r="A153" s="6" t="s">
        <v>364</v>
      </c>
      <c r="B153" s="6" t="s">
        <v>43</v>
      </c>
      <c r="C153" s="6">
        <v>54967903</v>
      </c>
      <c r="D153" s="6" t="s">
        <v>195</v>
      </c>
      <c r="E153" s="6" t="s">
        <v>576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295</v>
      </c>
      <c r="L153" s="5" t="s">
        <v>318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566</v>
      </c>
      <c r="U153" s="6" t="s">
        <v>433</v>
      </c>
    </row>
    <row r="154" spans="1:21" x14ac:dyDescent="0.35">
      <c r="A154" s="6" t="s">
        <v>364</v>
      </c>
      <c r="B154" s="6" t="s">
        <v>43</v>
      </c>
      <c r="C154" s="6">
        <v>54970719</v>
      </c>
      <c r="D154" s="6" t="s">
        <v>577</v>
      </c>
      <c r="E154" s="6" t="s">
        <v>578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295</v>
      </c>
      <c r="L154" s="5" t="s">
        <v>296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566</v>
      </c>
      <c r="U154" s="6" t="s">
        <v>433</v>
      </c>
    </row>
    <row r="155" spans="1:21" x14ac:dyDescent="0.35">
      <c r="A155" s="6" t="s">
        <v>364</v>
      </c>
      <c r="B155" s="6" t="s">
        <v>43</v>
      </c>
      <c r="C155" s="6">
        <v>55105103</v>
      </c>
      <c r="D155" s="6" t="s">
        <v>579</v>
      </c>
      <c r="E155" s="6" t="s">
        <v>580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295</v>
      </c>
      <c r="L155" s="5" t="s">
        <v>296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566</v>
      </c>
      <c r="U155" s="6" t="s">
        <v>433</v>
      </c>
    </row>
    <row r="156" spans="1:21" x14ac:dyDescent="0.35">
      <c r="A156" s="6" t="s">
        <v>581</v>
      </c>
      <c r="B156" s="6" t="s">
        <v>19</v>
      </c>
      <c r="C156" s="6">
        <v>58151683</v>
      </c>
      <c r="D156" s="6" t="s">
        <v>99</v>
      </c>
      <c r="E156" s="6" t="s">
        <v>582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295</v>
      </c>
      <c r="L156" s="5" t="s">
        <v>318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566</v>
      </c>
      <c r="U156" s="6" t="s">
        <v>537</v>
      </c>
    </row>
    <row r="157" spans="1:21" x14ac:dyDescent="0.35">
      <c r="A157" s="6" t="s">
        <v>583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295</v>
      </c>
      <c r="L157" s="5" t="s">
        <v>296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566</v>
      </c>
      <c r="U157" s="6" t="s">
        <v>537</v>
      </c>
    </row>
    <row r="158" spans="1:21" x14ac:dyDescent="0.35">
      <c r="A158" s="6" t="s">
        <v>584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295</v>
      </c>
      <c r="L158" s="5" t="s">
        <v>296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566</v>
      </c>
      <c r="U158" s="6" t="s">
        <v>537</v>
      </c>
    </row>
    <row r="159" spans="1:21" x14ac:dyDescent="0.35">
      <c r="A159" s="6" t="s">
        <v>585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295</v>
      </c>
      <c r="L159" s="5" t="s">
        <v>296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566</v>
      </c>
      <c r="U159" s="6" t="s">
        <v>537</v>
      </c>
    </row>
    <row r="160" spans="1:21" x14ac:dyDescent="0.35">
      <c r="A160" s="6" t="s">
        <v>567</v>
      </c>
      <c r="B160" s="6" t="s">
        <v>43</v>
      </c>
      <c r="C160" s="6">
        <v>60410207</v>
      </c>
      <c r="D160" s="6" t="s">
        <v>35</v>
      </c>
      <c r="E160" s="6" t="s">
        <v>568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295</v>
      </c>
      <c r="L160" s="5" t="s">
        <v>296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566</v>
      </c>
      <c r="U160" s="6" t="s">
        <v>537</v>
      </c>
    </row>
    <row r="161" spans="1:21" x14ac:dyDescent="0.35">
      <c r="A161" s="6" t="s">
        <v>428</v>
      </c>
      <c r="B161" s="6" t="s">
        <v>43</v>
      </c>
      <c r="C161" s="6">
        <v>58889883</v>
      </c>
      <c r="D161" s="6" t="s">
        <v>569</v>
      </c>
      <c r="E161" s="6" t="s">
        <v>570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295</v>
      </c>
      <c r="L161" s="5" t="s">
        <v>296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566</v>
      </c>
      <c r="U161" s="6" t="s">
        <v>537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571</v>
      </c>
      <c r="E162" s="6" t="s">
        <v>572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295</v>
      </c>
      <c r="L162" s="5" t="s">
        <v>296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566</v>
      </c>
      <c r="U162" s="6" t="s">
        <v>537</v>
      </c>
    </row>
    <row r="163" spans="1:21" x14ac:dyDescent="0.35">
      <c r="A163" s="6" t="s">
        <v>428</v>
      </c>
      <c r="B163" s="6" t="s">
        <v>43</v>
      </c>
      <c r="C163" s="6">
        <v>58868860</v>
      </c>
      <c r="D163" s="6" t="s">
        <v>136</v>
      </c>
      <c r="E163" s="6" t="s">
        <v>573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295</v>
      </c>
      <c r="L163" s="5" t="s">
        <v>296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566</v>
      </c>
      <c r="U163" s="6" t="s">
        <v>537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355</v>
      </c>
      <c r="E164" s="6" t="s">
        <v>574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344</v>
      </c>
      <c r="L164" s="5" t="s">
        <v>296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566</v>
      </c>
      <c r="U164" s="6" t="s">
        <v>433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355</v>
      </c>
      <c r="E165" s="6" t="s">
        <v>575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295</v>
      </c>
      <c r="L165" s="5" t="s">
        <v>565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566</v>
      </c>
      <c r="U165" s="6" t="s">
        <v>433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557</v>
      </c>
      <c r="E166" s="6" t="s">
        <v>558</v>
      </c>
      <c r="F166" s="6" t="s">
        <v>190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344</v>
      </c>
      <c r="L166" s="6" t="s">
        <v>296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566</v>
      </c>
      <c r="U166" s="5" t="s">
        <v>433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355</v>
      </c>
      <c r="E167" s="6" t="s">
        <v>559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295</v>
      </c>
      <c r="L167" s="6" t="s">
        <v>565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566</v>
      </c>
      <c r="U167" s="5" t="s">
        <v>433</v>
      </c>
    </row>
    <row r="168" spans="1:21" x14ac:dyDescent="0.35">
      <c r="A168" s="6" t="s">
        <v>560</v>
      </c>
      <c r="B168" s="6" t="s">
        <v>85</v>
      </c>
      <c r="C168" s="6">
        <v>49471604</v>
      </c>
      <c r="D168" s="6" t="s">
        <v>156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344</v>
      </c>
      <c r="L168" s="6" t="s">
        <v>318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566</v>
      </c>
      <c r="U168" s="5" t="s">
        <v>537</v>
      </c>
    </row>
    <row r="169" spans="1:21" x14ac:dyDescent="0.35">
      <c r="A169" s="6" t="s">
        <v>561</v>
      </c>
      <c r="B169" s="6" t="s">
        <v>85</v>
      </c>
      <c r="C169" s="6">
        <v>58642079</v>
      </c>
      <c r="D169" s="6" t="s">
        <v>562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295</v>
      </c>
      <c r="L169" s="6" t="s">
        <v>565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566</v>
      </c>
      <c r="U169" s="5" t="s">
        <v>537</v>
      </c>
    </row>
    <row r="170" spans="1:21" x14ac:dyDescent="0.35">
      <c r="A170" s="6" t="s">
        <v>563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295</v>
      </c>
      <c r="L170" s="6" t="s">
        <v>296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566</v>
      </c>
      <c r="U170" s="5" t="s">
        <v>537</v>
      </c>
    </row>
    <row r="171" spans="1:21" x14ac:dyDescent="0.35">
      <c r="A171" s="6" t="s">
        <v>563</v>
      </c>
      <c r="B171" s="6" t="s">
        <v>30</v>
      </c>
      <c r="C171" s="6">
        <v>60611946</v>
      </c>
      <c r="D171" s="6" t="s">
        <v>564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295</v>
      </c>
      <c r="L171" s="6" t="s">
        <v>296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566</v>
      </c>
      <c r="U171" s="5" t="s">
        <v>537</v>
      </c>
    </row>
    <row r="172" spans="1:21" x14ac:dyDescent="0.35">
      <c r="A172" s="6" t="s">
        <v>527</v>
      </c>
      <c r="B172" s="6" t="s">
        <v>19</v>
      </c>
      <c r="C172" s="6" t="s">
        <v>550</v>
      </c>
      <c r="D172" s="6" t="s">
        <v>20</v>
      </c>
      <c r="E172" s="6" t="s">
        <v>551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295</v>
      </c>
      <c r="L172" s="6" t="s">
        <v>318</v>
      </c>
      <c r="M172" s="6" t="s">
        <v>47</v>
      </c>
      <c r="N172" s="6" t="s">
        <v>191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566</v>
      </c>
      <c r="U172" s="5" t="s">
        <v>537</v>
      </c>
    </row>
    <row r="173" spans="1:21" x14ac:dyDescent="0.35">
      <c r="A173" s="6" t="s">
        <v>552</v>
      </c>
      <c r="B173" s="6" t="s">
        <v>43</v>
      </c>
      <c r="C173" s="6">
        <v>57899728</v>
      </c>
      <c r="D173" s="6" t="s">
        <v>67</v>
      </c>
      <c r="E173" s="6" t="s">
        <v>553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295</v>
      </c>
      <c r="L173" s="6" t="s">
        <v>296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566</v>
      </c>
      <c r="U173" s="5" t="s">
        <v>537</v>
      </c>
    </row>
    <row r="174" spans="1:21" x14ac:dyDescent="0.35">
      <c r="A174" s="6" t="s">
        <v>455</v>
      </c>
      <c r="B174" s="6" t="s">
        <v>19</v>
      </c>
      <c r="C174" s="6">
        <v>60573620</v>
      </c>
      <c r="D174" s="6" t="s">
        <v>195</v>
      </c>
      <c r="E174" s="6" t="s">
        <v>554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295</v>
      </c>
      <c r="L174" s="6" t="s">
        <v>296</v>
      </c>
      <c r="M174" s="6" t="s">
        <v>24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566</v>
      </c>
      <c r="U174" s="5" t="s">
        <v>537</v>
      </c>
    </row>
    <row r="175" spans="1:21" x14ac:dyDescent="0.35">
      <c r="A175" s="6" t="s">
        <v>555</v>
      </c>
      <c r="B175" s="6" t="s">
        <v>19</v>
      </c>
      <c r="C175" s="6">
        <v>54973689</v>
      </c>
      <c r="D175" s="6" t="s">
        <v>87</v>
      </c>
      <c r="E175" s="6" t="s">
        <v>556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295</v>
      </c>
      <c r="L175" s="6" t="s">
        <v>318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566</v>
      </c>
      <c r="U175" s="5" t="s">
        <v>537</v>
      </c>
    </row>
    <row r="176" spans="1:21" x14ac:dyDescent="0.35">
      <c r="A176" s="6" t="s">
        <v>539</v>
      </c>
      <c r="B176" s="6" t="s">
        <v>43</v>
      </c>
      <c r="C176" s="6">
        <v>48847621</v>
      </c>
      <c r="D176" s="6" t="s">
        <v>540</v>
      </c>
      <c r="E176" s="6" t="s">
        <v>541</v>
      </c>
      <c r="F176" s="6" t="s">
        <v>190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295</v>
      </c>
      <c r="L176" s="6" t="s">
        <v>318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538</v>
      </c>
      <c r="U176" s="6" t="s">
        <v>433</v>
      </c>
    </row>
    <row r="177" spans="1:21" x14ac:dyDescent="0.35">
      <c r="A177" s="6" t="s">
        <v>542</v>
      </c>
      <c r="B177" s="6" t="s">
        <v>43</v>
      </c>
      <c r="C177" s="6">
        <v>54178346</v>
      </c>
      <c r="D177" s="6" t="s">
        <v>543</v>
      </c>
      <c r="E177" s="6" t="s">
        <v>544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295</v>
      </c>
      <c r="L177" s="6" t="s">
        <v>318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538</v>
      </c>
      <c r="U177" s="6" t="s">
        <v>433</v>
      </c>
    </row>
    <row r="178" spans="1:21" x14ac:dyDescent="0.35">
      <c r="A178" s="6" t="s">
        <v>545</v>
      </c>
      <c r="B178" s="6" t="s">
        <v>19</v>
      </c>
      <c r="C178" s="6">
        <v>60358121</v>
      </c>
      <c r="D178" s="6" t="s">
        <v>49</v>
      </c>
      <c r="E178" s="6" t="s">
        <v>546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295</v>
      </c>
      <c r="L178" s="6" t="s">
        <v>296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538</v>
      </c>
      <c r="U178" s="6" t="s">
        <v>537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547</v>
      </c>
      <c r="E179" s="6" t="s">
        <v>548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295</v>
      </c>
      <c r="L179" s="6" t="s">
        <v>318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538</v>
      </c>
      <c r="U179" s="6" t="s">
        <v>537</v>
      </c>
    </row>
    <row r="180" spans="1:21" x14ac:dyDescent="0.35">
      <c r="A180" s="6" t="s">
        <v>549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295</v>
      </c>
      <c r="L180" s="6" t="s">
        <v>318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538</v>
      </c>
      <c r="U180" s="6" t="s">
        <v>537</v>
      </c>
    </row>
    <row r="181" spans="1:21" x14ac:dyDescent="0.35">
      <c r="A181" s="6" t="s">
        <v>533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295</v>
      </c>
      <c r="L181" s="6" t="s">
        <v>296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538</v>
      </c>
      <c r="U181" s="6" t="s">
        <v>537</v>
      </c>
    </row>
    <row r="182" spans="1:21" x14ac:dyDescent="0.35">
      <c r="A182" s="6" t="s">
        <v>534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295</v>
      </c>
      <c r="L182" s="6" t="s">
        <v>296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538</v>
      </c>
      <c r="U182" s="6" t="s">
        <v>537</v>
      </c>
    </row>
    <row r="183" spans="1:21" x14ac:dyDescent="0.35">
      <c r="A183" s="6" t="s">
        <v>535</v>
      </c>
      <c r="B183" s="6" t="s">
        <v>43</v>
      </c>
      <c r="C183" s="6">
        <v>48618333</v>
      </c>
      <c r="D183" s="6" t="s">
        <v>268</v>
      </c>
      <c r="E183" s="6" t="s">
        <v>536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295</v>
      </c>
      <c r="L183" s="6" t="s">
        <v>296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538</v>
      </c>
      <c r="U183" s="6" t="s">
        <v>537</v>
      </c>
    </row>
    <row r="184" spans="1:21" x14ac:dyDescent="0.35">
      <c r="A184" s="6" t="s">
        <v>526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295</v>
      </c>
      <c r="L184" s="6" t="s">
        <v>296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538</v>
      </c>
      <c r="U184" s="5" t="s">
        <v>537</v>
      </c>
    </row>
    <row r="185" spans="1:21" x14ac:dyDescent="0.35">
      <c r="A185" s="6" t="s">
        <v>527</v>
      </c>
      <c r="B185" s="6" t="s">
        <v>19</v>
      </c>
      <c r="C185" s="6">
        <v>47658350</v>
      </c>
      <c r="D185" s="6" t="s">
        <v>44</v>
      </c>
      <c r="E185" s="6" t="s">
        <v>528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295</v>
      </c>
      <c r="L185" s="6" t="s">
        <v>296</v>
      </c>
      <c r="M185" s="6" t="s">
        <v>47</v>
      </c>
      <c r="N185" s="6" t="s">
        <v>191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538</v>
      </c>
      <c r="U185" s="5" t="s">
        <v>537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529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295</v>
      </c>
      <c r="L186" s="6" t="s">
        <v>296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538</v>
      </c>
      <c r="U186" s="5" t="s">
        <v>537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530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295</v>
      </c>
      <c r="L187" s="6" t="s">
        <v>296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538</v>
      </c>
      <c r="U187" s="5" t="s">
        <v>537</v>
      </c>
    </row>
    <row r="188" spans="1:21" x14ac:dyDescent="0.35">
      <c r="A188" s="6" t="s">
        <v>458</v>
      </c>
      <c r="B188" s="6" t="s">
        <v>43</v>
      </c>
      <c r="C188" s="6">
        <v>59301554</v>
      </c>
      <c r="D188" s="6" t="s">
        <v>531</v>
      </c>
      <c r="E188" s="6" t="s">
        <v>532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295</v>
      </c>
      <c r="L188" s="6" t="s">
        <v>296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538</v>
      </c>
      <c r="U188" s="5" t="s">
        <v>537</v>
      </c>
    </row>
    <row r="189" spans="1:21" x14ac:dyDescent="0.35">
      <c r="A189" s="6" t="s">
        <v>524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295</v>
      </c>
      <c r="L189" s="6" t="s">
        <v>296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538</v>
      </c>
      <c r="U189" s="5" t="s">
        <v>537</v>
      </c>
    </row>
    <row r="190" spans="1:21" x14ac:dyDescent="0.35">
      <c r="A190" s="6" t="s">
        <v>448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295</v>
      </c>
      <c r="L190" s="6" t="s">
        <v>296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538</v>
      </c>
      <c r="U190" s="5" t="s">
        <v>537</v>
      </c>
    </row>
    <row r="191" spans="1:21" x14ac:dyDescent="0.35">
      <c r="A191" s="6" t="s">
        <v>521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295</v>
      </c>
      <c r="L191" s="6" t="s">
        <v>296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538</v>
      </c>
      <c r="U191" s="5" t="s">
        <v>537</v>
      </c>
    </row>
    <row r="192" spans="1:21" x14ac:dyDescent="0.35">
      <c r="A192" s="6" t="s">
        <v>525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295</v>
      </c>
      <c r="L192" s="6" t="s">
        <v>296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538</v>
      </c>
      <c r="U192" s="5" t="s">
        <v>537</v>
      </c>
    </row>
    <row r="193" spans="1:21" x14ac:dyDescent="0.35">
      <c r="A193" s="6" t="s">
        <v>521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295</v>
      </c>
      <c r="L193" s="6" t="s">
        <v>296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538</v>
      </c>
      <c r="U193" s="5" t="s">
        <v>537</v>
      </c>
    </row>
    <row r="194" spans="1:21" x14ac:dyDescent="0.35">
      <c r="A194" s="6" t="s">
        <v>519</v>
      </c>
      <c r="B194" s="6" t="s">
        <v>43</v>
      </c>
      <c r="C194" s="6">
        <v>51053195</v>
      </c>
      <c r="D194" s="6" t="s">
        <v>150</v>
      </c>
      <c r="E194" s="6" t="s">
        <v>520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295</v>
      </c>
      <c r="L194" s="6" t="s">
        <v>296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504</v>
      </c>
      <c r="U194" s="5" t="s">
        <v>537</v>
      </c>
    </row>
    <row r="195" spans="1:21" x14ac:dyDescent="0.35">
      <c r="A195" s="6" t="s">
        <v>521</v>
      </c>
      <c r="B195" s="6" t="s">
        <v>43</v>
      </c>
      <c r="C195" s="6">
        <v>47878019</v>
      </c>
      <c r="D195" s="6" t="s">
        <v>165</v>
      </c>
      <c r="E195" s="6" t="s">
        <v>522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295</v>
      </c>
      <c r="L195" s="6" t="s">
        <v>296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504</v>
      </c>
      <c r="U195" s="5" t="s">
        <v>537</v>
      </c>
    </row>
    <row r="196" spans="1:21" x14ac:dyDescent="0.35">
      <c r="A196" s="6" t="s">
        <v>521</v>
      </c>
      <c r="B196" s="6" t="s">
        <v>43</v>
      </c>
      <c r="C196" s="6">
        <v>47653333</v>
      </c>
      <c r="D196" s="6" t="s">
        <v>44</v>
      </c>
      <c r="E196" s="6" t="s">
        <v>523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295</v>
      </c>
      <c r="L196" s="6" t="s">
        <v>296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504</v>
      </c>
      <c r="U196" s="5" t="s">
        <v>537</v>
      </c>
    </row>
    <row r="197" spans="1:21" x14ac:dyDescent="0.35">
      <c r="A197" s="6" t="s">
        <v>514</v>
      </c>
      <c r="B197" s="6" t="s">
        <v>43</v>
      </c>
      <c r="C197" s="6">
        <v>59278285</v>
      </c>
      <c r="D197" s="6" t="s">
        <v>515</v>
      </c>
      <c r="E197" s="6" t="s">
        <v>516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295</v>
      </c>
      <c r="L197" s="5" t="s">
        <v>296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504</v>
      </c>
      <c r="U197" s="5" t="s">
        <v>432</v>
      </c>
    </row>
    <row r="198" spans="1:21" x14ac:dyDescent="0.35">
      <c r="A198" s="6" t="s">
        <v>514</v>
      </c>
      <c r="B198" s="6" t="s">
        <v>43</v>
      </c>
      <c r="C198" s="6">
        <v>59278925</v>
      </c>
      <c r="D198" s="6" t="s">
        <v>67</v>
      </c>
      <c r="E198" s="6" t="s">
        <v>517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295</v>
      </c>
      <c r="L198" s="5" t="s">
        <v>296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504</v>
      </c>
      <c r="U198" s="5" t="s">
        <v>432</v>
      </c>
    </row>
    <row r="199" spans="1:21" x14ac:dyDescent="0.35">
      <c r="A199" s="6" t="s">
        <v>458</v>
      </c>
      <c r="B199" s="6" t="s">
        <v>43</v>
      </c>
      <c r="C199" s="1">
        <v>59300338</v>
      </c>
      <c r="D199" s="6" t="s">
        <v>49</v>
      </c>
      <c r="E199" s="6" t="s">
        <v>518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295</v>
      </c>
      <c r="L199" s="5" t="s">
        <v>296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504</v>
      </c>
      <c r="U199" s="5" t="s">
        <v>432</v>
      </c>
    </row>
    <row r="200" spans="1:21" x14ac:dyDescent="0.35">
      <c r="A200" s="6" t="s">
        <v>502</v>
      </c>
      <c r="B200" s="5" t="s">
        <v>43</v>
      </c>
      <c r="C200" s="6">
        <v>60423011</v>
      </c>
      <c r="D200" s="5" t="s">
        <v>144</v>
      </c>
      <c r="E200" s="6" t="s">
        <v>503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295</v>
      </c>
      <c r="L200" s="5" t="s">
        <v>296</v>
      </c>
      <c r="M200" s="6" t="s">
        <v>24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504</v>
      </c>
      <c r="U200" s="5" t="s">
        <v>432</v>
      </c>
    </row>
    <row r="201" spans="1:21" x14ac:dyDescent="0.35">
      <c r="A201" s="6" t="s">
        <v>502</v>
      </c>
      <c r="B201" s="5" t="s">
        <v>19</v>
      </c>
      <c r="C201" s="6">
        <v>60422373</v>
      </c>
      <c r="D201" s="5" t="s">
        <v>144</v>
      </c>
      <c r="E201" s="6" t="s">
        <v>505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295</v>
      </c>
      <c r="L201" s="5" t="s">
        <v>296</v>
      </c>
      <c r="M201" s="6" t="s">
        <v>24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504</v>
      </c>
      <c r="U201" s="5" t="s">
        <v>432</v>
      </c>
    </row>
    <row r="202" spans="1:21" x14ac:dyDescent="0.35">
      <c r="A202" s="6" t="s">
        <v>506</v>
      </c>
      <c r="B202" s="6" t="s">
        <v>19</v>
      </c>
      <c r="C202" s="6">
        <v>58144220</v>
      </c>
      <c r="D202" s="6" t="s">
        <v>20</v>
      </c>
      <c r="E202" s="6" t="s">
        <v>507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295</v>
      </c>
      <c r="L202" s="5" t="s">
        <v>296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504</v>
      </c>
      <c r="U202" s="5" t="s">
        <v>432</v>
      </c>
    </row>
    <row r="203" spans="1:21" x14ac:dyDescent="0.35">
      <c r="A203" s="6" t="s">
        <v>508</v>
      </c>
      <c r="B203" s="6" t="s">
        <v>43</v>
      </c>
      <c r="C203" s="6">
        <v>58808846</v>
      </c>
      <c r="D203" s="6" t="s">
        <v>99</v>
      </c>
      <c r="E203" s="6" t="s">
        <v>509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295</v>
      </c>
      <c r="L203" s="5" t="s">
        <v>296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504</v>
      </c>
      <c r="U203" s="5" t="s">
        <v>432</v>
      </c>
    </row>
    <row r="204" spans="1:21" x14ac:dyDescent="0.35">
      <c r="A204" s="6" t="s">
        <v>510</v>
      </c>
      <c r="B204" s="5" t="s">
        <v>19</v>
      </c>
      <c r="C204" s="6">
        <v>59821965</v>
      </c>
      <c r="D204" s="5" t="s">
        <v>35</v>
      </c>
      <c r="E204" s="6" t="s">
        <v>511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295</v>
      </c>
      <c r="L204" s="5" t="s">
        <v>296</v>
      </c>
      <c r="M204" s="5" t="s">
        <v>24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504</v>
      </c>
      <c r="U204" s="5" t="s">
        <v>432</v>
      </c>
    </row>
    <row r="205" spans="1:21" x14ac:dyDescent="0.35">
      <c r="A205" s="6" t="s">
        <v>512</v>
      </c>
      <c r="B205" s="6" t="s">
        <v>19</v>
      </c>
      <c r="C205" s="6">
        <v>59894758</v>
      </c>
      <c r="D205" s="6" t="s">
        <v>20</v>
      </c>
      <c r="E205" s="6" t="s">
        <v>513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295</v>
      </c>
      <c r="L205" s="5" t="s">
        <v>296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504</v>
      </c>
      <c r="U205" s="5" t="s">
        <v>432</v>
      </c>
    </row>
    <row r="206" spans="1:21" x14ac:dyDescent="0.35">
      <c r="A206" s="1" t="s">
        <v>484</v>
      </c>
      <c r="B206" s="5" t="s">
        <v>43</v>
      </c>
      <c r="C206" s="1">
        <v>59889656</v>
      </c>
      <c r="D206" s="5" t="s">
        <v>485</v>
      </c>
      <c r="E206" s="1" t="s">
        <v>486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295</v>
      </c>
      <c r="L206" s="5" t="s">
        <v>296</v>
      </c>
      <c r="M206" s="5" t="s">
        <v>24</v>
      </c>
      <c r="N206" s="5" t="s">
        <v>487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476</v>
      </c>
      <c r="U206" s="5" t="s">
        <v>432</v>
      </c>
    </row>
    <row r="207" spans="1:21" x14ac:dyDescent="0.35">
      <c r="A207" s="1" t="s">
        <v>488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295</v>
      </c>
      <c r="L207" s="5" t="s">
        <v>296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476</v>
      </c>
      <c r="U207" s="5" t="s">
        <v>432</v>
      </c>
    </row>
    <row r="208" spans="1:21" x14ac:dyDescent="0.35">
      <c r="A208" s="1" t="s">
        <v>489</v>
      </c>
      <c r="B208" s="1" t="s">
        <v>85</v>
      </c>
      <c r="C208" s="1">
        <v>58407509</v>
      </c>
      <c r="D208" s="5" t="s">
        <v>490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295</v>
      </c>
      <c r="L208" s="5" t="s">
        <v>296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476</v>
      </c>
      <c r="U208" s="5" t="s">
        <v>432</v>
      </c>
    </row>
    <row r="209" spans="1:21" x14ac:dyDescent="0.35">
      <c r="A209" s="3" t="s">
        <v>491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295</v>
      </c>
      <c r="L209" s="5" t="s">
        <v>318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476</v>
      </c>
      <c r="U209" s="5" t="s">
        <v>432</v>
      </c>
    </row>
    <row r="210" spans="1:21" x14ac:dyDescent="0.35">
      <c r="A210" s="3" t="s">
        <v>492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295</v>
      </c>
      <c r="L210" s="5" t="s">
        <v>296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476</v>
      </c>
      <c r="U210" s="5" t="s">
        <v>432</v>
      </c>
    </row>
    <row r="211" spans="1:21" x14ac:dyDescent="0.35">
      <c r="A211" s="3" t="s">
        <v>493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295</v>
      </c>
      <c r="L211" s="5" t="s">
        <v>296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476</v>
      </c>
      <c r="U211" s="5" t="s">
        <v>432</v>
      </c>
    </row>
    <row r="212" spans="1:21" x14ac:dyDescent="0.35">
      <c r="A212" s="3" t="s">
        <v>494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295</v>
      </c>
      <c r="L212" s="5" t="s">
        <v>296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476</v>
      </c>
      <c r="U212" s="5" t="s">
        <v>432</v>
      </c>
    </row>
    <row r="213" spans="1:21" x14ac:dyDescent="0.35">
      <c r="A213" s="1" t="s">
        <v>495</v>
      </c>
      <c r="B213" s="1" t="s">
        <v>43</v>
      </c>
      <c r="C213" s="1" t="s">
        <v>496</v>
      </c>
      <c r="D213" s="1" t="s">
        <v>67</v>
      </c>
      <c r="E213" s="1" t="s">
        <v>497</v>
      </c>
      <c r="F213" s="1" t="s">
        <v>498</v>
      </c>
      <c r="G213" s="1" t="s">
        <v>499</v>
      </c>
      <c r="H213" s="39">
        <v>46098</v>
      </c>
      <c r="I213" s="39">
        <v>46107</v>
      </c>
      <c r="J213" s="16">
        <f t="shared" si="10"/>
        <v>8</v>
      </c>
      <c r="K213" s="1" t="s">
        <v>295</v>
      </c>
      <c r="L213" s="1" t="s">
        <v>296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476</v>
      </c>
      <c r="U213" s="5" t="s">
        <v>432</v>
      </c>
    </row>
    <row r="214" spans="1:21" x14ac:dyDescent="0.35">
      <c r="A214" s="1" t="s">
        <v>500</v>
      </c>
      <c r="B214" s="1" t="s">
        <v>19</v>
      </c>
      <c r="C214" s="1">
        <v>57773018</v>
      </c>
      <c r="D214" s="1" t="s">
        <v>281</v>
      </c>
      <c r="E214" s="1" t="s">
        <v>501</v>
      </c>
      <c r="F214" s="1" t="s">
        <v>190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295</v>
      </c>
      <c r="L214" s="1" t="s">
        <v>296</v>
      </c>
      <c r="M214" s="1" t="s">
        <v>24</v>
      </c>
      <c r="N214" s="1" t="s">
        <v>169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476</v>
      </c>
      <c r="U214" s="5" t="s">
        <v>432</v>
      </c>
    </row>
    <row r="215" spans="1:21" x14ac:dyDescent="0.35">
      <c r="A215" s="6" t="s">
        <v>481</v>
      </c>
      <c r="B215" s="5" t="s">
        <v>43</v>
      </c>
      <c r="C215" s="6">
        <v>56800015</v>
      </c>
      <c r="D215" s="5" t="s">
        <v>482</v>
      </c>
      <c r="E215" s="6" t="s">
        <v>483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295</v>
      </c>
      <c r="L215" s="5" t="s">
        <v>318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476</v>
      </c>
      <c r="U215" s="5" t="s">
        <v>433</v>
      </c>
    </row>
    <row r="216" spans="1:21" x14ac:dyDescent="0.35">
      <c r="A216" s="6" t="s">
        <v>474</v>
      </c>
      <c r="B216" s="6" t="s">
        <v>43</v>
      </c>
      <c r="C216" s="6">
        <v>58897521</v>
      </c>
      <c r="D216" s="6" t="s">
        <v>170</v>
      </c>
      <c r="E216" s="6" t="s">
        <v>475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295</v>
      </c>
      <c r="L216" s="5" t="s">
        <v>296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476</v>
      </c>
      <c r="U216" s="5" t="s">
        <v>432</v>
      </c>
    </row>
    <row r="217" spans="1:21" s="36" customFormat="1" ht="12" x14ac:dyDescent="0.3">
      <c r="A217" s="6" t="s">
        <v>167</v>
      </c>
      <c r="B217" s="6" t="s">
        <v>43</v>
      </c>
      <c r="C217" s="6">
        <v>58824101</v>
      </c>
      <c r="D217" s="6" t="s">
        <v>316</v>
      </c>
      <c r="E217" s="6" t="s">
        <v>477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295</v>
      </c>
      <c r="L217" s="5" t="s">
        <v>296</v>
      </c>
      <c r="M217" s="5" t="s">
        <v>24</v>
      </c>
      <c r="N217" s="6" t="s">
        <v>191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476</v>
      </c>
      <c r="U217" s="5" t="s">
        <v>433</v>
      </c>
    </row>
    <row r="218" spans="1:21" s="36" customFormat="1" ht="12" x14ac:dyDescent="0.3">
      <c r="A218" s="6" t="s">
        <v>478</v>
      </c>
      <c r="B218" s="6" t="s">
        <v>19</v>
      </c>
      <c r="C218" s="6">
        <v>59248227</v>
      </c>
      <c r="D218" s="6" t="s">
        <v>479</v>
      </c>
      <c r="E218" s="6" t="s">
        <v>480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295</v>
      </c>
      <c r="L218" s="5" t="s">
        <v>296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476</v>
      </c>
      <c r="U218" s="5" t="s">
        <v>432</v>
      </c>
    </row>
    <row r="219" spans="1:21" s="36" customFormat="1" ht="12" x14ac:dyDescent="0.3">
      <c r="A219" s="6" t="s">
        <v>458</v>
      </c>
      <c r="B219" s="6" t="s">
        <v>43</v>
      </c>
      <c r="C219" s="6">
        <v>58809268</v>
      </c>
      <c r="D219" s="6" t="s">
        <v>49</v>
      </c>
      <c r="E219" s="6" t="s">
        <v>467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295</v>
      </c>
      <c r="L219" s="5" t="s">
        <v>296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457</v>
      </c>
      <c r="U219" s="5" t="s">
        <v>432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468</v>
      </c>
      <c r="E220" s="6" t="s">
        <v>469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295</v>
      </c>
      <c r="L220" s="5" t="s">
        <v>318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457</v>
      </c>
      <c r="U220" s="5" t="s">
        <v>432</v>
      </c>
    </row>
    <row r="221" spans="1:21" s="36" customFormat="1" ht="12" x14ac:dyDescent="0.3">
      <c r="A221" s="6" t="s">
        <v>470</v>
      </c>
      <c r="B221" s="6" t="s">
        <v>19</v>
      </c>
      <c r="C221" s="6">
        <v>59027644</v>
      </c>
      <c r="D221" s="6" t="s">
        <v>55</v>
      </c>
      <c r="E221" s="6" t="s">
        <v>471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295</v>
      </c>
      <c r="L221" s="5" t="s">
        <v>296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457</v>
      </c>
      <c r="U221" s="5" t="s">
        <v>432</v>
      </c>
    </row>
    <row r="222" spans="1:21" s="36" customFormat="1" ht="12" x14ac:dyDescent="0.3">
      <c r="A222" s="1" t="s">
        <v>472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295</v>
      </c>
      <c r="L222" s="5" t="s">
        <v>296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457</v>
      </c>
      <c r="U222" s="5" t="s">
        <v>432</v>
      </c>
    </row>
    <row r="223" spans="1:21" s="36" customFormat="1" ht="12" x14ac:dyDescent="0.3">
      <c r="A223" s="1" t="s">
        <v>473</v>
      </c>
      <c r="B223" s="5" t="s">
        <v>30</v>
      </c>
      <c r="C223" s="1">
        <v>60063122</v>
      </c>
      <c r="D223" s="5" t="s">
        <v>449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295</v>
      </c>
      <c r="L223" s="5" t="s">
        <v>296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457</v>
      </c>
      <c r="U223" s="5" t="s">
        <v>432</v>
      </c>
    </row>
    <row r="224" spans="1:21" s="36" customFormat="1" ht="12" x14ac:dyDescent="0.3">
      <c r="A224" s="1" t="s">
        <v>263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295</v>
      </c>
      <c r="L224" s="5" t="s">
        <v>302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457</v>
      </c>
      <c r="U224" s="5" t="s">
        <v>432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464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295</v>
      </c>
      <c r="L225" s="5" t="s">
        <v>302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457</v>
      </c>
      <c r="U225" s="5" t="s">
        <v>432</v>
      </c>
    </row>
    <row r="226" spans="1:21" s="36" customFormat="1" ht="12" x14ac:dyDescent="0.3">
      <c r="A226" s="6" t="s">
        <v>465</v>
      </c>
      <c r="B226" s="6" t="s">
        <v>19</v>
      </c>
      <c r="C226" s="1">
        <v>57771694</v>
      </c>
      <c r="D226" s="6" t="s">
        <v>195</v>
      </c>
      <c r="E226" s="6" t="s">
        <v>466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295</v>
      </c>
      <c r="L226" s="5" t="s">
        <v>318</v>
      </c>
      <c r="M226" s="5" t="s">
        <v>24</v>
      </c>
      <c r="N226" s="6" t="s">
        <v>169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457</v>
      </c>
      <c r="U226" s="5" t="s">
        <v>432</v>
      </c>
    </row>
    <row r="227" spans="1:21" s="36" customFormat="1" ht="12" x14ac:dyDescent="0.3">
      <c r="A227" s="5" t="s">
        <v>455</v>
      </c>
      <c r="B227" s="5" t="s">
        <v>19</v>
      </c>
      <c r="C227" s="6">
        <v>57917222</v>
      </c>
      <c r="D227" s="5" t="s">
        <v>20</v>
      </c>
      <c r="E227" s="6" t="s">
        <v>456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295</v>
      </c>
      <c r="L227" s="5" t="s">
        <v>296</v>
      </c>
      <c r="M227" s="5" t="s">
        <v>24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457</v>
      </c>
      <c r="U227" s="5" t="s">
        <v>432</v>
      </c>
    </row>
    <row r="228" spans="1:21" s="36" customFormat="1" ht="12" x14ac:dyDescent="0.3">
      <c r="A228" s="6" t="s">
        <v>458</v>
      </c>
      <c r="B228" s="6" t="s">
        <v>43</v>
      </c>
      <c r="C228" s="6">
        <v>58809676</v>
      </c>
      <c r="D228" s="6" t="s">
        <v>67</v>
      </c>
      <c r="E228" s="6" t="s">
        <v>459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295</v>
      </c>
      <c r="L228" s="5" t="s">
        <v>296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457</v>
      </c>
      <c r="U228" s="5" t="s">
        <v>433</v>
      </c>
    </row>
    <row r="229" spans="1:21" s="36" customFormat="1" ht="12" x14ac:dyDescent="0.3">
      <c r="A229" s="6" t="s">
        <v>460</v>
      </c>
      <c r="B229" s="6" t="s">
        <v>43</v>
      </c>
      <c r="C229" s="6">
        <v>58167492</v>
      </c>
      <c r="D229" s="6" t="s">
        <v>144</v>
      </c>
      <c r="E229" s="6" t="s">
        <v>461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295</v>
      </c>
      <c r="L229" s="5" t="s">
        <v>296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457</v>
      </c>
      <c r="U229" s="5" t="s">
        <v>432</v>
      </c>
    </row>
    <row r="230" spans="1:21" s="36" customFormat="1" ht="12" x14ac:dyDescent="0.3">
      <c r="A230" s="1" t="s">
        <v>462</v>
      </c>
      <c r="B230" s="5" t="s">
        <v>30</v>
      </c>
      <c r="C230" s="1">
        <v>58476260</v>
      </c>
      <c r="D230" s="5" t="s">
        <v>463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295</v>
      </c>
      <c r="L230" s="5" t="s">
        <v>318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457</v>
      </c>
      <c r="U230" s="5" t="s">
        <v>432</v>
      </c>
    </row>
    <row r="231" spans="1:21" s="36" customFormat="1" ht="12" x14ac:dyDescent="0.3">
      <c r="A231" s="6" t="s">
        <v>440</v>
      </c>
      <c r="B231" s="6" t="s">
        <v>19</v>
      </c>
      <c r="C231" s="6">
        <v>52797879</v>
      </c>
      <c r="D231" s="6" t="s">
        <v>170</v>
      </c>
      <c r="E231" s="6" t="s">
        <v>453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295</v>
      </c>
      <c r="L231" s="5" t="s">
        <v>296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367</v>
      </c>
      <c r="U231" s="5" t="s">
        <v>433</v>
      </c>
    </row>
    <row r="232" spans="1:21" x14ac:dyDescent="0.35">
      <c r="A232" s="6" t="s">
        <v>440</v>
      </c>
      <c r="B232" s="6" t="s">
        <v>19</v>
      </c>
      <c r="C232" s="6">
        <v>52797893</v>
      </c>
      <c r="D232" s="6" t="s">
        <v>170</v>
      </c>
      <c r="E232" s="6" t="s">
        <v>454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295</v>
      </c>
      <c r="L232" s="5" t="s">
        <v>296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367</v>
      </c>
      <c r="U232" s="5" t="s">
        <v>433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447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295</v>
      </c>
      <c r="L233" s="6" t="s">
        <v>296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367</v>
      </c>
      <c r="U233" s="5" t="s">
        <v>432</v>
      </c>
    </row>
    <row r="234" spans="1:21" x14ac:dyDescent="0.35">
      <c r="A234" s="6" t="s">
        <v>448</v>
      </c>
      <c r="B234" s="6" t="s">
        <v>30</v>
      </c>
      <c r="C234" s="6">
        <v>58030822</v>
      </c>
      <c r="D234" s="6" t="s">
        <v>449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295</v>
      </c>
      <c r="L234" s="6" t="s">
        <v>296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367</v>
      </c>
      <c r="U234" s="5" t="s">
        <v>432</v>
      </c>
    </row>
    <row r="235" spans="1:21" x14ac:dyDescent="0.35">
      <c r="A235" s="6" t="s">
        <v>450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295</v>
      </c>
      <c r="L235" s="6" t="s">
        <v>296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367</v>
      </c>
      <c r="U235" s="5" t="s">
        <v>432</v>
      </c>
    </row>
    <row r="236" spans="1:21" x14ac:dyDescent="0.35">
      <c r="A236" s="6" t="s">
        <v>451</v>
      </c>
      <c r="B236" s="6" t="s">
        <v>19</v>
      </c>
      <c r="C236" s="6">
        <v>57157406</v>
      </c>
      <c r="D236" s="6" t="s">
        <v>170</v>
      </c>
      <c r="E236" s="6" t="s">
        <v>452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295</v>
      </c>
      <c r="L236" s="5" t="s">
        <v>296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367</v>
      </c>
      <c r="U236" s="5" t="s">
        <v>433</v>
      </c>
    </row>
    <row r="237" spans="1:21" x14ac:dyDescent="0.35">
      <c r="A237" s="6" t="s">
        <v>434</v>
      </c>
      <c r="B237" s="6" t="s">
        <v>19</v>
      </c>
      <c r="C237" s="6">
        <v>54466861</v>
      </c>
      <c r="D237" s="6" t="s">
        <v>435</v>
      </c>
      <c r="E237" s="6" t="s">
        <v>436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295</v>
      </c>
      <c r="L237" s="6" t="s">
        <v>318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367</v>
      </c>
      <c r="U237" s="5" t="s">
        <v>433</v>
      </c>
    </row>
    <row r="238" spans="1:21" x14ac:dyDescent="0.35">
      <c r="A238" s="6" t="s">
        <v>421</v>
      </c>
      <c r="B238" s="6" t="s">
        <v>19</v>
      </c>
      <c r="C238" s="6">
        <v>58163711</v>
      </c>
      <c r="D238" s="6" t="s">
        <v>122</v>
      </c>
      <c r="E238" s="6" t="s">
        <v>437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295</v>
      </c>
      <c r="L238" s="6" t="s">
        <v>296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367</v>
      </c>
      <c r="U238" s="5" t="s">
        <v>433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438</v>
      </c>
      <c r="E239" s="6" t="s">
        <v>439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295</v>
      </c>
      <c r="L239" s="6" t="s">
        <v>296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367</v>
      </c>
      <c r="U239" s="5" t="s">
        <v>432</v>
      </c>
    </row>
    <row r="240" spans="1:21" x14ac:dyDescent="0.35">
      <c r="A240" s="6" t="s">
        <v>440</v>
      </c>
      <c r="B240" s="6" t="s">
        <v>43</v>
      </c>
      <c r="C240" s="6">
        <v>52799560</v>
      </c>
      <c r="D240" s="6" t="s">
        <v>170</v>
      </c>
      <c r="E240" s="6" t="s">
        <v>441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295</v>
      </c>
      <c r="L240" s="6" t="s">
        <v>296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367</v>
      </c>
      <c r="U240" s="5" t="s">
        <v>433</v>
      </c>
    </row>
    <row r="241" spans="1:21" x14ac:dyDescent="0.35">
      <c r="A241" s="6" t="s">
        <v>440</v>
      </c>
      <c r="B241" s="6" t="s">
        <v>43</v>
      </c>
      <c r="C241" s="6">
        <v>52799573</v>
      </c>
      <c r="D241" s="6" t="s">
        <v>170</v>
      </c>
      <c r="E241" s="6" t="s">
        <v>442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295</v>
      </c>
      <c r="L241" s="6" t="s">
        <v>296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367</v>
      </c>
      <c r="U241" s="5" t="s">
        <v>433</v>
      </c>
    </row>
    <row r="242" spans="1:21" x14ac:dyDescent="0.35">
      <c r="A242" s="6" t="s">
        <v>445</v>
      </c>
      <c r="B242" s="6" t="s">
        <v>43</v>
      </c>
      <c r="C242" s="6">
        <v>52808194</v>
      </c>
      <c r="D242" s="6" t="s">
        <v>195</v>
      </c>
      <c r="E242" s="6" t="s">
        <v>446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295</v>
      </c>
      <c r="L242" s="6" t="s">
        <v>318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367</v>
      </c>
      <c r="U242" s="5" t="s">
        <v>433</v>
      </c>
    </row>
    <row r="243" spans="1:21" x14ac:dyDescent="0.35">
      <c r="A243" s="6" t="s">
        <v>419</v>
      </c>
      <c r="B243" s="6" t="s">
        <v>43</v>
      </c>
      <c r="C243" s="6">
        <v>50732535</v>
      </c>
      <c r="D243" s="6" t="s">
        <v>20</v>
      </c>
      <c r="E243" s="6" t="s">
        <v>420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295</v>
      </c>
      <c r="L243" s="6" t="s">
        <v>318</v>
      </c>
      <c r="M243" s="6" t="s">
        <v>24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367</v>
      </c>
      <c r="U243" s="6" t="s">
        <v>433</v>
      </c>
    </row>
    <row r="244" spans="1:21" x14ac:dyDescent="0.35">
      <c r="A244" s="6" t="s">
        <v>421</v>
      </c>
      <c r="B244" s="6" t="s">
        <v>19</v>
      </c>
      <c r="C244" s="6">
        <v>58205267</v>
      </c>
      <c r="D244" s="6" t="s">
        <v>422</v>
      </c>
      <c r="E244" s="6" t="s">
        <v>423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295</v>
      </c>
      <c r="L244" s="6" t="s">
        <v>296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367</v>
      </c>
      <c r="U244" s="6" t="s">
        <v>433</v>
      </c>
    </row>
    <row r="245" spans="1:21" x14ac:dyDescent="0.35">
      <c r="A245" s="6" t="s">
        <v>421</v>
      </c>
      <c r="B245" s="6" t="s">
        <v>19</v>
      </c>
      <c r="C245" s="6">
        <v>58173859</v>
      </c>
      <c r="D245" s="6" t="s">
        <v>424</v>
      </c>
      <c r="E245" s="6" t="s">
        <v>425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295</v>
      </c>
      <c r="L245" s="6" t="s">
        <v>296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367</v>
      </c>
      <c r="U245" s="6" t="s">
        <v>433</v>
      </c>
    </row>
    <row r="246" spans="1:21" x14ac:dyDescent="0.35">
      <c r="A246" s="6" t="s">
        <v>426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295</v>
      </c>
      <c r="L246" s="6" t="s">
        <v>296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367</v>
      </c>
      <c r="U246" s="6" t="s">
        <v>433</v>
      </c>
    </row>
    <row r="247" spans="1:21" x14ac:dyDescent="0.35">
      <c r="A247" s="6" t="s">
        <v>427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295</v>
      </c>
      <c r="L247" s="6" t="s">
        <v>296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367</v>
      </c>
      <c r="U247" s="6" t="s">
        <v>433</v>
      </c>
    </row>
    <row r="248" spans="1:21" x14ac:dyDescent="0.35">
      <c r="A248" s="6" t="s">
        <v>428</v>
      </c>
      <c r="B248" s="6" t="s">
        <v>43</v>
      </c>
      <c r="C248" s="6">
        <v>58853633</v>
      </c>
      <c r="D248" s="6" t="s">
        <v>429</v>
      </c>
      <c r="E248" s="6" t="s">
        <v>430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295</v>
      </c>
      <c r="L248" s="6" t="s">
        <v>296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367</v>
      </c>
      <c r="U248" s="6" t="s">
        <v>433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443</v>
      </c>
      <c r="E249" s="6" t="s">
        <v>444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295</v>
      </c>
      <c r="L249" s="6" t="s">
        <v>296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367</v>
      </c>
      <c r="U249" s="5" t="s">
        <v>432</v>
      </c>
    </row>
    <row r="250" spans="1:21" x14ac:dyDescent="0.35">
      <c r="A250" s="6" t="s">
        <v>398</v>
      </c>
      <c r="B250" s="6" t="s">
        <v>43</v>
      </c>
      <c r="C250" s="6">
        <v>57900967</v>
      </c>
      <c r="D250" s="6" t="s">
        <v>399</v>
      </c>
      <c r="E250" s="6" t="s">
        <v>400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295</v>
      </c>
      <c r="L250" s="5" t="s">
        <v>296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367</v>
      </c>
      <c r="U250" s="6" t="s">
        <v>433</v>
      </c>
    </row>
    <row r="251" spans="1:21" x14ac:dyDescent="0.35">
      <c r="A251" s="14" t="s">
        <v>401</v>
      </c>
      <c r="B251" s="6" t="s">
        <v>43</v>
      </c>
      <c r="C251" s="6">
        <v>58136263</v>
      </c>
      <c r="D251" s="6" t="s">
        <v>402</v>
      </c>
      <c r="E251" s="6" t="s">
        <v>403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295</v>
      </c>
      <c r="L251" s="5" t="s">
        <v>296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367</v>
      </c>
      <c r="U251" s="6" t="s">
        <v>433</v>
      </c>
    </row>
    <row r="252" spans="1:21" x14ac:dyDescent="0.35">
      <c r="A252" s="6" t="s">
        <v>404</v>
      </c>
      <c r="B252" s="6" t="s">
        <v>19</v>
      </c>
      <c r="C252" s="6">
        <v>59207750</v>
      </c>
      <c r="D252" s="6" t="s">
        <v>275</v>
      </c>
      <c r="E252" s="6" t="s">
        <v>405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295</v>
      </c>
      <c r="L252" s="5" t="s">
        <v>296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367</v>
      </c>
      <c r="U252" s="6" t="s">
        <v>433</v>
      </c>
    </row>
    <row r="253" spans="1:21" x14ac:dyDescent="0.35">
      <c r="A253" s="6" t="s">
        <v>406</v>
      </c>
      <c r="B253" s="5" t="s">
        <v>19</v>
      </c>
      <c r="C253" s="5">
        <v>57111758</v>
      </c>
      <c r="D253" s="5" t="s">
        <v>170</v>
      </c>
      <c r="E253" s="6" t="s">
        <v>407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295</v>
      </c>
      <c r="L253" s="5" t="s">
        <v>296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367</v>
      </c>
      <c r="U253" s="6" t="s">
        <v>433</v>
      </c>
    </row>
    <row r="254" spans="1:21" x14ac:dyDescent="0.35">
      <c r="A254" s="6" t="s">
        <v>406</v>
      </c>
      <c r="B254" s="5" t="s">
        <v>19</v>
      </c>
      <c r="C254" s="6">
        <v>57111764</v>
      </c>
      <c r="D254" s="5" t="s">
        <v>170</v>
      </c>
      <c r="E254" s="6" t="s">
        <v>408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295</v>
      </c>
      <c r="L254" s="5" t="s">
        <v>296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367</v>
      </c>
      <c r="U254" s="6" t="s">
        <v>433</v>
      </c>
    </row>
    <row r="255" spans="1:21" x14ac:dyDescent="0.35">
      <c r="A255" s="1" t="s">
        <v>409</v>
      </c>
      <c r="B255" s="5" t="s">
        <v>30</v>
      </c>
      <c r="C255" s="1">
        <v>59019541</v>
      </c>
      <c r="D255" s="5" t="s">
        <v>410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295</v>
      </c>
      <c r="L255" s="5" t="s">
        <v>296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367</v>
      </c>
      <c r="U255" s="6" t="s">
        <v>433</v>
      </c>
    </row>
    <row r="256" spans="1:21" x14ac:dyDescent="0.35">
      <c r="A256" s="3" t="s">
        <v>411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295</v>
      </c>
      <c r="L256" s="5" t="s">
        <v>296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367</v>
      </c>
      <c r="U256" s="6" t="s">
        <v>433</v>
      </c>
    </row>
    <row r="257" spans="1:21" x14ac:dyDescent="0.35">
      <c r="A257" s="6" t="s">
        <v>412</v>
      </c>
      <c r="B257" s="6" t="s">
        <v>43</v>
      </c>
      <c r="C257" s="6">
        <v>47899159</v>
      </c>
      <c r="D257" s="6" t="s">
        <v>413</v>
      </c>
      <c r="E257" s="6" t="s">
        <v>414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295</v>
      </c>
      <c r="L257" s="5" t="s">
        <v>296</v>
      </c>
      <c r="M257" s="6" t="s">
        <v>24</v>
      </c>
      <c r="N257" s="6" t="s">
        <v>191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367</v>
      </c>
      <c r="U257" s="6" t="s">
        <v>433</v>
      </c>
    </row>
    <row r="258" spans="1:21" x14ac:dyDescent="0.35">
      <c r="A258" s="6" t="s">
        <v>412</v>
      </c>
      <c r="B258" s="6" t="s">
        <v>43</v>
      </c>
      <c r="C258" s="14">
        <v>48425163</v>
      </c>
      <c r="D258" s="5" t="s">
        <v>415</v>
      </c>
      <c r="E258" s="6" t="s">
        <v>416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295</v>
      </c>
      <c r="L258" s="5" t="s">
        <v>296</v>
      </c>
      <c r="M258" s="6" t="s">
        <v>24</v>
      </c>
      <c r="N258" s="6" t="s">
        <v>191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367</v>
      </c>
      <c r="U258" s="6" t="s">
        <v>433</v>
      </c>
    </row>
    <row r="259" spans="1:21" x14ac:dyDescent="0.35">
      <c r="A259" s="6" t="s">
        <v>417</v>
      </c>
      <c r="B259" s="6" t="s">
        <v>43</v>
      </c>
      <c r="C259" s="6">
        <v>53934458</v>
      </c>
      <c r="D259" s="6" t="s">
        <v>275</v>
      </c>
      <c r="E259" s="6" t="s">
        <v>418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344</v>
      </c>
      <c r="L259" s="5" t="s">
        <v>296</v>
      </c>
      <c r="M259" s="6" t="s">
        <v>24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367</v>
      </c>
      <c r="U259" s="6" t="s">
        <v>433</v>
      </c>
    </row>
    <row r="260" spans="1:21" x14ac:dyDescent="0.35">
      <c r="A260" s="6" t="s">
        <v>364</v>
      </c>
      <c r="B260" s="6" t="s">
        <v>43</v>
      </c>
      <c r="C260" s="6">
        <v>54968651</v>
      </c>
      <c r="D260" s="6" t="s">
        <v>365</v>
      </c>
      <c r="E260" s="6" t="s">
        <v>366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344</v>
      </c>
      <c r="L260" s="5" t="s">
        <v>318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367</v>
      </c>
      <c r="U260" s="6" t="s">
        <v>433</v>
      </c>
    </row>
    <row r="261" spans="1:21" x14ac:dyDescent="0.35">
      <c r="A261" s="6" t="s">
        <v>364</v>
      </c>
      <c r="B261" s="6" t="s">
        <v>43</v>
      </c>
      <c r="C261" s="6">
        <v>54971775</v>
      </c>
      <c r="D261" s="6" t="s">
        <v>368</v>
      </c>
      <c r="E261" s="6" t="s">
        <v>369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295</v>
      </c>
      <c r="L261" s="5" t="s">
        <v>318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367</v>
      </c>
      <c r="U261" s="6" t="s">
        <v>433</v>
      </c>
    </row>
    <row r="262" spans="1:21" x14ac:dyDescent="0.35">
      <c r="A262" s="6" t="s">
        <v>364</v>
      </c>
      <c r="B262" s="6" t="s">
        <v>43</v>
      </c>
      <c r="C262" s="6">
        <v>54973833</v>
      </c>
      <c r="D262" s="6" t="s">
        <v>370</v>
      </c>
      <c r="E262" s="6" t="s">
        <v>371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295</v>
      </c>
      <c r="L262" s="5" t="s">
        <v>296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367</v>
      </c>
      <c r="U262" s="6" t="s">
        <v>433</v>
      </c>
    </row>
    <row r="263" spans="1:21" x14ac:dyDescent="0.35">
      <c r="A263" s="6" t="s">
        <v>364</v>
      </c>
      <c r="B263" s="6" t="s">
        <v>43</v>
      </c>
      <c r="C263" s="6">
        <v>54980338</v>
      </c>
      <c r="D263" s="6" t="s">
        <v>372</v>
      </c>
      <c r="E263" s="6" t="s">
        <v>373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295</v>
      </c>
      <c r="L263" s="5" t="s">
        <v>296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367</v>
      </c>
      <c r="U263" s="6" t="s">
        <v>433</v>
      </c>
    </row>
    <row r="264" spans="1:21" x14ac:dyDescent="0.35">
      <c r="A264" s="6" t="s">
        <v>364</v>
      </c>
      <c r="B264" s="6" t="s">
        <v>43</v>
      </c>
      <c r="C264" s="6">
        <v>55103426</v>
      </c>
      <c r="D264" s="6" t="s">
        <v>374</v>
      </c>
      <c r="E264" s="6" t="s">
        <v>375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344</v>
      </c>
      <c r="L264" s="5" t="s">
        <v>296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367</v>
      </c>
      <c r="U264" s="6" t="s">
        <v>433</v>
      </c>
    </row>
    <row r="265" spans="1:21" x14ac:dyDescent="0.35">
      <c r="A265" s="6" t="s">
        <v>364</v>
      </c>
      <c r="B265" s="6" t="s">
        <v>43</v>
      </c>
      <c r="C265" s="6">
        <v>54979384</v>
      </c>
      <c r="D265" s="6" t="s">
        <v>376</v>
      </c>
      <c r="E265" s="6" t="s">
        <v>377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295</v>
      </c>
      <c r="L265" s="5" t="s">
        <v>318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367</v>
      </c>
      <c r="U265" s="6" t="s">
        <v>433</v>
      </c>
    </row>
    <row r="266" spans="1:21" x14ac:dyDescent="0.35">
      <c r="A266" s="6" t="s">
        <v>364</v>
      </c>
      <c r="B266" s="6" t="s">
        <v>43</v>
      </c>
      <c r="C266" s="6">
        <v>54979901</v>
      </c>
      <c r="D266" s="6" t="s">
        <v>378</v>
      </c>
      <c r="E266" s="6" t="s">
        <v>379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344</v>
      </c>
      <c r="L266" s="5" t="s">
        <v>296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367</v>
      </c>
      <c r="U266" s="6" t="s">
        <v>433</v>
      </c>
    </row>
    <row r="267" spans="1:21" x14ac:dyDescent="0.35">
      <c r="A267" s="6" t="s">
        <v>364</v>
      </c>
      <c r="B267" s="6" t="s">
        <v>43</v>
      </c>
      <c r="C267" s="6">
        <v>54981048</v>
      </c>
      <c r="D267" s="6" t="s">
        <v>380</v>
      </c>
      <c r="E267" s="5" t="s">
        <v>381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344</v>
      </c>
      <c r="L267" s="5" t="s">
        <v>318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367</v>
      </c>
      <c r="U267" s="6" t="s">
        <v>433</v>
      </c>
    </row>
    <row r="268" spans="1:21" x14ac:dyDescent="0.35">
      <c r="A268" s="6" t="s">
        <v>364</v>
      </c>
      <c r="B268" s="6" t="s">
        <v>43</v>
      </c>
      <c r="C268" s="32">
        <v>55105863</v>
      </c>
      <c r="D268" s="6" t="s">
        <v>382</v>
      </c>
      <c r="E268" s="6" t="s">
        <v>383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295</v>
      </c>
      <c r="L268" s="5" t="s">
        <v>318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367</v>
      </c>
      <c r="U268" s="6" t="s">
        <v>433</v>
      </c>
    </row>
    <row r="269" spans="1:21" x14ac:dyDescent="0.35">
      <c r="A269" s="6" t="s">
        <v>364</v>
      </c>
      <c r="B269" s="6" t="s">
        <v>43</v>
      </c>
      <c r="C269" s="6">
        <v>55104619</v>
      </c>
      <c r="D269" s="6" t="s">
        <v>384</v>
      </c>
      <c r="E269" s="6" t="s">
        <v>385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295</v>
      </c>
      <c r="L269" s="5" t="s">
        <v>318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367</v>
      </c>
      <c r="U269" s="6" t="s">
        <v>433</v>
      </c>
    </row>
    <row r="270" spans="1:21" x14ac:dyDescent="0.35">
      <c r="A270" s="6" t="s">
        <v>364</v>
      </c>
      <c r="B270" s="6" t="s">
        <v>43</v>
      </c>
      <c r="C270" s="6">
        <v>54978747</v>
      </c>
      <c r="D270" s="6" t="s">
        <v>386</v>
      </c>
      <c r="E270" s="6" t="s">
        <v>387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344</v>
      </c>
      <c r="L270" s="5" t="s">
        <v>296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367</v>
      </c>
      <c r="U270" s="6" t="s">
        <v>433</v>
      </c>
    </row>
    <row r="271" spans="1:21" x14ac:dyDescent="0.35">
      <c r="A271" s="6" t="s">
        <v>364</v>
      </c>
      <c r="B271" s="6" t="s">
        <v>43</v>
      </c>
      <c r="C271" s="6">
        <v>54978242</v>
      </c>
      <c r="D271" s="6" t="s">
        <v>388</v>
      </c>
      <c r="E271" s="6" t="s">
        <v>389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344</v>
      </c>
      <c r="L271" s="5" t="s">
        <v>318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367</v>
      </c>
      <c r="U271" s="6" t="s">
        <v>433</v>
      </c>
    </row>
    <row r="272" spans="1:21" x14ac:dyDescent="0.35">
      <c r="A272" s="6" t="s">
        <v>364</v>
      </c>
      <c r="B272" s="6" t="s">
        <v>43</v>
      </c>
      <c r="C272" s="6">
        <v>55105778</v>
      </c>
      <c r="D272" s="6" t="s">
        <v>390</v>
      </c>
      <c r="E272" s="6" t="s">
        <v>391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295</v>
      </c>
      <c r="L272" s="5" t="s">
        <v>318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367</v>
      </c>
      <c r="U272" s="6" t="s">
        <v>433</v>
      </c>
    </row>
    <row r="273" spans="1:21" x14ac:dyDescent="0.35">
      <c r="A273" s="6" t="s">
        <v>364</v>
      </c>
      <c r="B273" s="6" t="s">
        <v>43</v>
      </c>
      <c r="C273" s="6">
        <v>54973195</v>
      </c>
      <c r="D273" s="6" t="s">
        <v>392</v>
      </c>
      <c r="E273" s="6" t="s">
        <v>393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295</v>
      </c>
      <c r="L273" s="5" t="s">
        <v>296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367</v>
      </c>
      <c r="U273" s="6" t="s">
        <v>433</v>
      </c>
    </row>
    <row r="274" spans="1:21" x14ac:dyDescent="0.35">
      <c r="A274" s="6" t="s">
        <v>364</v>
      </c>
      <c r="B274" s="6" t="s">
        <v>43</v>
      </c>
      <c r="C274" s="6">
        <v>55105296</v>
      </c>
      <c r="D274" s="6" t="s">
        <v>394</v>
      </c>
      <c r="E274" s="6" t="s">
        <v>395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295</v>
      </c>
      <c r="L274" s="5" t="s">
        <v>296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367</v>
      </c>
      <c r="U274" s="6" t="s">
        <v>433</v>
      </c>
    </row>
    <row r="275" spans="1:21" x14ac:dyDescent="0.35">
      <c r="A275" s="6" t="s">
        <v>364</v>
      </c>
      <c r="B275" s="6" t="s">
        <v>43</v>
      </c>
      <c r="C275" s="1">
        <v>54976425</v>
      </c>
      <c r="D275" s="6" t="s">
        <v>396</v>
      </c>
      <c r="E275" s="6" t="s">
        <v>397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295</v>
      </c>
      <c r="L275" s="5" t="s">
        <v>296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367</v>
      </c>
      <c r="U275" s="6" t="s">
        <v>433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363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295</v>
      </c>
      <c r="L276" s="5" t="s">
        <v>296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338</v>
      </c>
      <c r="U276" s="5" t="s">
        <v>432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351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295</v>
      </c>
      <c r="L277" s="5" t="s">
        <v>318</v>
      </c>
      <c r="M277" s="5" t="s">
        <v>24</v>
      </c>
      <c r="N277" s="6" t="s">
        <v>193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338</v>
      </c>
      <c r="U277" s="5" t="s">
        <v>432</v>
      </c>
    </row>
    <row r="278" spans="1:21" x14ac:dyDescent="0.35">
      <c r="A278" s="6" t="s">
        <v>352</v>
      </c>
      <c r="B278" s="6" t="s">
        <v>43</v>
      </c>
      <c r="C278" s="6">
        <v>58853643</v>
      </c>
      <c r="D278" s="6" t="s">
        <v>353</v>
      </c>
      <c r="E278" s="6" t="s">
        <v>354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295</v>
      </c>
      <c r="L278" s="5" t="s">
        <v>296</v>
      </c>
      <c r="M278" s="6" t="s">
        <v>24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338</v>
      </c>
      <c r="U278" s="5" t="s">
        <v>433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355</v>
      </c>
      <c r="E279" s="6" t="s">
        <v>356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295</v>
      </c>
      <c r="L279" s="5" t="s">
        <v>296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338</v>
      </c>
      <c r="U279" s="5" t="s">
        <v>432</v>
      </c>
    </row>
    <row r="280" spans="1:21" x14ac:dyDescent="0.35">
      <c r="A280" s="1" t="s">
        <v>357</v>
      </c>
      <c r="B280" s="6" t="s">
        <v>85</v>
      </c>
      <c r="C280" s="1">
        <v>58932414</v>
      </c>
      <c r="D280" s="6" t="s">
        <v>358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295</v>
      </c>
      <c r="L280" s="5" t="s">
        <v>296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338</v>
      </c>
      <c r="U280" s="5" t="s">
        <v>432</v>
      </c>
    </row>
    <row r="281" spans="1:21" x14ac:dyDescent="0.35">
      <c r="A281" s="6" t="s">
        <v>359</v>
      </c>
      <c r="B281" s="6" t="s">
        <v>19</v>
      </c>
      <c r="C281" s="6">
        <v>57932962</v>
      </c>
      <c r="D281" s="6" t="s">
        <v>20</v>
      </c>
      <c r="E281" s="6" t="s">
        <v>360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295</v>
      </c>
      <c r="L281" s="5" t="s">
        <v>296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338</v>
      </c>
      <c r="U281" s="5" t="s">
        <v>432</v>
      </c>
    </row>
    <row r="282" spans="1:21" x14ac:dyDescent="0.35">
      <c r="A282" s="6" t="s">
        <v>361</v>
      </c>
      <c r="B282" s="6" t="s">
        <v>19</v>
      </c>
      <c r="C282" s="6">
        <v>58272102</v>
      </c>
      <c r="D282" s="6" t="s">
        <v>35</v>
      </c>
      <c r="E282" s="6" t="s">
        <v>362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295</v>
      </c>
      <c r="L282" s="5" t="s">
        <v>296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338</v>
      </c>
      <c r="U282" s="5" t="s">
        <v>432</v>
      </c>
    </row>
    <row r="283" spans="1:21" x14ac:dyDescent="0.35">
      <c r="A283" s="6" t="s">
        <v>315</v>
      </c>
      <c r="B283" s="6" t="s">
        <v>19</v>
      </c>
      <c r="C283" s="6">
        <v>57847231</v>
      </c>
      <c r="D283" s="6" t="s">
        <v>316</v>
      </c>
      <c r="E283" s="6" t="s">
        <v>340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344</v>
      </c>
      <c r="L283" s="6" t="s">
        <v>296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338</v>
      </c>
      <c r="U283" s="5" t="s">
        <v>432</v>
      </c>
    </row>
    <row r="284" spans="1:21" x14ac:dyDescent="0.35">
      <c r="A284" s="6" t="s">
        <v>341</v>
      </c>
      <c r="B284" s="6" t="s">
        <v>19</v>
      </c>
      <c r="C284" s="6">
        <v>24190516</v>
      </c>
      <c r="D284" s="6" t="s">
        <v>342</v>
      </c>
      <c r="E284" s="6" t="s">
        <v>343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295</v>
      </c>
      <c r="L284" s="6" t="s">
        <v>318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338</v>
      </c>
      <c r="U284" s="5" t="s">
        <v>432</v>
      </c>
    </row>
    <row r="285" spans="1:21" x14ac:dyDescent="0.35">
      <c r="A285" s="6" t="s">
        <v>345</v>
      </c>
      <c r="B285" s="6" t="s">
        <v>19</v>
      </c>
      <c r="C285" s="6">
        <v>58227435</v>
      </c>
      <c r="D285" s="6" t="s">
        <v>20</v>
      </c>
      <c r="E285" s="6" t="s">
        <v>346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295</v>
      </c>
      <c r="L285" s="6" t="s">
        <v>296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338</v>
      </c>
      <c r="U285" s="5" t="s">
        <v>432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347</v>
      </c>
      <c r="E286" s="6" t="s">
        <v>348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295</v>
      </c>
      <c r="L286" s="6" t="s">
        <v>318</v>
      </c>
      <c r="M286" s="6" t="s">
        <v>24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338</v>
      </c>
      <c r="U286" s="5" t="s">
        <v>433</v>
      </c>
    </row>
    <row r="287" spans="1:21" x14ac:dyDescent="0.35">
      <c r="A287" s="6" t="s">
        <v>349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295</v>
      </c>
      <c r="L287" s="6" t="s">
        <v>296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338</v>
      </c>
      <c r="U287" s="5" t="s">
        <v>432</v>
      </c>
    </row>
    <row r="288" spans="1:21" x14ac:dyDescent="0.35">
      <c r="A288" s="6" t="s">
        <v>350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295</v>
      </c>
      <c r="L288" s="6" t="s">
        <v>296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338</v>
      </c>
      <c r="U288" s="5" t="s">
        <v>432</v>
      </c>
    </row>
    <row r="289" spans="1:21" x14ac:dyDescent="0.35">
      <c r="A289" s="6" t="s">
        <v>335</v>
      </c>
      <c r="B289" s="6" t="s">
        <v>43</v>
      </c>
      <c r="C289" s="6">
        <v>57664431</v>
      </c>
      <c r="D289" s="6" t="s">
        <v>336</v>
      </c>
      <c r="E289" s="6" t="s">
        <v>337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295</v>
      </c>
      <c r="L289" s="6" t="s">
        <v>296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338</v>
      </c>
      <c r="U289" s="5" t="s">
        <v>432</v>
      </c>
    </row>
    <row r="290" spans="1:21" x14ac:dyDescent="0.35">
      <c r="A290" s="6" t="s">
        <v>339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295</v>
      </c>
      <c r="L290" s="6" t="s">
        <v>296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338</v>
      </c>
      <c r="U290" s="5" t="s">
        <v>432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333</v>
      </c>
      <c r="E291" s="6" t="s">
        <v>334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295</v>
      </c>
      <c r="L291" s="5" t="s">
        <v>318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792</v>
      </c>
      <c r="U291" s="34" t="s">
        <v>432</v>
      </c>
    </row>
    <row r="292" spans="1:21" x14ac:dyDescent="0.35">
      <c r="A292" s="6" t="s">
        <v>322</v>
      </c>
      <c r="B292" s="5" t="s">
        <v>19</v>
      </c>
      <c r="C292" s="6">
        <v>58040642</v>
      </c>
      <c r="D292" s="5" t="s">
        <v>20</v>
      </c>
      <c r="E292" s="6" t="s">
        <v>323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295</v>
      </c>
      <c r="L292" s="5" t="s">
        <v>296</v>
      </c>
      <c r="M292" s="5" t="s">
        <v>24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792</v>
      </c>
      <c r="U292" s="34" t="s">
        <v>432</v>
      </c>
    </row>
    <row r="293" spans="1:21" x14ac:dyDescent="0.35">
      <c r="A293" s="6" t="s">
        <v>324</v>
      </c>
      <c r="B293" s="6" t="s">
        <v>19</v>
      </c>
      <c r="C293" s="6">
        <v>58223807</v>
      </c>
      <c r="D293" s="6" t="s">
        <v>55</v>
      </c>
      <c r="E293" s="6" t="s">
        <v>325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295</v>
      </c>
      <c r="L293" s="5" t="s">
        <v>296</v>
      </c>
      <c r="M293" s="5" t="s">
        <v>24</v>
      </c>
      <c r="N293" s="6" t="s">
        <v>191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792</v>
      </c>
      <c r="U293" s="34" t="s">
        <v>432</v>
      </c>
    </row>
    <row r="294" spans="1:21" x14ac:dyDescent="0.35">
      <c r="A294" s="6" t="s">
        <v>326</v>
      </c>
      <c r="B294" s="6" t="s">
        <v>19</v>
      </c>
      <c r="C294" s="6">
        <v>53413810</v>
      </c>
      <c r="D294" s="6" t="s">
        <v>327</v>
      </c>
      <c r="E294" s="6" t="s">
        <v>328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295</v>
      </c>
      <c r="L294" s="5" t="s">
        <v>296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792</v>
      </c>
      <c r="U294" s="34" t="s">
        <v>432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329</v>
      </c>
      <c r="E295" s="6" t="s">
        <v>330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295</v>
      </c>
      <c r="L295" s="5" t="s">
        <v>296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792</v>
      </c>
      <c r="U295" s="34" t="s">
        <v>432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331</v>
      </c>
      <c r="E296" s="6" t="s">
        <v>332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295</v>
      </c>
      <c r="L296" s="5" t="s">
        <v>296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792</v>
      </c>
      <c r="U296" s="34" t="s">
        <v>432</v>
      </c>
    </row>
    <row r="297" spans="1:21" x14ac:dyDescent="0.35">
      <c r="A297" s="3" t="s">
        <v>311</v>
      </c>
      <c r="B297" s="5" t="s">
        <v>85</v>
      </c>
      <c r="C297" s="1">
        <v>56916429</v>
      </c>
      <c r="D297" s="5" t="s">
        <v>195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295</v>
      </c>
      <c r="L297" s="5" t="s">
        <v>296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792</v>
      </c>
      <c r="U297" s="34" t="s">
        <v>432</v>
      </c>
    </row>
    <row r="298" spans="1:21" x14ac:dyDescent="0.35">
      <c r="A298" s="3" t="s">
        <v>312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295</v>
      </c>
      <c r="L298" s="5" t="s">
        <v>296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792</v>
      </c>
      <c r="U298" s="34" t="s">
        <v>432</v>
      </c>
    </row>
    <row r="299" spans="1:21" x14ac:dyDescent="0.35">
      <c r="A299" s="3" t="s">
        <v>312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295</v>
      </c>
      <c r="L299" s="5" t="s">
        <v>296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792</v>
      </c>
      <c r="U299" s="34" t="s">
        <v>432</v>
      </c>
    </row>
    <row r="300" spans="1:21" x14ac:dyDescent="0.35">
      <c r="A300" s="3" t="s">
        <v>313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295</v>
      </c>
      <c r="L300" s="5" t="s">
        <v>296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792</v>
      </c>
      <c r="U300" s="34" t="s">
        <v>432</v>
      </c>
    </row>
    <row r="301" spans="1:21" x14ac:dyDescent="0.35">
      <c r="A301" s="3" t="s">
        <v>314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295</v>
      </c>
      <c r="L301" s="5" t="s">
        <v>296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792</v>
      </c>
      <c r="U301" s="34" t="s">
        <v>432</v>
      </c>
    </row>
    <row r="302" spans="1:21" x14ac:dyDescent="0.35">
      <c r="A302" s="1" t="s">
        <v>315</v>
      </c>
      <c r="B302" s="5" t="s">
        <v>30</v>
      </c>
      <c r="C302" s="1">
        <v>57849289</v>
      </c>
      <c r="D302" s="5" t="s">
        <v>316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295</v>
      </c>
      <c r="L302" s="5" t="s">
        <v>302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792</v>
      </c>
      <c r="U302" s="34" t="s">
        <v>432</v>
      </c>
    </row>
    <row r="303" spans="1:21" x14ac:dyDescent="0.35">
      <c r="A303" s="1" t="s">
        <v>317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295</v>
      </c>
      <c r="L303" s="5" t="s">
        <v>318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792</v>
      </c>
      <c r="U303" s="34" t="s">
        <v>432</v>
      </c>
    </row>
    <row r="304" spans="1:21" x14ac:dyDescent="0.35">
      <c r="A304" s="6" t="s">
        <v>319</v>
      </c>
      <c r="B304" s="6" t="s">
        <v>19</v>
      </c>
      <c r="C304" s="6">
        <v>57048937</v>
      </c>
      <c r="D304" s="6" t="s">
        <v>320</v>
      </c>
      <c r="E304" s="6" t="s">
        <v>321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295</v>
      </c>
      <c r="L304" s="5" t="s">
        <v>296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792</v>
      </c>
      <c r="U304" s="34" t="s">
        <v>432</v>
      </c>
    </row>
    <row r="305" spans="1:21" x14ac:dyDescent="0.35">
      <c r="A305" s="14" t="s">
        <v>303</v>
      </c>
      <c r="B305" s="6" t="s">
        <v>43</v>
      </c>
      <c r="C305" s="1">
        <v>56312533</v>
      </c>
      <c r="D305" s="6" t="s">
        <v>49</v>
      </c>
      <c r="E305" s="6" t="s">
        <v>304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295</v>
      </c>
      <c r="L305" s="5" t="s">
        <v>296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792</v>
      </c>
      <c r="U305" s="34" t="s">
        <v>432</v>
      </c>
    </row>
    <row r="306" spans="1:21" x14ac:dyDescent="0.35">
      <c r="A306" s="6" t="s">
        <v>303</v>
      </c>
      <c r="B306" s="6" t="s">
        <v>43</v>
      </c>
      <c r="C306" s="19">
        <v>54079438</v>
      </c>
      <c r="D306" s="6" t="s">
        <v>35</v>
      </c>
      <c r="E306" s="6" t="s">
        <v>305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295</v>
      </c>
      <c r="L306" s="5" t="s">
        <v>302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792</v>
      </c>
      <c r="U306" s="34" t="s">
        <v>432</v>
      </c>
    </row>
    <row r="307" spans="1:21" x14ac:dyDescent="0.35">
      <c r="A307" s="6" t="s">
        <v>308</v>
      </c>
      <c r="B307" s="6" t="s">
        <v>43</v>
      </c>
      <c r="C307" s="6">
        <v>57173200</v>
      </c>
      <c r="D307" s="6" t="s">
        <v>309</v>
      </c>
      <c r="E307" s="6" t="s">
        <v>310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295</v>
      </c>
      <c r="L307" s="5" t="s">
        <v>296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792</v>
      </c>
      <c r="U307" s="34" t="s">
        <v>432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299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295</v>
      </c>
      <c r="L308" s="5" t="s">
        <v>296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792</v>
      </c>
      <c r="U308" s="34" t="s">
        <v>432</v>
      </c>
    </row>
    <row r="309" spans="1:21" x14ac:dyDescent="0.35">
      <c r="A309" s="1" t="s">
        <v>300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295</v>
      </c>
      <c r="L309" s="5" t="s">
        <v>296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792</v>
      </c>
      <c r="U309" s="34" t="s">
        <v>432</v>
      </c>
    </row>
    <row r="310" spans="1:21" x14ac:dyDescent="0.35">
      <c r="A310" s="3" t="s">
        <v>301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295</v>
      </c>
      <c r="L310" s="5" t="s">
        <v>302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792</v>
      </c>
      <c r="U310" s="34" t="s">
        <v>432</v>
      </c>
    </row>
    <row r="311" spans="1:21" x14ac:dyDescent="0.35">
      <c r="A311" s="6" t="s">
        <v>293</v>
      </c>
      <c r="B311" s="6" t="s">
        <v>43</v>
      </c>
      <c r="C311" s="6">
        <v>57643823</v>
      </c>
      <c r="D311" s="6" t="s">
        <v>49</v>
      </c>
      <c r="E311" s="6" t="s">
        <v>294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295</v>
      </c>
      <c r="L311" s="5" t="s">
        <v>296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792</v>
      </c>
      <c r="U311" s="34" t="s">
        <v>432</v>
      </c>
    </row>
    <row r="312" spans="1:21" x14ac:dyDescent="0.35">
      <c r="A312" s="6" t="s">
        <v>297</v>
      </c>
      <c r="B312" s="6" t="s">
        <v>43</v>
      </c>
      <c r="C312" s="6">
        <v>56336786</v>
      </c>
      <c r="D312" s="6" t="s">
        <v>99</v>
      </c>
      <c r="E312" s="6" t="s">
        <v>298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295</v>
      </c>
      <c r="L312" s="5" t="s">
        <v>296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792</v>
      </c>
      <c r="U312" s="34" t="s">
        <v>432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295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791</v>
      </c>
      <c r="U313" s="34" t="s">
        <v>432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295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791</v>
      </c>
      <c r="U314" s="34" t="s">
        <v>432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295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791</v>
      </c>
      <c r="U315" s="34" t="s">
        <v>432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295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791</v>
      </c>
      <c r="U316" s="34" t="s">
        <v>432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295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791</v>
      </c>
      <c r="U317" s="34" t="s">
        <v>432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295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791</v>
      </c>
      <c r="U318" s="34" t="s">
        <v>432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295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791</v>
      </c>
      <c r="U319" s="34" t="s">
        <v>432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295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791</v>
      </c>
      <c r="U320" s="34" t="s">
        <v>432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295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791</v>
      </c>
      <c r="U321" s="34" t="s">
        <v>432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295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791</v>
      </c>
      <c r="U322" s="34" t="s">
        <v>432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295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791</v>
      </c>
      <c r="U323" s="34" t="s">
        <v>432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295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791</v>
      </c>
      <c r="U324" s="34" t="s">
        <v>432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295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791</v>
      </c>
      <c r="U325" s="34" t="s">
        <v>432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295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791</v>
      </c>
      <c r="U326" s="34" t="s">
        <v>432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295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791</v>
      </c>
      <c r="U327" s="34" t="s">
        <v>432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295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791</v>
      </c>
      <c r="U328" s="34" t="s">
        <v>432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344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791</v>
      </c>
      <c r="U329" s="34" t="s">
        <v>432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295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791</v>
      </c>
      <c r="U330" s="34" t="s">
        <v>433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295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791</v>
      </c>
      <c r="U331" s="34" t="s">
        <v>432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295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791</v>
      </c>
      <c r="U332" s="34" t="s">
        <v>432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295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791</v>
      </c>
      <c r="U333" s="34" t="s">
        <v>432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295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791</v>
      </c>
      <c r="U334" s="34" t="s">
        <v>432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295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790</v>
      </c>
      <c r="U335" s="34" t="s">
        <v>432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295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790</v>
      </c>
      <c r="U336" s="34" t="s">
        <v>432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295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790</v>
      </c>
      <c r="U337" s="34" t="s">
        <v>432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295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790</v>
      </c>
      <c r="U338" s="34" t="s">
        <v>432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295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790</v>
      </c>
      <c r="U339" s="34" t="s">
        <v>432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295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790</v>
      </c>
      <c r="U340" s="34" t="s">
        <v>432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295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790</v>
      </c>
      <c r="U341" s="34" t="s">
        <v>432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295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790</v>
      </c>
      <c r="U342" s="34" t="s">
        <v>432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295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790</v>
      </c>
      <c r="U343" s="34" t="s">
        <v>432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295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790</v>
      </c>
      <c r="U344" s="34" t="s">
        <v>432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295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790</v>
      </c>
      <c r="U345" s="34" t="s">
        <v>432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295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790</v>
      </c>
      <c r="U346" s="34" t="s">
        <v>432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295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790</v>
      </c>
      <c r="U347" s="34" t="s">
        <v>432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295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790</v>
      </c>
      <c r="U348" s="34" t="s">
        <v>432</v>
      </c>
    </row>
    <row r="349" spans="1:23" x14ac:dyDescent="0.35">
      <c r="A349" s="6" t="s">
        <v>251</v>
      </c>
      <c r="B349" s="6" t="s">
        <v>19</v>
      </c>
      <c r="C349" s="6">
        <v>56545909</v>
      </c>
      <c r="D349" s="6" t="s">
        <v>252</v>
      </c>
      <c r="E349" s="6" t="s">
        <v>253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295</v>
      </c>
      <c r="L349" s="22"/>
      <c r="M349" s="5" t="s">
        <v>24</v>
      </c>
      <c r="N349" s="6" t="s">
        <v>254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789</v>
      </c>
      <c r="U349" s="34" t="s">
        <v>432</v>
      </c>
    </row>
    <row r="350" spans="1:23" x14ac:dyDescent="0.35">
      <c r="A350" s="6" t="s">
        <v>251</v>
      </c>
      <c r="B350" s="6" t="s">
        <v>19</v>
      </c>
      <c r="C350" s="6">
        <v>56545898</v>
      </c>
      <c r="D350" s="6" t="s">
        <v>252</v>
      </c>
      <c r="E350" s="6" t="s">
        <v>255</v>
      </c>
      <c r="F350" s="6" t="s">
        <v>190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295</v>
      </c>
      <c r="L350" s="22"/>
      <c r="M350" s="5" t="s">
        <v>24</v>
      </c>
      <c r="N350" s="6" t="s">
        <v>254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789</v>
      </c>
      <c r="U350" s="34" t="s">
        <v>432</v>
      </c>
    </row>
    <row r="351" spans="1:23" x14ac:dyDescent="0.35">
      <c r="A351" s="6" t="s">
        <v>245</v>
      </c>
      <c r="B351" s="6" t="s">
        <v>19</v>
      </c>
      <c r="C351" s="6">
        <v>47250615</v>
      </c>
      <c r="D351" s="6" t="s">
        <v>246</v>
      </c>
      <c r="E351" s="5" t="s">
        <v>256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295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789</v>
      </c>
      <c r="U351" s="34" t="s">
        <v>432</v>
      </c>
    </row>
    <row r="352" spans="1:23" x14ac:dyDescent="0.35">
      <c r="A352" s="6" t="s">
        <v>257</v>
      </c>
      <c r="B352" s="6" t="s">
        <v>19</v>
      </c>
      <c r="C352" s="6">
        <v>47435897</v>
      </c>
      <c r="D352" s="6" t="s">
        <v>195</v>
      </c>
      <c r="E352" s="6" t="s">
        <v>258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295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789</v>
      </c>
      <c r="U352" s="34" t="s">
        <v>432</v>
      </c>
    </row>
    <row r="353" spans="1:21" x14ac:dyDescent="0.35">
      <c r="A353" s="6" t="s">
        <v>259</v>
      </c>
      <c r="B353" s="6" t="s">
        <v>19</v>
      </c>
      <c r="C353" s="6">
        <v>56403851</v>
      </c>
      <c r="D353" s="6" t="s">
        <v>260</v>
      </c>
      <c r="E353" s="6" t="s">
        <v>261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295</v>
      </c>
      <c r="L353" s="22"/>
      <c r="M353" s="5" t="s">
        <v>24</v>
      </c>
      <c r="N353" s="6" t="s">
        <v>262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789</v>
      </c>
      <c r="U353" s="34" t="s">
        <v>432</v>
      </c>
    </row>
    <row r="354" spans="1:21" x14ac:dyDescent="0.35">
      <c r="A354" s="6" t="s">
        <v>240</v>
      </c>
      <c r="B354" s="6" t="s">
        <v>19</v>
      </c>
      <c r="C354" s="6">
        <v>56376202</v>
      </c>
      <c r="D354" s="6" t="s">
        <v>35</v>
      </c>
      <c r="E354" s="6" t="s">
        <v>241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295</v>
      </c>
      <c r="L354" s="22"/>
      <c r="M354" s="5" t="s">
        <v>24</v>
      </c>
      <c r="N354" s="6" t="s">
        <v>169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789</v>
      </c>
      <c r="U354" s="34" t="s">
        <v>432</v>
      </c>
    </row>
    <row r="355" spans="1:21" x14ac:dyDescent="0.35">
      <c r="A355" s="6" t="s">
        <v>242</v>
      </c>
      <c r="B355" s="6" t="s">
        <v>43</v>
      </c>
      <c r="C355" s="6">
        <v>56227462</v>
      </c>
      <c r="D355" s="6" t="s">
        <v>97</v>
      </c>
      <c r="E355" s="6" t="s">
        <v>243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295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789</v>
      </c>
      <c r="U355" s="34" t="s">
        <v>433</v>
      </c>
    </row>
    <row r="356" spans="1:21" x14ac:dyDescent="0.35">
      <c r="A356" s="6" t="s">
        <v>242</v>
      </c>
      <c r="B356" s="6" t="s">
        <v>43</v>
      </c>
      <c r="C356" s="6">
        <v>56229871</v>
      </c>
      <c r="D356" s="6" t="s">
        <v>201</v>
      </c>
      <c r="E356" s="6" t="s">
        <v>244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295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789</v>
      </c>
      <c r="U356" s="34" t="s">
        <v>433</v>
      </c>
    </row>
    <row r="357" spans="1:21" x14ac:dyDescent="0.35">
      <c r="A357" s="6" t="s">
        <v>245</v>
      </c>
      <c r="B357" s="6" t="s">
        <v>19</v>
      </c>
      <c r="C357" s="6">
        <v>47247106</v>
      </c>
      <c r="D357" s="6" t="s">
        <v>246</v>
      </c>
      <c r="E357" s="5" t="s">
        <v>247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295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789</v>
      </c>
      <c r="U357" s="34" t="s">
        <v>432</v>
      </c>
    </row>
    <row r="358" spans="1:21" x14ac:dyDescent="0.35">
      <c r="A358" s="3" t="s">
        <v>248</v>
      </c>
      <c r="B358" s="5" t="s">
        <v>30</v>
      </c>
      <c r="C358" s="3">
        <v>46636869</v>
      </c>
      <c r="D358" s="5" t="s">
        <v>249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295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789</v>
      </c>
      <c r="U358" s="34" t="s">
        <v>432</v>
      </c>
    </row>
    <row r="359" spans="1:21" x14ac:dyDescent="0.35">
      <c r="A359" s="1" t="s">
        <v>250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295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789</v>
      </c>
      <c r="U359" s="34" t="s">
        <v>432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234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295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789</v>
      </c>
      <c r="U360" s="34" t="s">
        <v>433</v>
      </c>
    </row>
    <row r="361" spans="1:21" x14ac:dyDescent="0.35">
      <c r="A361" s="6" t="s">
        <v>235</v>
      </c>
      <c r="B361" s="6" t="s">
        <v>19</v>
      </c>
      <c r="C361" s="6">
        <v>55096581</v>
      </c>
      <c r="D361" s="6" t="s">
        <v>236</v>
      </c>
      <c r="E361" s="6" t="s">
        <v>237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295</v>
      </c>
      <c r="L361" s="22"/>
      <c r="M361" s="5" t="s">
        <v>24</v>
      </c>
      <c r="N361" s="6" t="s">
        <v>191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789</v>
      </c>
      <c r="U361" s="34" t="s">
        <v>432</v>
      </c>
    </row>
    <row r="362" spans="1:21" x14ac:dyDescent="0.35">
      <c r="A362" s="6" t="s">
        <v>238</v>
      </c>
      <c r="B362" s="5" t="s">
        <v>43</v>
      </c>
      <c r="C362" s="6">
        <v>54649168</v>
      </c>
      <c r="D362" s="5" t="s">
        <v>49</v>
      </c>
      <c r="E362" s="6" t="s">
        <v>239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295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789</v>
      </c>
      <c r="U362" s="34" t="s">
        <v>432</v>
      </c>
    </row>
    <row r="363" spans="1:21" x14ac:dyDescent="0.35">
      <c r="A363" s="1" t="s">
        <v>228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295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789</v>
      </c>
      <c r="U363" s="34" t="s">
        <v>432</v>
      </c>
    </row>
    <row r="364" spans="1:21" x14ac:dyDescent="0.35">
      <c r="A364" s="3" t="s">
        <v>229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295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789</v>
      </c>
      <c r="U364" s="34" t="s">
        <v>432</v>
      </c>
    </row>
    <row r="365" spans="1:21" x14ac:dyDescent="0.35">
      <c r="A365" s="3" t="s">
        <v>230</v>
      </c>
      <c r="B365" s="5" t="s">
        <v>19</v>
      </c>
      <c r="C365" s="3">
        <v>56604835</v>
      </c>
      <c r="D365" s="5" t="s">
        <v>20</v>
      </c>
      <c r="E365" s="3" t="s">
        <v>231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295</v>
      </c>
      <c r="L365" s="22"/>
      <c r="M365" s="5" t="s">
        <v>24</v>
      </c>
      <c r="N365" s="5" t="s">
        <v>169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789</v>
      </c>
      <c r="U365" s="34" t="s">
        <v>432</v>
      </c>
    </row>
    <row r="366" spans="1:21" x14ac:dyDescent="0.35">
      <c r="A366" s="6" t="s">
        <v>232</v>
      </c>
      <c r="B366" s="5" t="s">
        <v>19</v>
      </c>
      <c r="C366" s="6">
        <v>55303164</v>
      </c>
      <c r="D366" s="5" t="s">
        <v>44</v>
      </c>
      <c r="E366" s="6" t="s">
        <v>233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295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789</v>
      </c>
      <c r="U366" s="34" t="s">
        <v>432</v>
      </c>
    </row>
    <row r="367" spans="1:21" x14ac:dyDescent="0.35">
      <c r="A367" s="6" t="s">
        <v>224</v>
      </c>
      <c r="B367" s="5" t="s">
        <v>19</v>
      </c>
      <c r="C367" s="19">
        <v>55658281</v>
      </c>
      <c r="D367" s="5" t="s">
        <v>67</v>
      </c>
      <c r="E367" s="6" t="s">
        <v>225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295</v>
      </c>
      <c r="L367" s="22"/>
      <c r="M367" s="5" t="s">
        <v>24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789</v>
      </c>
      <c r="U367" s="34" t="s">
        <v>432</v>
      </c>
    </row>
    <row r="368" spans="1:21" x14ac:dyDescent="0.35">
      <c r="A368" s="6" t="s">
        <v>226</v>
      </c>
      <c r="B368" s="6" t="s">
        <v>19</v>
      </c>
      <c r="C368" s="6">
        <v>55316532</v>
      </c>
      <c r="D368" s="6" t="s">
        <v>20</v>
      </c>
      <c r="E368" s="6" t="s">
        <v>227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295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789</v>
      </c>
      <c r="U368" s="34" t="s">
        <v>432</v>
      </c>
    </row>
    <row r="369" spans="1:21" x14ac:dyDescent="0.35">
      <c r="A369" s="6" t="s">
        <v>221</v>
      </c>
      <c r="B369" s="6" t="s">
        <v>19</v>
      </c>
      <c r="C369" s="6">
        <v>54984896</v>
      </c>
      <c r="D369" s="6" t="s">
        <v>112</v>
      </c>
      <c r="E369" s="6" t="s">
        <v>222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295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787</v>
      </c>
      <c r="U369" s="34" t="s">
        <v>432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223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295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787</v>
      </c>
      <c r="U370" s="34" t="s">
        <v>433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213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295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787</v>
      </c>
      <c r="U371" s="34" t="s">
        <v>433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195</v>
      </c>
      <c r="E372" s="6" t="s">
        <v>214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295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787</v>
      </c>
      <c r="U372" s="34" t="s">
        <v>433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195</v>
      </c>
      <c r="E373" s="6" t="s">
        <v>215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295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787</v>
      </c>
      <c r="U373" s="34" t="s">
        <v>433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216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295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787</v>
      </c>
      <c r="U374" s="34" t="s">
        <v>433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217</v>
      </c>
      <c r="E375" s="6" t="s">
        <v>218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295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787</v>
      </c>
      <c r="U375" s="34" t="s">
        <v>433</v>
      </c>
    </row>
    <row r="376" spans="1:21" x14ac:dyDescent="0.35">
      <c r="A376" s="6" t="s">
        <v>219</v>
      </c>
      <c r="B376" s="6" t="s">
        <v>19</v>
      </c>
      <c r="C376" s="26">
        <v>54887240</v>
      </c>
      <c r="D376" s="6" t="s">
        <v>67</v>
      </c>
      <c r="E376" s="6" t="s">
        <v>220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295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787</v>
      </c>
      <c r="U376" s="34" t="s">
        <v>432</v>
      </c>
    </row>
    <row r="377" spans="1:21" x14ac:dyDescent="0.35">
      <c r="A377" s="6" t="s">
        <v>206</v>
      </c>
      <c r="B377" s="6" t="s">
        <v>43</v>
      </c>
      <c r="C377" s="14">
        <v>32892220</v>
      </c>
      <c r="D377" s="6" t="s">
        <v>207</v>
      </c>
      <c r="E377" s="6" t="s">
        <v>208</v>
      </c>
      <c r="F377" s="6" t="s">
        <v>209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295</v>
      </c>
      <c r="L377" s="22"/>
      <c r="M377" s="5" t="s">
        <v>24</v>
      </c>
      <c r="N377" s="6" t="s">
        <v>191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787</v>
      </c>
      <c r="U377" s="34" t="s">
        <v>432</v>
      </c>
    </row>
    <row r="378" spans="1:21" x14ac:dyDescent="0.35">
      <c r="A378" s="1" t="s">
        <v>210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295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787</v>
      </c>
      <c r="U378" s="34" t="s">
        <v>432</v>
      </c>
    </row>
    <row r="379" spans="1:21" x14ac:dyDescent="0.35">
      <c r="A379" s="1" t="s">
        <v>211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295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787</v>
      </c>
      <c r="U379" s="34" t="s">
        <v>432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212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295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787</v>
      </c>
      <c r="U380" s="34" t="s">
        <v>432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192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295</v>
      </c>
      <c r="L381" s="22"/>
      <c r="M381" s="5" t="s">
        <v>24</v>
      </c>
      <c r="N381" s="6" t="s">
        <v>193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787</v>
      </c>
      <c r="U381" s="34" t="s">
        <v>432</v>
      </c>
    </row>
    <row r="382" spans="1:21" x14ac:dyDescent="0.35">
      <c r="A382" s="6" t="s">
        <v>194</v>
      </c>
      <c r="B382" s="6" t="s">
        <v>43</v>
      </c>
      <c r="C382" s="6">
        <v>54215173</v>
      </c>
      <c r="D382" s="6" t="s">
        <v>195</v>
      </c>
      <c r="E382" s="6" t="s">
        <v>196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295</v>
      </c>
      <c r="L382" s="22"/>
      <c r="M382" s="25" t="s">
        <v>24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787</v>
      </c>
      <c r="U382" s="34" t="s">
        <v>432</v>
      </c>
    </row>
    <row r="383" spans="1:21" x14ac:dyDescent="0.35">
      <c r="A383" s="6" t="s">
        <v>197</v>
      </c>
      <c r="B383" s="6" t="s">
        <v>43</v>
      </c>
      <c r="C383" s="6">
        <v>55655854</v>
      </c>
      <c r="D383" s="6" t="s">
        <v>67</v>
      </c>
      <c r="E383" s="6" t="s">
        <v>198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295</v>
      </c>
      <c r="L383" s="22"/>
      <c r="M383" s="5" t="s">
        <v>24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787</v>
      </c>
      <c r="U383" s="34" t="s">
        <v>432</v>
      </c>
    </row>
    <row r="384" spans="1:21" x14ac:dyDescent="0.35">
      <c r="A384" s="1" t="s">
        <v>199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295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787</v>
      </c>
      <c r="U384" s="34" t="s">
        <v>432</v>
      </c>
    </row>
    <row r="385" spans="1:21" x14ac:dyDescent="0.35">
      <c r="A385" s="1" t="s">
        <v>200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295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787</v>
      </c>
      <c r="U385" s="34" t="s">
        <v>432</v>
      </c>
    </row>
    <row r="386" spans="1:21" x14ac:dyDescent="0.35">
      <c r="A386" s="6" t="s">
        <v>167</v>
      </c>
      <c r="B386" s="6" t="s">
        <v>43</v>
      </c>
      <c r="C386" s="6">
        <v>55418390</v>
      </c>
      <c r="D386" s="6" t="s">
        <v>201</v>
      </c>
      <c r="E386" s="6" t="s">
        <v>202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49" si="23">+NETWORKDAYS(H386,I386)</f>
        <v>15</v>
      </c>
      <c r="K386" s="17" t="s">
        <v>295</v>
      </c>
      <c r="L386" s="22"/>
      <c r="M386" s="5" t="s">
        <v>24</v>
      </c>
      <c r="N386" s="5" t="s">
        <v>169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49" si="24">NETWORKDAYS(H386,R386)</f>
        <v>19</v>
      </c>
      <c r="T386" s="5" t="s">
        <v>787</v>
      </c>
      <c r="U386" s="34" t="s">
        <v>432</v>
      </c>
    </row>
    <row r="387" spans="1:21" s="18" customFormat="1" x14ac:dyDescent="0.35">
      <c r="A387" s="6" t="s">
        <v>203</v>
      </c>
      <c r="B387" s="6" t="s">
        <v>43</v>
      </c>
      <c r="C387" s="6">
        <v>55671110</v>
      </c>
      <c r="D387" s="6" t="s">
        <v>204</v>
      </c>
      <c r="E387" s="6" t="s">
        <v>205</v>
      </c>
      <c r="F387" s="6" t="s">
        <v>190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295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787</v>
      </c>
      <c r="U387" s="34" t="s">
        <v>432</v>
      </c>
    </row>
    <row r="388" spans="1:21" x14ac:dyDescent="0.35">
      <c r="A388" s="6" t="s">
        <v>187</v>
      </c>
      <c r="B388" s="6" t="s">
        <v>19</v>
      </c>
      <c r="C388" s="6">
        <v>51830827</v>
      </c>
      <c r="D388" s="6" t="s">
        <v>188</v>
      </c>
      <c r="E388" s="6" t="s">
        <v>189</v>
      </c>
      <c r="F388" s="6" t="s">
        <v>190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295</v>
      </c>
      <c r="L388" s="22"/>
      <c r="M388" s="5" t="s">
        <v>24</v>
      </c>
      <c r="N388" s="6" t="s">
        <v>191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788</v>
      </c>
      <c r="U388" s="34" t="s">
        <v>432</v>
      </c>
    </row>
    <row r="389" spans="1:21" x14ac:dyDescent="0.35">
      <c r="A389" s="14" t="s">
        <v>172</v>
      </c>
      <c r="B389" s="6" t="s">
        <v>19</v>
      </c>
      <c r="C389" s="6">
        <v>54826025</v>
      </c>
      <c r="D389" s="6" t="s">
        <v>170</v>
      </c>
      <c r="E389" s="6" t="s">
        <v>173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295</v>
      </c>
      <c r="L389" s="22"/>
      <c r="M389" s="5" t="s">
        <v>24</v>
      </c>
      <c r="N389" s="6" t="s">
        <v>174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788</v>
      </c>
      <c r="U389" s="34" t="s">
        <v>432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175</v>
      </c>
      <c r="E390" s="5" t="s">
        <v>176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295</v>
      </c>
      <c r="L390" s="22"/>
      <c r="M390" s="25" t="s">
        <v>24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788</v>
      </c>
      <c r="U390" s="34" t="s">
        <v>433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175</v>
      </c>
      <c r="E391" s="5" t="s">
        <v>177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295</v>
      </c>
      <c r="L391" s="22"/>
      <c r="M391" s="25" t="s">
        <v>24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788</v>
      </c>
      <c r="U391" s="34" t="s">
        <v>433</v>
      </c>
    </row>
    <row r="392" spans="1:21" s="18" customFormat="1" x14ac:dyDescent="0.35">
      <c r="A392" s="6" t="s">
        <v>167</v>
      </c>
      <c r="B392" s="6" t="s">
        <v>43</v>
      </c>
      <c r="C392" s="6">
        <v>55419176</v>
      </c>
      <c r="D392" s="6" t="s">
        <v>35</v>
      </c>
      <c r="E392" s="6" t="s">
        <v>178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295</v>
      </c>
      <c r="L392" s="22"/>
      <c r="M392" s="25" t="s">
        <v>24</v>
      </c>
      <c r="N392" s="6" t="s">
        <v>169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788</v>
      </c>
      <c r="U392" s="34" t="s">
        <v>432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179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295</v>
      </c>
      <c r="L393" s="22"/>
      <c r="M393" s="5" t="s">
        <v>24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788</v>
      </c>
      <c r="U393" s="34" t="s">
        <v>433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180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295</v>
      </c>
      <c r="L394" s="22"/>
      <c r="M394" s="5" t="s">
        <v>24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788</v>
      </c>
      <c r="U394" s="34" t="s">
        <v>433</v>
      </c>
    </row>
    <row r="395" spans="1:21" x14ac:dyDescent="0.35">
      <c r="A395" s="6" t="s">
        <v>181</v>
      </c>
      <c r="B395" s="6" t="s">
        <v>19</v>
      </c>
      <c r="C395" s="6">
        <v>53756974</v>
      </c>
      <c r="D395" s="6" t="s">
        <v>170</v>
      </c>
      <c r="E395" s="6" t="s">
        <v>182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295</v>
      </c>
      <c r="L395" s="22"/>
      <c r="M395" s="5" t="s">
        <v>24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788</v>
      </c>
      <c r="U395" s="34" t="s">
        <v>432</v>
      </c>
    </row>
    <row r="396" spans="1:21" x14ac:dyDescent="0.35">
      <c r="A396" s="6" t="s">
        <v>183</v>
      </c>
      <c r="B396" s="6" t="s">
        <v>19</v>
      </c>
      <c r="C396" s="6">
        <v>55949415</v>
      </c>
      <c r="D396" s="6" t="s">
        <v>184</v>
      </c>
      <c r="E396" s="6" t="s">
        <v>185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295</v>
      </c>
      <c r="L396" s="22"/>
      <c r="M396" s="5" t="s">
        <v>24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788</v>
      </c>
      <c r="U396" s="34" t="s">
        <v>432</v>
      </c>
    </row>
    <row r="397" spans="1:21" x14ac:dyDescent="0.35">
      <c r="A397" s="6" t="s">
        <v>183</v>
      </c>
      <c r="B397" s="6" t="s">
        <v>19</v>
      </c>
      <c r="C397" s="19">
        <v>55950285</v>
      </c>
      <c r="D397" s="6" t="s">
        <v>184</v>
      </c>
      <c r="E397" s="6" t="s">
        <v>186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775</v>
      </c>
      <c r="L397" s="22"/>
      <c r="M397" s="5" t="s">
        <v>24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788</v>
      </c>
      <c r="U397" s="34" t="s">
        <v>432</v>
      </c>
    </row>
    <row r="398" spans="1:21" x14ac:dyDescent="0.35">
      <c r="A398" s="61" t="s">
        <v>164</v>
      </c>
      <c r="B398" s="61" t="s">
        <v>43</v>
      </c>
      <c r="C398" s="70">
        <v>51915231</v>
      </c>
      <c r="D398" s="61" t="s">
        <v>165</v>
      </c>
      <c r="E398" s="61" t="s">
        <v>166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295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788</v>
      </c>
      <c r="U398" s="67" t="s">
        <v>432</v>
      </c>
    </row>
    <row r="399" spans="1:21" x14ac:dyDescent="0.35">
      <c r="A399" s="6" t="s">
        <v>167</v>
      </c>
      <c r="B399" s="6" t="s">
        <v>43</v>
      </c>
      <c r="C399" s="6">
        <v>55419204</v>
      </c>
      <c r="D399" s="6" t="s">
        <v>35</v>
      </c>
      <c r="E399" s="6" t="s">
        <v>168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295</v>
      </c>
      <c r="L399" s="22"/>
      <c r="M399" s="5" t="s">
        <v>24</v>
      </c>
      <c r="N399" s="6" t="s">
        <v>169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788</v>
      </c>
      <c r="U399" s="34" t="s">
        <v>432</v>
      </c>
    </row>
    <row r="400" spans="1:21" x14ac:dyDescent="0.35">
      <c r="A400" s="6" t="s">
        <v>167</v>
      </c>
      <c r="B400" s="6" t="s">
        <v>43</v>
      </c>
      <c r="C400" s="6">
        <v>55418406</v>
      </c>
      <c r="D400" s="6" t="s">
        <v>170</v>
      </c>
      <c r="E400" s="6" t="s">
        <v>171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295</v>
      </c>
      <c r="L400" s="22"/>
      <c r="M400" s="5" t="s">
        <v>24</v>
      </c>
      <c r="N400" s="6" t="s">
        <v>169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788</v>
      </c>
      <c r="U400" s="34" t="s">
        <v>432</v>
      </c>
    </row>
    <row r="401" spans="1:21" x14ac:dyDescent="0.35">
      <c r="A401" s="6" t="s">
        <v>161</v>
      </c>
      <c r="B401" s="6" t="s">
        <v>19</v>
      </c>
      <c r="C401" s="6">
        <v>53397829</v>
      </c>
      <c r="D401" s="6" t="s">
        <v>35</v>
      </c>
      <c r="E401" s="6" t="s">
        <v>162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295</v>
      </c>
      <c r="L401" s="17"/>
      <c r="M401" s="7" t="s">
        <v>24</v>
      </c>
      <c r="N401" s="6" t="s">
        <v>163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788</v>
      </c>
      <c r="U401" s="34" t="s">
        <v>432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157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295</v>
      </c>
      <c r="L402" s="17"/>
      <c r="M402" s="7" t="s">
        <v>24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788</v>
      </c>
      <c r="U402" s="34" t="s">
        <v>433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158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295</v>
      </c>
      <c r="L403" s="17"/>
      <c r="M403" s="7" t="s">
        <v>24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788</v>
      </c>
      <c r="U403" s="34" t="s">
        <v>433</v>
      </c>
    </row>
    <row r="404" spans="1:21" ht="36" x14ac:dyDescent="0.35">
      <c r="A404" s="4" t="s">
        <v>159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295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788</v>
      </c>
      <c r="U404" s="34" t="s">
        <v>432</v>
      </c>
    </row>
    <row r="405" spans="1:21" x14ac:dyDescent="0.35">
      <c r="A405" s="4" t="s">
        <v>160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295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788</v>
      </c>
      <c r="U405" s="34" t="s">
        <v>432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295</v>
      </c>
      <c r="L406" s="17"/>
      <c r="M406" s="7" t="s">
        <v>24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786</v>
      </c>
      <c r="U406" s="34" t="s">
        <v>433</v>
      </c>
    </row>
    <row r="407" spans="1:21" x14ac:dyDescent="0.35">
      <c r="A407" s="1" t="s">
        <v>155</v>
      </c>
      <c r="B407" s="6" t="s">
        <v>85</v>
      </c>
      <c r="C407" s="1">
        <v>54831027</v>
      </c>
      <c r="D407" s="6" t="s">
        <v>156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295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786</v>
      </c>
      <c r="U407" s="34" t="s">
        <v>432</v>
      </c>
    </row>
    <row r="408" spans="1:21" x14ac:dyDescent="0.35">
      <c r="A408" s="6" t="s">
        <v>793</v>
      </c>
      <c r="B408" s="55" t="s">
        <v>19</v>
      </c>
      <c r="C408" s="55">
        <v>63720023</v>
      </c>
      <c r="D408" s="55" t="s">
        <v>741</v>
      </c>
      <c r="E408" s="55" t="s">
        <v>794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295</v>
      </c>
      <c r="L408" s="6" t="s">
        <v>296</v>
      </c>
      <c r="M408" s="6" t="s">
        <v>24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785</v>
      </c>
      <c r="U408" s="6" t="s">
        <v>537</v>
      </c>
    </row>
    <row r="409" spans="1:21" x14ac:dyDescent="0.35">
      <c r="A409" s="6" t="s">
        <v>793</v>
      </c>
      <c r="B409" s="55" t="s">
        <v>19</v>
      </c>
      <c r="C409" s="55">
        <v>63720018</v>
      </c>
      <c r="D409" s="55" t="s">
        <v>741</v>
      </c>
      <c r="E409" s="55" t="s">
        <v>795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295</v>
      </c>
      <c r="L409" s="6" t="s">
        <v>296</v>
      </c>
      <c r="M409" s="6" t="s">
        <v>24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785</v>
      </c>
      <c r="U409" s="6" t="s">
        <v>537</v>
      </c>
    </row>
    <row r="410" spans="1:21" x14ac:dyDescent="0.35">
      <c r="A410" s="6" t="s">
        <v>796</v>
      </c>
      <c r="B410" s="55" t="s">
        <v>19</v>
      </c>
      <c r="C410" s="55">
        <v>64027227</v>
      </c>
      <c r="D410" s="55" t="s">
        <v>20</v>
      </c>
      <c r="E410" s="55" t="s">
        <v>797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295</v>
      </c>
      <c r="L410" s="6" t="s">
        <v>296</v>
      </c>
      <c r="M410" s="6" t="s">
        <v>24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785</v>
      </c>
      <c r="U410" s="6" t="s">
        <v>537</v>
      </c>
    </row>
    <row r="411" spans="1:21" x14ac:dyDescent="0.35">
      <c r="A411" s="6" t="s">
        <v>798</v>
      </c>
      <c r="B411" s="55" t="s">
        <v>19</v>
      </c>
      <c r="C411" s="55">
        <v>63702675</v>
      </c>
      <c r="D411" s="55" t="s">
        <v>670</v>
      </c>
      <c r="E411" s="55" t="s">
        <v>799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295</v>
      </c>
      <c r="L411" s="6" t="s">
        <v>296</v>
      </c>
      <c r="M411" s="6" t="s">
        <v>24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785</v>
      </c>
      <c r="U411" s="6" t="s">
        <v>537</v>
      </c>
    </row>
    <row r="412" spans="1:21" x14ac:dyDescent="0.35">
      <c r="A412" s="6" t="s">
        <v>800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295</v>
      </c>
      <c r="L412" s="55" t="s">
        <v>296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785</v>
      </c>
      <c r="U412" s="6" t="s">
        <v>537</v>
      </c>
    </row>
    <row r="413" spans="1:21" x14ac:dyDescent="0.35">
      <c r="A413" s="6" t="s">
        <v>801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295</v>
      </c>
      <c r="L413" s="55" t="s">
        <v>296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785</v>
      </c>
      <c r="U413" s="6" t="s">
        <v>537</v>
      </c>
    </row>
    <row r="414" spans="1:21" x14ac:dyDescent="0.35">
      <c r="A414" s="6" t="s">
        <v>802</v>
      </c>
      <c r="B414" s="55" t="s">
        <v>19</v>
      </c>
      <c r="C414" s="55">
        <v>63535613</v>
      </c>
      <c r="D414" s="55" t="s">
        <v>20</v>
      </c>
      <c r="E414" s="55" t="s">
        <v>803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295</v>
      </c>
      <c r="L414" s="55" t="s">
        <v>296</v>
      </c>
      <c r="M414" s="55" t="s">
        <v>24</v>
      </c>
      <c r="N414" s="55" t="s">
        <v>174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815</v>
      </c>
      <c r="U414" s="55" t="s">
        <v>537</v>
      </c>
    </row>
    <row r="415" spans="1:21" x14ac:dyDescent="0.35">
      <c r="A415" s="6" t="s">
        <v>804</v>
      </c>
      <c r="B415" s="55" t="s">
        <v>19</v>
      </c>
      <c r="C415" s="55">
        <v>64257153</v>
      </c>
      <c r="D415" s="55" t="s">
        <v>35</v>
      </c>
      <c r="E415" s="55" t="s">
        <v>805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295</v>
      </c>
      <c r="L415" s="55" t="s">
        <v>296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815</v>
      </c>
      <c r="U415" s="55" t="s">
        <v>537</v>
      </c>
    </row>
    <row r="416" spans="1:21" x14ac:dyDescent="0.35">
      <c r="A416" s="6" t="s">
        <v>806</v>
      </c>
      <c r="B416" s="55" t="s">
        <v>19</v>
      </c>
      <c r="C416" s="55">
        <v>63643964</v>
      </c>
      <c r="D416" s="55" t="s">
        <v>807</v>
      </c>
      <c r="E416" s="55" t="s">
        <v>808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295</v>
      </c>
      <c r="L416" s="55" t="s">
        <v>296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815</v>
      </c>
      <c r="U416" s="55" t="s">
        <v>537</v>
      </c>
    </row>
    <row r="417" spans="1:21" x14ac:dyDescent="0.35">
      <c r="A417" s="6" t="s">
        <v>318</v>
      </c>
      <c r="B417" s="55" t="s">
        <v>19</v>
      </c>
      <c r="C417" s="55">
        <v>64028024</v>
      </c>
      <c r="D417" s="55" t="s">
        <v>435</v>
      </c>
      <c r="E417" s="55" t="s">
        <v>809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295</v>
      </c>
      <c r="L417" s="55" t="s">
        <v>296</v>
      </c>
      <c r="M417" s="6" t="s">
        <v>24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815</v>
      </c>
      <c r="U417" s="55" t="s">
        <v>433</v>
      </c>
    </row>
    <row r="418" spans="1:21" x14ac:dyDescent="0.35">
      <c r="A418" s="6" t="s">
        <v>810</v>
      </c>
      <c r="B418" s="55" t="s">
        <v>19</v>
      </c>
      <c r="C418" s="55">
        <v>62672234</v>
      </c>
      <c r="D418" s="55" t="s">
        <v>49</v>
      </c>
      <c r="E418" s="55" t="s">
        <v>811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295</v>
      </c>
      <c r="L418" s="55" t="s">
        <v>318</v>
      </c>
      <c r="M418" s="6" t="s">
        <v>24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815</v>
      </c>
      <c r="U418" s="55" t="s">
        <v>433</v>
      </c>
    </row>
    <row r="419" spans="1:21" x14ac:dyDescent="0.35">
      <c r="A419" s="6" t="s">
        <v>812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295</v>
      </c>
      <c r="L419" s="55" t="s">
        <v>296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815</v>
      </c>
      <c r="U419" s="55" t="s">
        <v>537</v>
      </c>
    </row>
    <row r="420" spans="1:21" s="18" customFormat="1" x14ac:dyDescent="0.35">
      <c r="A420" s="6" t="s">
        <v>141</v>
      </c>
      <c r="B420" s="6" t="s">
        <v>43</v>
      </c>
      <c r="C420" s="6">
        <v>63519784</v>
      </c>
      <c r="D420" s="6" t="s">
        <v>813</v>
      </c>
      <c r="E420" s="6" t="s">
        <v>814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295</v>
      </c>
      <c r="L420" s="6" t="s">
        <v>296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815</v>
      </c>
      <c r="U420" s="6" t="s">
        <v>537</v>
      </c>
    </row>
    <row r="421" spans="1:21" s="18" customFormat="1" x14ac:dyDescent="0.35">
      <c r="A421" s="6" t="s">
        <v>816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295</v>
      </c>
      <c r="L421" s="6" t="s">
        <v>302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815</v>
      </c>
      <c r="U421" s="6" t="s">
        <v>537</v>
      </c>
    </row>
    <row r="422" spans="1:21" s="18" customFormat="1" x14ac:dyDescent="0.35">
      <c r="A422" s="6" t="s">
        <v>817</v>
      </c>
      <c r="B422" s="6" t="s">
        <v>19</v>
      </c>
      <c r="C422" s="6">
        <v>59466514</v>
      </c>
      <c r="D422" s="6" t="s">
        <v>87</v>
      </c>
      <c r="E422" s="6" t="s">
        <v>818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295</v>
      </c>
      <c r="L422" s="6" t="s">
        <v>318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815</v>
      </c>
      <c r="U422" s="6" t="s">
        <v>537</v>
      </c>
    </row>
    <row r="423" spans="1:21" s="18" customFormat="1" x14ac:dyDescent="0.35">
      <c r="A423" s="6" t="s">
        <v>819</v>
      </c>
      <c r="B423" s="6" t="s">
        <v>43</v>
      </c>
      <c r="C423" s="6">
        <v>62898569</v>
      </c>
      <c r="D423" s="6" t="s">
        <v>702</v>
      </c>
      <c r="E423" s="6" t="s">
        <v>820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295</v>
      </c>
      <c r="L423" s="6" t="s">
        <v>296</v>
      </c>
      <c r="M423" s="6" t="s">
        <v>24</v>
      </c>
      <c r="N423" s="6" t="s">
        <v>191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815</v>
      </c>
      <c r="U423" s="6" t="s">
        <v>537</v>
      </c>
    </row>
    <row r="424" spans="1:21" s="18" customFormat="1" x14ac:dyDescent="0.35">
      <c r="A424" s="6" t="s">
        <v>42</v>
      </c>
      <c r="B424" s="6" t="s">
        <v>43</v>
      </c>
      <c r="C424" s="6">
        <v>63451685</v>
      </c>
      <c r="D424" s="6" t="s">
        <v>821</v>
      </c>
      <c r="E424" s="6" t="s">
        <v>822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295</v>
      </c>
      <c r="L424" s="6" t="s">
        <v>296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815</v>
      </c>
      <c r="U424" s="6" t="s">
        <v>537</v>
      </c>
    </row>
    <row r="425" spans="1:21" x14ac:dyDescent="0.35">
      <c r="A425" s="6" t="s">
        <v>798</v>
      </c>
      <c r="B425" s="55" t="s">
        <v>30</v>
      </c>
      <c r="C425" s="55">
        <v>63674987</v>
      </c>
      <c r="D425" s="55" t="s">
        <v>670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295</v>
      </c>
      <c r="L425" s="55" t="s">
        <v>296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815</v>
      </c>
      <c r="U425" s="6" t="s">
        <v>537</v>
      </c>
    </row>
    <row r="426" spans="1:21" x14ac:dyDescent="0.35">
      <c r="A426" s="6" t="s">
        <v>318</v>
      </c>
      <c r="B426" s="55" t="s">
        <v>43</v>
      </c>
      <c r="C426" s="55">
        <v>64029495</v>
      </c>
      <c r="D426" s="55" t="s">
        <v>20</v>
      </c>
      <c r="E426" s="55" t="s">
        <v>823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295</v>
      </c>
      <c r="L426" s="58" t="s">
        <v>296</v>
      </c>
      <c r="M426" s="58" t="s">
        <v>24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6" t="s">
        <v>815</v>
      </c>
      <c r="U426" s="55" t="s">
        <v>432</v>
      </c>
    </row>
    <row r="427" spans="1:21" x14ac:dyDescent="0.35">
      <c r="A427" s="6" t="s">
        <v>824</v>
      </c>
      <c r="B427" s="55" t="s">
        <v>43</v>
      </c>
      <c r="C427" s="55">
        <v>64594376</v>
      </c>
      <c r="D427" s="55" t="s">
        <v>35</v>
      </c>
      <c r="E427" s="55" t="s">
        <v>825</v>
      </c>
      <c r="F427" s="55" t="s">
        <v>46</v>
      </c>
      <c r="G427" s="55" t="s">
        <v>23</v>
      </c>
      <c r="H427" s="56">
        <v>46182</v>
      </c>
      <c r="I427" s="56">
        <v>46184</v>
      </c>
      <c r="J427" s="16">
        <f t="shared" si="23"/>
        <v>3</v>
      </c>
      <c r="K427" s="55" t="s">
        <v>295</v>
      </c>
      <c r="L427" s="55" t="s">
        <v>296</v>
      </c>
      <c r="M427" s="55" t="s">
        <v>24</v>
      </c>
      <c r="N427" s="55" t="s">
        <v>193</v>
      </c>
      <c r="O427" s="55">
        <v>0</v>
      </c>
      <c r="P427" s="55">
        <v>144000</v>
      </c>
      <c r="Q427" s="59">
        <v>144000</v>
      </c>
      <c r="R427" s="56">
        <v>46188</v>
      </c>
      <c r="S427" s="16">
        <f t="shared" si="24"/>
        <v>5</v>
      </c>
      <c r="T427" s="55" t="s">
        <v>839</v>
      </c>
      <c r="U427" s="55" t="s">
        <v>537</v>
      </c>
    </row>
    <row r="428" spans="1:21" x14ac:dyDescent="0.35">
      <c r="A428" s="6" t="s">
        <v>826</v>
      </c>
      <c r="B428" s="55" t="s">
        <v>43</v>
      </c>
      <c r="C428" s="55">
        <v>63705970</v>
      </c>
      <c r="D428" s="55" t="s">
        <v>94</v>
      </c>
      <c r="E428" s="55" t="s">
        <v>827</v>
      </c>
      <c r="F428" s="55" t="s">
        <v>22</v>
      </c>
      <c r="G428" s="55" t="s">
        <v>23</v>
      </c>
      <c r="H428" s="56">
        <v>46164</v>
      </c>
      <c r="I428" s="56">
        <v>46185</v>
      </c>
      <c r="J428" s="16">
        <f t="shared" si="23"/>
        <v>16</v>
      </c>
      <c r="K428" s="55" t="s">
        <v>295</v>
      </c>
      <c r="L428" s="55" t="s">
        <v>296</v>
      </c>
      <c r="M428" s="55" t="s">
        <v>24</v>
      </c>
      <c r="N428" s="55" t="s">
        <v>191</v>
      </c>
      <c r="O428" s="55">
        <v>2500000</v>
      </c>
      <c r="P428" s="55">
        <v>270125</v>
      </c>
      <c r="Q428" s="59">
        <v>2770125</v>
      </c>
      <c r="R428" s="56">
        <v>46188</v>
      </c>
      <c r="S428" s="16">
        <f t="shared" si="24"/>
        <v>17</v>
      </c>
      <c r="T428" s="55" t="s">
        <v>839</v>
      </c>
      <c r="U428" s="55" t="s">
        <v>537</v>
      </c>
    </row>
    <row r="429" spans="1:21" x14ac:dyDescent="0.35">
      <c r="A429" s="6" t="s">
        <v>828</v>
      </c>
      <c r="B429" s="55" t="s">
        <v>43</v>
      </c>
      <c r="C429" s="55">
        <v>63210811</v>
      </c>
      <c r="D429" s="55" t="s">
        <v>829</v>
      </c>
      <c r="E429" s="55" t="s">
        <v>830</v>
      </c>
      <c r="F429" s="55" t="s">
        <v>22</v>
      </c>
      <c r="G429" s="55" t="s">
        <v>23</v>
      </c>
      <c r="H429" s="56">
        <v>46155</v>
      </c>
      <c r="I429" s="56">
        <v>46188</v>
      </c>
      <c r="J429" s="16">
        <f t="shared" si="23"/>
        <v>24</v>
      </c>
      <c r="K429" s="55" t="s">
        <v>295</v>
      </c>
      <c r="L429" s="55" t="s">
        <v>302</v>
      </c>
      <c r="M429" s="55" t="s">
        <v>24</v>
      </c>
      <c r="N429" s="55" t="s">
        <v>63</v>
      </c>
      <c r="O429" s="55">
        <v>800000</v>
      </c>
      <c r="P429" s="55">
        <v>400000</v>
      </c>
      <c r="Q429" s="59">
        <v>1200000</v>
      </c>
      <c r="R429" s="56">
        <v>46188</v>
      </c>
      <c r="S429" s="16">
        <f t="shared" si="24"/>
        <v>24</v>
      </c>
      <c r="T429" s="55" t="s">
        <v>839</v>
      </c>
      <c r="U429" s="55" t="s">
        <v>537</v>
      </c>
    </row>
    <row r="430" spans="1:21" x14ac:dyDescent="0.35">
      <c r="A430" s="6" t="s">
        <v>831</v>
      </c>
      <c r="B430" s="55" t="s">
        <v>30</v>
      </c>
      <c r="C430" s="55">
        <v>63689992</v>
      </c>
      <c r="D430" s="55" t="s">
        <v>20</v>
      </c>
      <c r="E430" s="55">
        <v>2722509970</v>
      </c>
      <c r="F430" s="55" t="s">
        <v>32</v>
      </c>
      <c r="G430" s="55" t="s">
        <v>23</v>
      </c>
      <c r="H430" s="56">
        <v>46164</v>
      </c>
      <c r="I430" s="56">
        <v>46187</v>
      </c>
      <c r="J430" s="16">
        <f t="shared" si="23"/>
        <v>16</v>
      </c>
      <c r="K430" s="55" t="s">
        <v>295</v>
      </c>
      <c r="L430" s="55" t="s">
        <v>296</v>
      </c>
      <c r="M430" s="55" t="s">
        <v>24</v>
      </c>
      <c r="N430" s="55" t="s">
        <v>56</v>
      </c>
      <c r="O430" s="55">
        <v>270000</v>
      </c>
      <c r="P430" s="55">
        <v>111435</v>
      </c>
      <c r="Q430" s="59">
        <v>381435</v>
      </c>
      <c r="R430" s="56">
        <v>46188</v>
      </c>
      <c r="S430" s="16">
        <f t="shared" si="24"/>
        <v>17</v>
      </c>
      <c r="T430" s="55" t="s">
        <v>839</v>
      </c>
      <c r="U430" s="55" t="s">
        <v>537</v>
      </c>
    </row>
    <row r="431" spans="1:21" x14ac:dyDescent="0.35">
      <c r="A431" s="6" t="s">
        <v>832</v>
      </c>
      <c r="B431" s="55" t="s">
        <v>19</v>
      </c>
      <c r="C431" s="55">
        <v>63577039</v>
      </c>
      <c r="D431" s="55" t="s">
        <v>49</v>
      </c>
      <c r="E431" s="55" t="s">
        <v>833</v>
      </c>
      <c r="F431" s="55" t="s">
        <v>22</v>
      </c>
      <c r="G431" s="55" t="s">
        <v>23</v>
      </c>
      <c r="H431" s="56">
        <v>46162</v>
      </c>
      <c r="I431" s="56">
        <v>46185</v>
      </c>
      <c r="J431" s="16">
        <f t="shared" si="23"/>
        <v>18</v>
      </c>
      <c r="K431" s="55" t="s">
        <v>295</v>
      </c>
      <c r="L431" s="55" t="s">
        <v>296</v>
      </c>
      <c r="M431" s="55" t="s">
        <v>24</v>
      </c>
      <c r="N431" s="55" t="s">
        <v>174</v>
      </c>
      <c r="O431" s="55">
        <v>299185</v>
      </c>
      <c r="P431" s="55">
        <v>571781</v>
      </c>
      <c r="Q431" s="59">
        <v>870966</v>
      </c>
      <c r="R431" s="56">
        <v>46188</v>
      </c>
      <c r="S431" s="16">
        <f t="shared" si="24"/>
        <v>19</v>
      </c>
      <c r="T431" s="55" t="s">
        <v>839</v>
      </c>
      <c r="U431" s="55" t="s">
        <v>537</v>
      </c>
    </row>
    <row r="432" spans="1:21" x14ac:dyDescent="0.35">
      <c r="A432" s="6" t="s">
        <v>834</v>
      </c>
      <c r="B432" s="55" t="s">
        <v>85</v>
      </c>
      <c r="C432" s="55">
        <v>61239047</v>
      </c>
      <c r="D432" s="55" t="s">
        <v>835</v>
      </c>
      <c r="E432" s="55">
        <v>2721599900</v>
      </c>
      <c r="F432" s="55" t="s">
        <v>32</v>
      </c>
      <c r="G432" s="55" t="s">
        <v>37</v>
      </c>
      <c r="H432" s="56">
        <v>46120</v>
      </c>
      <c r="I432" s="56">
        <v>46188</v>
      </c>
      <c r="J432" s="16">
        <f t="shared" si="23"/>
        <v>49</v>
      </c>
      <c r="K432" s="55" t="s">
        <v>295</v>
      </c>
      <c r="L432" s="55" t="s">
        <v>302</v>
      </c>
      <c r="M432" s="55" t="s">
        <v>24</v>
      </c>
      <c r="N432" s="55" t="s">
        <v>82</v>
      </c>
      <c r="O432" s="55">
        <v>0</v>
      </c>
      <c r="P432" s="55">
        <v>0</v>
      </c>
      <c r="Q432" s="59">
        <v>0</v>
      </c>
      <c r="R432" s="56">
        <v>46189</v>
      </c>
      <c r="S432" s="16">
        <f t="shared" si="24"/>
        <v>50</v>
      </c>
      <c r="T432" s="55" t="s">
        <v>839</v>
      </c>
      <c r="U432" s="55" t="s">
        <v>537</v>
      </c>
    </row>
    <row r="433" spans="1:21" x14ac:dyDescent="0.35">
      <c r="A433" s="6" t="s">
        <v>831</v>
      </c>
      <c r="B433" s="55" t="s">
        <v>19</v>
      </c>
      <c r="C433" s="55">
        <v>63688978</v>
      </c>
      <c r="D433" s="55" t="s">
        <v>515</v>
      </c>
      <c r="E433" s="55" t="s">
        <v>836</v>
      </c>
      <c r="F433" s="55" t="s">
        <v>22</v>
      </c>
      <c r="G433" s="55" t="s">
        <v>37</v>
      </c>
      <c r="H433" s="56">
        <v>46164</v>
      </c>
      <c r="I433" s="56">
        <v>46185</v>
      </c>
      <c r="J433" s="16">
        <f t="shared" si="23"/>
        <v>16</v>
      </c>
      <c r="K433" s="55" t="s">
        <v>295</v>
      </c>
      <c r="L433" s="55" t="s">
        <v>296</v>
      </c>
      <c r="M433" s="55" t="s">
        <v>24</v>
      </c>
      <c r="N433" s="55" t="s">
        <v>53</v>
      </c>
      <c r="O433" s="55">
        <v>1500000</v>
      </c>
      <c r="P433" s="55">
        <v>0</v>
      </c>
      <c r="Q433" s="59">
        <v>1500000</v>
      </c>
      <c r="R433" s="56">
        <v>46190</v>
      </c>
      <c r="S433" s="16">
        <f t="shared" si="24"/>
        <v>19</v>
      </c>
      <c r="T433" s="55" t="s">
        <v>839</v>
      </c>
      <c r="U433" s="55" t="s">
        <v>537</v>
      </c>
    </row>
    <row r="434" spans="1:21" x14ac:dyDescent="0.35">
      <c r="A434" s="6" t="s">
        <v>837</v>
      </c>
      <c r="B434" s="55" t="s">
        <v>30</v>
      </c>
      <c r="C434" s="55">
        <v>53702282</v>
      </c>
      <c r="D434" s="55" t="s">
        <v>35</v>
      </c>
      <c r="E434" s="55">
        <v>2720301240</v>
      </c>
      <c r="F434" s="55" t="s">
        <v>32</v>
      </c>
      <c r="G434" s="55" t="s">
        <v>23</v>
      </c>
      <c r="H434" s="56">
        <v>45978</v>
      </c>
      <c r="I434" s="56">
        <v>46190</v>
      </c>
      <c r="J434" s="16">
        <f t="shared" si="23"/>
        <v>153</v>
      </c>
      <c r="K434" s="55" t="s">
        <v>295</v>
      </c>
      <c r="L434" s="55" t="s">
        <v>318</v>
      </c>
      <c r="M434" s="55" t="s">
        <v>24</v>
      </c>
      <c r="N434" s="55" t="s">
        <v>33</v>
      </c>
      <c r="O434" s="55">
        <v>150000</v>
      </c>
      <c r="P434" s="55">
        <v>40000</v>
      </c>
      <c r="Q434" s="59">
        <v>190000</v>
      </c>
      <c r="R434" s="56">
        <v>46190</v>
      </c>
      <c r="S434" s="16">
        <f t="shared" si="24"/>
        <v>153</v>
      </c>
      <c r="T434" s="55" t="s">
        <v>839</v>
      </c>
      <c r="U434" s="55" t="s">
        <v>537</v>
      </c>
    </row>
    <row r="435" spans="1:21" x14ac:dyDescent="0.35">
      <c r="A435" s="6" t="s">
        <v>318</v>
      </c>
      <c r="B435" s="55" t="s">
        <v>19</v>
      </c>
      <c r="C435" s="55">
        <v>64785630</v>
      </c>
      <c r="D435" s="55" t="s">
        <v>702</v>
      </c>
      <c r="E435" s="55" t="s">
        <v>838</v>
      </c>
      <c r="F435" s="55" t="s">
        <v>46</v>
      </c>
      <c r="G435" s="55" t="s">
        <v>23</v>
      </c>
      <c r="H435" s="56">
        <v>46185</v>
      </c>
      <c r="I435" s="56">
        <v>46186</v>
      </c>
      <c r="J435" s="16">
        <f t="shared" si="23"/>
        <v>1</v>
      </c>
      <c r="K435" s="55" t="s">
        <v>295</v>
      </c>
      <c r="L435" s="55" t="s">
        <v>296</v>
      </c>
      <c r="M435" s="55" t="s">
        <v>24</v>
      </c>
      <c r="N435" s="55" t="s">
        <v>28</v>
      </c>
      <c r="O435" s="55">
        <v>0</v>
      </c>
      <c r="P435" s="55">
        <v>0</v>
      </c>
      <c r="Q435" s="59">
        <v>0</v>
      </c>
      <c r="R435" s="56">
        <v>46190</v>
      </c>
      <c r="S435" s="16">
        <f t="shared" si="24"/>
        <v>4</v>
      </c>
      <c r="T435" s="55" t="s">
        <v>839</v>
      </c>
      <c r="U435" s="55" t="s">
        <v>537</v>
      </c>
    </row>
    <row r="436" spans="1:21" s="35" customFormat="1" ht="12" x14ac:dyDescent="0.3">
      <c r="A436" s="6" t="s">
        <v>840</v>
      </c>
      <c r="B436" s="5" t="s">
        <v>19</v>
      </c>
      <c r="C436" s="6">
        <v>64933535</v>
      </c>
      <c r="D436" s="5" t="s">
        <v>195</v>
      </c>
      <c r="E436" s="6" t="s">
        <v>841</v>
      </c>
      <c r="F436" s="5" t="s">
        <v>46</v>
      </c>
      <c r="G436" s="5" t="s">
        <v>23</v>
      </c>
      <c r="H436" s="8">
        <v>46188</v>
      </c>
      <c r="I436" s="7">
        <v>46189</v>
      </c>
      <c r="J436" s="16">
        <f t="shared" si="23"/>
        <v>2</v>
      </c>
      <c r="K436" s="17" t="s">
        <v>295</v>
      </c>
      <c r="L436" s="5" t="s">
        <v>296</v>
      </c>
      <c r="M436" s="5" t="s">
        <v>24</v>
      </c>
      <c r="N436" s="5" t="s">
        <v>146</v>
      </c>
      <c r="O436" s="33">
        <v>0</v>
      </c>
      <c r="P436" s="33">
        <v>0</v>
      </c>
      <c r="Q436" s="33">
        <f>P436+O436</f>
        <v>0</v>
      </c>
      <c r="R436" s="7">
        <v>46191</v>
      </c>
      <c r="S436" s="16">
        <f t="shared" si="24"/>
        <v>4</v>
      </c>
      <c r="T436" s="5" t="s">
        <v>839</v>
      </c>
      <c r="U436" s="5" t="s">
        <v>537</v>
      </c>
    </row>
    <row r="437" spans="1:21" s="35" customFormat="1" ht="12" x14ac:dyDescent="0.3">
      <c r="A437" s="6" t="s">
        <v>842</v>
      </c>
      <c r="B437" s="5" t="s">
        <v>19</v>
      </c>
      <c r="C437" s="1">
        <v>64929040</v>
      </c>
      <c r="D437" s="5" t="s">
        <v>20</v>
      </c>
      <c r="E437" s="6" t="s">
        <v>843</v>
      </c>
      <c r="F437" s="5" t="s">
        <v>46</v>
      </c>
      <c r="G437" s="5" t="s">
        <v>23</v>
      </c>
      <c r="H437" s="8">
        <v>46188</v>
      </c>
      <c r="I437" s="7">
        <v>46190</v>
      </c>
      <c r="J437" s="16">
        <f t="shared" si="23"/>
        <v>3</v>
      </c>
      <c r="K437" s="17" t="s">
        <v>295</v>
      </c>
      <c r="L437" s="5" t="s">
        <v>296</v>
      </c>
      <c r="M437" s="5" t="s">
        <v>24</v>
      </c>
      <c r="N437" s="5" t="s">
        <v>53</v>
      </c>
      <c r="O437" s="33">
        <v>0</v>
      </c>
      <c r="P437" s="33">
        <v>0</v>
      </c>
      <c r="Q437" s="33">
        <f>P437+O437</f>
        <v>0</v>
      </c>
      <c r="R437" s="7">
        <v>46191</v>
      </c>
      <c r="S437" s="16">
        <f t="shared" si="24"/>
        <v>4</v>
      </c>
      <c r="T437" s="5" t="s">
        <v>839</v>
      </c>
      <c r="U437" s="5" t="s">
        <v>537</v>
      </c>
    </row>
    <row r="438" spans="1:21" s="35" customFormat="1" ht="12" x14ac:dyDescent="0.3">
      <c r="A438" s="6" t="s">
        <v>844</v>
      </c>
      <c r="B438" s="6" t="s">
        <v>19</v>
      </c>
      <c r="C438" s="6">
        <v>49660008</v>
      </c>
      <c r="D438" s="6" t="s">
        <v>845</v>
      </c>
      <c r="E438" s="6" t="s">
        <v>846</v>
      </c>
      <c r="F438" s="6" t="s">
        <v>46</v>
      </c>
      <c r="G438" s="6" t="s">
        <v>23</v>
      </c>
      <c r="H438" s="8">
        <v>45904</v>
      </c>
      <c r="I438" s="8">
        <v>46190</v>
      </c>
      <c r="J438" s="16">
        <f t="shared" si="23"/>
        <v>205</v>
      </c>
      <c r="K438" s="17" t="s">
        <v>295</v>
      </c>
      <c r="L438" s="5" t="s">
        <v>318</v>
      </c>
      <c r="M438" s="5" t="s">
        <v>24</v>
      </c>
      <c r="N438" s="6" t="s">
        <v>60</v>
      </c>
      <c r="O438" s="12">
        <v>2538822</v>
      </c>
      <c r="P438" s="12">
        <v>1007000</v>
      </c>
      <c r="Q438" s="33">
        <f>P438+O438</f>
        <v>3545822</v>
      </c>
      <c r="R438" s="7">
        <v>46191</v>
      </c>
      <c r="S438" s="16">
        <f t="shared" si="24"/>
        <v>206</v>
      </c>
      <c r="T438" s="5" t="s">
        <v>839</v>
      </c>
      <c r="U438" s="5" t="s">
        <v>537</v>
      </c>
    </row>
    <row r="439" spans="1:21" s="35" customFormat="1" ht="12" x14ac:dyDescent="0.3">
      <c r="A439" s="6" t="s">
        <v>826</v>
      </c>
      <c r="B439" s="6" t="s">
        <v>43</v>
      </c>
      <c r="C439" s="6">
        <v>64145330</v>
      </c>
      <c r="D439" s="6" t="s">
        <v>20</v>
      </c>
      <c r="E439" s="6" t="s">
        <v>847</v>
      </c>
      <c r="F439" s="6" t="s">
        <v>22</v>
      </c>
      <c r="G439" s="6" t="s">
        <v>23</v>
      </c>
      <c r="H439" s="8">
        <v>46174</v>
      </c>
      <c r="I439" s="8">
        <v>46191</v>
      </c>
      <c r="J439" s="16">
        <f t="shared" si="23"/>
        <v>14</v>
      </c>
      <c r="K439" s="17" t="s">
        <v>295</v>
      </c>
      <c r="L439" s="5" t="s">
        <v>296</v>
      </c>
      <c r="M439" s="5" t="s">
        <v>24</v>
      </c>
      <c r="N439" s="6" t="s">
        <v>53</v>
      </c>
      <c r="O439" s="12">
        <v>2500000</v>
      </c>
      <c r="P439" s="12">
        <v>280000</v>
      </c>
      <c r="Q439" s="33">
        <f>P439+O439</f>
        <v>2780000</v>
      </c>
      <c r="R439" s="7">
        <v>46191</v>
      </c>
      <c r="S439" s="16">
        <f t="shared" si="24"/>
        <v>14</v>
      </c>
      <c r="T439" s="5" t="s">
        <v>839</v>
      </c>
      <c r="U439" s="5" t="s">
        <v>537</v>
      </c>
    </row>
    <row r="440" spans="1:21" s="35" customFormat="1" ht="12" x14ac:dyDescent="0.3">
      <c r="A440" s="1" t="s">
        <v>848</v>
      </c>
      <c r="B440" s="1" t="s">
        <v>85</v>
      </c>
      <c r="C440" s="1">
        <v>61244524</v>
      </c>
      <c r="D440" s="5" t="s">
        <v>35</v>
      </c>
      <c r="E440" s="1">
        <v>2720306200</v>
      </c>
      <c r="F440" s="6" t="s">
        <v>32</v>
      </c>
      <c r="G440" s="5" t="s">
        <v>37</v>
      </c>
      <c r="H440" s="7">
        <v>46120</v>
      </c>
      <c r="I440" s="8">
        <v>46190</v>
      </c>
      <c r="J440" s="16">
        <f t="shared" si="23"/>
        <v>51</v>
      </c>
      <c r="K440" s="17" t="s">
        <v>295</v>
      </c>
      <c r="L440" s="5" t="s">
        <v>318</v>
      </c>
      <c r="M440" s="5" t="s">
        <v>24</v>
      </c>
      <c r="N440" s="5" t="s">
        <v>82</v>
      </c>
      <c r="O440" s="1">
        <v>0</v>
      </c>
      <c r="P440" s="1">
        <v>0</v>
      </c>
      <c r="Q440" s="33">
        <f t="shared" ref="Q440:Q443" si="25">P440+O440</f>
        <v>0</v>
      </c>
      <c r="R440" s="7">
        <v>46192</v>
      </c>
      <c r="S440" s="16">
        <f t="shared" si="24"/>
        <v>53</v>
      </c>
      <c r="T440" s="5" t="s">
        <v>839</v>
      </c>
      <c r="U440" s="5" t="s">
        <v>537</v>
      </c>
    </row>
    <row r="441" spans="1:21" s="35" customFormat="1" ht="36" x14ac:dyDescent="0.3">
      <c r="A441" s="4" t="s">
        <v>849</v>
      </c>
      <c r="B441" s="1" t="s">
        <v>30</v>
      </c>
      <c r="C441" s="1">
        <v>64168091</v>
      </c>
      <c r="D441" s="5" t="s">
        <v>94</v>
      </c>
      <c r="E441" s="1">
        <v>2724391874</v>
      </c>
      <c r="F441" s="6" t="s">
        <v>32</v>
      </c>
      <c r="G441" s="5" t="s">
        <v>23</v>
      </c>
      <c r="H441" s="24">
        <v>46174</v>
      </c>
      <c r="I441" s="8">
        <v>46190</v>
      </c>
      <c r="J441" s="16">
        <f t="shared" si="23"/>
        <v>13</v>
      </c>
      <c r="K441" s="17" t="s">
        <v>295</v>
      </c>
      <c r="L441" s="5" t="s">
        <v>296</v>
      </c>
      <c r="M441" s="5" t="s">
        <v>24</v>
      </c>
      <c r="N441" s="5" t="s">
        <v>33</v>
      </c>
      <c r="O441" s="9">
        <v>150000</v>
      </c>
      <c r="P441" s="9">
        <v>60000</v>
      </c>
      <c r="Q441" s="33">
        <f t="shared" si="25"/>
        <v>210000</v>
      </c>
      <c r="R441" s="7">
        <v>46192</v>
      </c>
      <c r="S441" s="16">
        <f t="shared" si="24"/>
        <v>15</v>
      </c>
      <c r="T441" s="5" t="s">
        <v>839</v>
      </c>
      <c r="U441" s="5" t="s">
        <v>537</v>
      </c>
    </row>
    <row r="442" spans="1:21" s="35" customFormat="1" ht="12" x14ac:dyDescent="0.3">
      <c r="A442" s="1" t="s">
        <v>850</v>
      </c>
      <c r="B442" s="1" t="s">
        <v>30</v>
      </c>
      <c r="C442" s="1">
        <v>64670304</v>
      </c>
      <c r="D442" s="5" t="s">
        <v>20</v>
      </c>
      <c r="E442" s="1">
        <v>2722509560</v>
      </c>
      <c r="F442" s="6" t="s">
        <v>32</v>
      </c>
      <c r="G442" s="5" t="s">
        <v>23</v>
      </c>
      <c r="H442" s="7">
        <v>46183</v>
      </c>
      <c r="I442" s="8">
        <v>46191</v>
      </c>
      <c r="J442" s="16">
        <f t="shared" si="23"/>
        <v>7</v>
      </c>
      <c r="K442" s="17" t="s">
        <v>295</v>
      </c>
      <c r="L442" s="5" t="s">
        <v>296</v>
      </c>
      <c r="M442" s="5" t="s">
        <v>24</v>
      </c>
      <c r="N442" s="5" t="s">
        <v>56</v>
      </c>
      <c r="O442" s="9">
        <v>360000</v>
      </c>
      <c r="P442" s="9">
        <v>152495</v>
      </c>
      <c r="Q442" s="33">
        <f t="shared" si="25"/>
        <v>512495</v>
      </c>
      <c r="R442" s="7">
        <v>46192</v>
      </c>
      <c r="S442" s="16">
        <f t="shared" si="24"/>
        <v>8</v>
      </c>
      <c r="T442" s="5" t="s">
        <v>839</v>
      </c>
      <c r="U442" s="5" t="s">
        <v>537</v>
      </c>
    </row>
    <row r="443" spans="1:21" s="35" customFormat="1" ht="12" x14ac:dyDescent="0.3">
      <c r="A443" s="3" t="s">
        <v>851</v>
      </c>
      <c r="B443" s="3" t="s">
        <v>30</v>
      </c>
      <c r="C443" s="3">
        <v>62467990</v>
      </c>
      <c r="D443" s="5" t="s">
        <v>49</v>
      </c>
      <c r="E443" s="3">
        <v>2721341259</v>
      </c>
      <c r="F443" s="6" t="s">
        <v>32</v>
      </c>
      <c r="G443" s="5" t="s">
        <v>23</v>
      </c>
      <c r="H443" s="24">
        <v>46141</v>
      </c>
      <c r="I443" s="8">
        <v>46191</v>
      </c>
      <c r="J443" s="16">
        <f t="shared" si="23"/>
        <v>37</v>
      </c>
      <c r="K443" s="17" t="s">
        <v>295</v>
      </c>
      <c r="L443" s="5" t="s">
        <v>296</v>
      </c>
      <c r="M443" s="5" t="s">
        <v>47</v>
      </c>
      <c r="N443" s="5" t="s">
        <v>33</v>
      </c>
      <c r="O443" s="41">
        <v>60000</v>
      </c>
      <c r="P443" s="3">
        <v>0</v>
      </c>
      <c r="Q443" s="33">
        <f t="shared" si="25"/>
        <v>60000</v>
      </c>
      <c r="R443" s="7">
        <v>46192</v>
      </c>
      <c r="S443" s="16">
        <f t="shared" si="24"/>
        <v>38</v>
      </c>
      <c r="T443" s="5" t="s">
        <v>839</v>
      </c>
      <c r="U443" s="5" t="s">
        <v>537</v>
      </c>
    </row>
    <row r="444" spans="1:21" x14ac:dyDescent="0.35">
      <c r="A444" s="6" t="s">
        <v>852</v>
      </c>
      <c r="B444" s="55" t="s">
        <v>19</v>
      </c>
      <c r="C444" s="55">
        <v>64705620</v>
      </c>
      <c r="D444" s="55" t="s">
        <v>20</v>
      </c>
      <c r="E444" s="55" t="s">
        <v>853</v>
      </c>
      <c r="F444" s="55" t="s">
        <v>46</v>
      </c>
      <c r="G444" s="55" t="s">
        <v>23</v>
      </c>
      <c r="H444" s="56">
        <v>46184</v>
      </c>
      <c r="I444" s="56">
        <v>46191</v>
      </c>
      <c r="J444" s="16">
        <f t="shared" si="23"/>
        <v>6</v>
      </c>
      <c r="K444" s="55" t="s">
        <v>295</v>
      </c>
      <c r="L444" s="55" t="s">
        <v>296</v>
      </c>
      <c r="M444" s="55" t="s">
        <v>24</v>
      </c>
      <c r="N444" s="55" t="s">
        <v>857</v>
      </c>
      <c r="O444" s="55">
        <v>0</v>
      </c>
      <c r="P444" s="55">
        <v>0</v>
      </c>
      <c r="Q444" s="59">
        <v>0</v>
      </c>
      <c r="R444" s="56">
        <v>46195</v>
      </c>
      <c r="S444" s="16">
        <f t="shared" si="24"/>
        <v>8</v>
      </c>
      <c r="T444" s="55" t="s">
        <v>858</v>
      </c>
      <c r="U444" s="55" t="s">
        <v>433</v>
      </c>
    </row>
    <row r="445" spans="1:21" x14ac:dyDescent="0.35">
      <c r="A445" s="6" t="s">
        <v>852</v>
      </c>
      <c r="B445" s="55" t="s">
        <v>19</v>
      </c>
      <c r="C445" s="55">
        <v>64681816</v>
      </c>
      <c r="D445" s="55" t="s">
        <v>20</v>
      </c>
      <c r="E445" s="55" t="s">
        <v>854</v>
      </c>
      <c r="F445" s="55" t="s">
        <v>46</v>
      </c>
      <c r="G445" s="55" t="s">
        <v>23</v>
      </c>
      <c r="H445" s="56">
        <v>46183</v>
      </c>
      <c r="I445" s="56">
        <v>46191</v>
      </c>
      <c r="J445" s="16">
        <f t="shared" si="23"/>
        <v>7</v>
      </c>
      <c r="K445" s="55" t="s">
        <v>295</v>
      </c>
      <c r="L445" s="55" t="s">
        <v>296</v>
      </c>
      <c r="M445" s="55" t="s">
        <v>24</v>
      </c>
      <c r="N445" s="55" t="s">
        <v>103</v>
      </c>
      <c r="O445" s="55">
        <v>0</v>
      </c>
      <c r="P445" s="55">
        <v>0</v>
      </c>
      <c r="Q445" s="59">
        <v>0</v>
      </c>
      <c r="R445" s="56">
        <v>46195</v>
      </c>
      <c r="S445" s="16">
        <f t="shared" si="24"/>
        <v>9</v>
      </c>
      <c r="T445" s="55" t="s">
        <v>858</v>
      </c>
      <c r="U445" s="55" t="s">
        <v>433</v>
      </c>
    </row>
    <row r="446" spans="1:21" x14ac:dyDescent="0.35">
      <c r="A446" s="6" t="s">
        <v>852</v>
      </c>
      <c r="B446" s="55" t="s">
        <v>19</v>
      </c>
      <c r="C446" s="55">
        <v>64682728</v>
      </c>
      <c r="D446" s="55" t="s">
        <v>20</v>
      </c>
      <c r="E446" s="55" t="s">
        <v>855</v>
      </c>
      <c r="F446" s="55" t="s">
        <v>46</v>
      </c>
      <c r="G446" s="55" t="s">
        <v>23</v>
      </c>
      <c r="H446" s="56">
        <v>46183</v>
      </c>
      <c r="I446" s="56">
        <v>46191</v>
      </c>
      <c r="J446" s="16">
        <f t="shared" si="23"/>
        <v>7</v>
      </c>
      <c r="K446" s="55" t="s">
        <v>295</v>
      </c>
      <c r="L446" s="55" t="s">
        <v>296</v>
      </c>
      <c r="M446" s="55" t="s">
        <v>24</v>
      </c>
      <c r="N446" s="55" t="s">
        <v>28</v>
      </c>
      <c r="O446" s="55">
        <v>0</v>
      </c>
      <c r="P446" s="55">
        <v>0</v>
      </c>
      <c r="Q446" s="59">
        <v>0</v>
      </c>
      <c r="R446" s="56">
        <v>46195</v>
      </c>
      <c r="S446" s="16">
        <f t="shared" si="24"/>
        <v>9</v>
      </c>
      <c r="T446" s="55" t="s">
        <v>858</v>
      </c>
      <c r="U446" s="55" t="s">
        <v>433</v>
      </c>
    </row>
    <row r="447" spans="1:21" x14ac:dyDescent="0.35">
      <c r="A447" s="6" t="s">
        <v>852</v>
      </c>
      <c r="B447" s="55" t="s">
        <v>19</v>
      </c>
      <c r="C447" s="55">
        <v>64726631</v>
      </c>
      <c r="D447" s="55" t="s">
        <v>20</v>
      </c>
      <c r="E447" s="55" t="s">
        <v>856</v>
      </c>
      <c r="F447" s="55" t="s">
        <v>46</v>
      </c>
      <c r="G447" s="55" t="s">
        <v>23</v>
      </c>
      <c r="H447" s="56">
        <v>46184</v>
      </c>
      <c r="I447" s="56">
        <v>46191</v>
      </c>
      <c r="J447" s="16">
        <f t="shared" si="23"/>
        <v>6</v>
      </c>
      <c r="K447" s="55" t="s">
        <v>295</v>
      </c>
      <c r="L447" s="55" t="s">
        <v>296</v>
      </c>
      <c r="M447" s="55" t="s">
        <v>24</v>
      </c>
      <c r="N447" s="55" t="s">
        <v>92</v>
      </c>
      <c r="O447" s="55">
        <v>0</v>
      </c>
      <c r="P447" s="55">
        <v>0</v>
      </c>
      <c r="Q447" s="59">
        <v>0</v>
      </c>
      <c r="R447" s="56">
        <v>46195</v>
      </c>
      <c r="S447" s="16">
        <f t="shared" si="24"/>
        <v>8</v>
      </c>
      <c r="T447" s="55" t="s">
        <v>858</v>
      </c>
      <c r="U447" s="55" t="s">
        <v>433</v>
      </c>
    </row>
    <row r="448" spans="1:21" x14ac:dyDescent="0.35">
      <c r="A448" s="6" t="s">
        <v>561</v>
      </c>
      <c r="B448" s="6" t="s">
        <v>43</v>
      </c>
      <c r="C448" s="6">
        <v>58635645</v>
      </c>
      <c r="D448" s="6" t="s">
        <v>35</v>
      </c>
      <c r="E448" s="6" t="s">
        <v>859</v>
      </c>
      <c r="F448" s="6" t="s">
        <v>498</v>
      </c>
      <c r="G448" s="6" t="s">
        <v>37</v>
      </c>
      <c r="H448" s="8">
        <v>46077</v>
      </c>
      <c r="I448" s="8">
        <v>46125</v>
      </c>
      <c r="J448" s="16">
        <f t="shared" si="23"/>
        <v>35</v>
      </c>
      <c r="K448" s="6" t="s">
        <v>295</v>
      </c>
      <c r="L448" s="6" t="s">
        <v>296</v>
      </c>
      <c r="M448" s="6" t="s">
        <v>24</v>
      </c>
      <c r="N448" s="6" t="s">
        <v>191</v>
      </c>
      <c r="O448" s="6">
        <v>500000</v>
      </c>
      <c r="P448" s="6">
        <v>101296</v>
      </c>
      <c r="Q448" s="12">
        <v>601296</v>
      </c>
      <c r="R448" s="8">
        <v>46195</v>
      </c>
      <c r="S448" s="16">
        <f t="shared" si="24"/>
        <v>85</v>
      </c>
      <c r="T448" s="6" t="s">
        <v>858</v>
      </c>
      <c r="U448" s="6" t="s">
        <v>537</v>
      </c>
    </row>
    <row r="449" spans="1:21" x14ac:dyDescent="0.35">
      <c r="A449" s="6" t="s">
        <v>561</v>
      </c>
      <c r="B449" s="6" t="s">
        <v>43</v>
      </c>
      <c r="C449" s="6">
        <v>61644382</v>
      </c>
      <c r="D449" s="6" t="s">
        <v>860</v>
      </c>
      <c r="E449" s="6" t="s">
        <v>861</v>
      </c>
      <c r="F449" s="6" t="s">
        <v>22</v>
      </c>
      <c r="G449" s="6" t="s">
        <v>23</v>
      </c>
      <c r="H449" s="8">
        <v>46127</v>
      </c>
      <c r="I449" s="8">
        <v>46133</v>
      </c>
      <c r="J449" s="16">
        <f t="shared" si="23"/>
        <v>5</v>
      </c>
      <c r="K449" s="6" t="s">
        <v>295</v>
      </c>
      <c r="L449" s="6" t="s">
        <v>296</v>
      </c>
      <c r="M449" s="6" t="s">
        <v>24</v>
      </c>
      <c r="N449" s="6" t="s">
        <v>191</v>
      </c>
      <c r="O449" s="6">
        <v>1680307</v>
      </c>
      <c r="P449" s="6">
        <v>337653</v>
      </c>
      <c r="Q449" s="12">
        <v>2017960</v>
      </c>
      <c r="R449" s="8">
        <v>46195</v>
      </c>
      <c r="S449" s="16">
        <f t="shared" si="24"/>
        <v>49</v>
      </c>
      <c r="T449" s="6" t="s">
        <v>858</v>
      </c>
      <c r="U449" s="6" t="s">
        <v>537</v>
      </c>
    </row>
    <row r="450" spans="1:21" x14ac:dyDescent="0.35">
      <c r="A450" s="6" t="s">
        <v>561</v>
      </c>
      <c r="B450" s="6" t="s">
        <v>43</v>
      </c>
      <c r="C450" s="6">
        <v>58635674</v>
      </c>
      <c r="D450" s="6" t="s">
        <v>35</v>
      </c>
      <c r="E450" s="6" t="s">
        <v>862</v>
      </c>
      <c r="F450" s="6" t="s">
        <v>22</v>
      </c>
      <c r="G450" s="6" t="s">
        <v>40</v>
      </c>
      <c r="H450" s="8">
        <v>46077</v>
      </c>
      <c r="I450" s="8">
        <v>46133</v>
      </c>
      <c r="J450" s="16">
        <f t="shared" ref="J450:J477" si="26">+NETWORKDAYS(H450,I450)</f>
        <v>41</v>
      </c>
      <c r="K450" s="6" t="s">
        <v>295</v>
      </c>
      <c r="L450" s="6" t="s">
        <v>296</v>
      </c>
      <c r="M450" s="6" t="s">
        <v>24</v>
      </c>
      <c r="N450" s="6" t="s">
        <v>191</v>
      </c>
      <c r="O450" s="6">
        <v>1680307</v>
      </c>
      <c r="P450" s="6">
        <v>337653</v>
      </c>
      <c r="Q450" s="12">
        <v>2017960</v>
      </c>
      <c r="R450" s="8">
        <v>46195</v>
      </c>
      <c r="S450" s="16">
        <f t="shared" ref="S450:S477" si="27">NETWORKDAYS(H450,R450)</f>
        <v>85</v>
      </c>
      <c r="T450" s="6" t="s">
        <v>858</v>
      </c>
      <c r="U450" s="6" t="s">
        <v>537</v>
      </c>
    </row>
    <row r="451" spans="1:21" x14ac:dyDescent="0.35">
      <c r="A451" s="6" t="s">
        <v>863</v>
      </c>
      <c r="B451" s="6" t="s">
        <v>30</v>
      </c>
      <c r="C451" s="6">
        <v>62722805</v>
      </c>
      <c r="D451" s="6" t="s">
        <v>20</v>
      </c>
      <c r="E451" s="6">
        <v>2722484520</v>
      </c>
      <c r="F451" s="6" t="s">
        <v>32</v>
      </c>
      <c r="G451" s="6" t="s">
        <v>23</v>
      </c>
      <c r="H451" s="8">
        <v>46146</v>
      </c>
      <c r="I451" s="8">
        <v>46195</v>
      </c>
      <c r="J451" s="16">
        <f t="shared" si="26"/>
        <v>36</v>
      </c>
      <c r="K451" s="6" t="s">
        <v>295</v>
      </c>
      <c r="L451" s="6" t="s">
        <v>302</v>
      </c>
      <c r="M451" s="6" t="s">
        <v>24</v>
      </c>
      <c r="N451" s="6" t="s">
        <v>33</v>
      </c>
      <c r="O451" s="6">
        <v>150000</v>
      </c>
      <c r="P451" s="6">
        <v>40000</v>
      </c>
      <c r="Q451" s="12">
        <v>190000</v>
      </c>
      <c r="R451" s="8">
        <v>46195</v>
      </c>
      <c r="S451" s="16">
        <f t="shared" si="27"/>
        <v>36</v>
      </c>
      <c r="T451" s="6" t="s">
        <v>858</v>
      </c>
      <c r="U451" s="6" t="s">
        <v>537</v>
      </c>
    </row>
    <row r="452" spans="1:21" x14ac:dyDescent="0.35">
      <c r="A452" s="6" t="s">
        <v>852</v>
      </c>
      <c r="B452" s="6" t="s">
        <v>19</v>
      </c>
      <c r="C452" s="6">
        <v>64705061</v>
      </c>
      <c r="D452" s="6" t="s">
        <v>20</v>
      </c>
      <c r="E452" s="6" t="s">
        <v>864</v>
      </c>
      <c r="F452" s="6" t="s">
        <v>22</v>
      </c>
      <c r="G452" s="6" t="s">
        <v>23</v>
      </c>
      <c r="H452" s="8">
        <v>46184</v>
      </c>
      <c r="I452" s="8">
        <v>46192</v>
      </c>
      <c r="J452" s="16">
        <f t="shared" si="26"/>
        <v>7</v>
      </c>
      <c r="K452" s="6" t="s">
        <v>295</v>
      </c>
      <c r="L452" s="6" t="s">
        <v>296</v>
      </c>
      <c r="M452" s="6" t="s">
        <v>24</v>
      </c>
      <c r="N452" s="6" t="s">
        <v>146</v>
      </c>
      <c r="O452" s="6">
        <v>0</v>
      </c>
      <c r="P452" s="6">
        <v>0</v>
      </c>
      <c r="Q452" s="12">
        <v>0</v>
      </c>
      <c r="R452" s="8">
        <v>46195</v>
      </c>
      <c r="S452" s="16">
        <f t="shared" si="27"/>
        <v>8</v>
      </c>
      <c r="T452" s="6" t="s">
        <v>858</v>
      </c>
      <c r="U452" s="6" t="s">
        <v>433</v>
      </c>
    </row>
    <row r="453" spans="1:21" x14ac:dyDescent="0.35">
      <c r="A453" s="6" t="s">
        <v>852</v>
      </c>
      <c r="B453" s="6" t="s">
        <v>19</v>
      </c>
      <c r="C453" s="6">
        <v>64704377</v>
      </c>
      <c r="D453" s="6" t="s">
        <v>20</v>
      </c>
      <c r="E453" s="6" t="s">
        <v>865</v>
      </c>
      <c r="F453" s="6" t="s">
        <v>22</v>
      </c>
      <c r="G453" s="6" t="s">
        <v>23</v>
      </c>
      <c r="H453" s="8">
        <v>46184</v>
      </c>
      <c r="I453" s="8">
        <v>46195</v>
      </c>
      <c r="J453" s="16">
        <f t="shared" si="26"/>
        <v>8</v>
      </c>
      <c r="K453" s="6" t="s">
        <v>295</v>
      </c>
      <c r="L453" s="6" t="s">
        <v>296</v>
      </c>
      <c r="M453" s="6" t="s">
        <v>24</v>
      </c>
      <c r="N453" s="6" t="s">
        <v>875</v>
      </c>
      <c r="O453" s="6">
        <v>0</v>
      </c>
      <c r="P453" s="6">
        <v>0</v>
      </c>
      <c r="Q453" s="12">
        <v>0</v>
      </c>
      <c r="R453" s="8">
        <v>46196</v>
      </c>
      <c r="S453" s="16">
        <f t="shared" si="27"/>
        <v>9</v>
      </c>
      <c r="T453" s="6" t="s">
        <v>858</v>
      </c>
      <c r="U453" s="6" t="s">
        <v>433</v>
      </c>
    </row>
    <row r="454" spans="1:21" x14ac:dyDescent="0.35">
      <c r="A454" s="6" t="s">
        <v>866</v>
      </c>
      <c r="B454" s="6" t="s">
        <v>19</v>
      </c>
      <c r="C454" s="6">
        <v>64667196</v>
      </c>
      <c r="D454" s="6" t="s">
        <v>867</v>
      </c>
      <c r="E454" s="6" t="s">
        <v>868</v>
      </c>
      <c r="F454" s="6" t="s">
        <v>46</v>
      </c>
      <c r="G454" s="6" t="s">
        <v>23</v>
      </c>
      <c r="H454" s="8">
        <v>46183</v>
      </c>
      <c r="I454" s="8">
        <v>46196</v>
      </c>
      <c r="J454" s="16">
        <f t="shared" si="26"/>
        <v>10</v>
      </c>
      <c r="K454" s="6" t="s">
        <v>295</v>
      </c>
      <c r="L454" s="6" t="s">
        <v>296</v>
      </c>
      <c r="M454" s="6" t="s">
        <v>24</v>
      </c>
      <c r="N454" s="6" t="s">
        <v>103</v>
      </c>
      <c r="O454" s="6">
        <v>1000000</v>
      </c>
      <c r="P454" s="6">
        <v>500000</v>
      </c>
      <c r="Q454" s="12">
        <v>1500000</v>
      </c>
      <c r="R454" s="8">
        <v>46196</v>
      </c>
      <c r="S454" s="16">
        <f t="shared" si="27"/>
        <v>10</v>
      </c>
      <c r="T454" s="6" t="s">
        <v>858</v>
      </c>
      <c r="U454" s="6" t="s">
        <v>537</v>
      </c>
    </row>
    <row r="455" spans="1:21" x14ac:dyDescent="0.35">
      <c r="A455" s="6" t="s">
        <v>852</v>
      </c>
      <c r="B455" s="6" t="s">
        <v>19</v>
      </c>
      <c r="C455" s="6">
        <v>64704719</v>
      </c>
      <c r="D455" s="6" t="s">
        <v>20</v>
      </c>
      <c r="E455" s="6" t="s">
        <v>869</v>
      </c>
      <c r="F455" s="6" t="s">
        <v>22</v>
      </c>
      <c r="G455" s="6" t="s">
        <v>23</v>
      </c>
      <c r="H455" s="8">
        <v>46184</v>
      </c>
      <c r="I455" s="8">
        <v>46197</v>
      </c>
      <c r="J455" s="16">
        <f t="shared" si="26"/>
        <v>10</v>
      </c>
      <c r="K455" s="6" t="s">
        <v>295</v>
      </c>
      <c r="L455" s="6" t="s">
        <v>296</v>
      </c>
      <c r="M455" s="6" t="s">
        <v>24</v>
      </c>
      <c r="N455" s="6" t="s">
        <v>876</v>
      </c>
      <c r="O455" s="6">
        <v>0</v>
      </c>
      <c r="P455" s="6">
        <v>0</v>
      </c>
      <c r="Q455" s="12">
        <v>0</v>
      </c>
      <c r="R455" s="8">
        <v>46197</v>
      </c>
      <c r="S455" s="16">
        <f t="shared" si="27"/>
        <v>10</v>
      </c>
      <c r="T455" s="6" t="s">
        <v>858</v>
      </c>
      <c r="U455" s="6" t="s">
        <v>433</v>
      </c>
    </row>
    <row r="456" spans="1:21" x14ac:dyDescent="0.35">
      <c r="A456" s="6" t="s">
        <v>852</v>
      </c>
      <c r="B456" s="6" t="s">
        <v>19</v>
      </c>
      <c r="C456" s="6">
        <v>64710582</v>
      </c>
      <c r="D456" s="6" t="s">
        <v>20</v>
      </c>
      <c r="E456" s="6" t="s">
        <v>870</v>
      </c>
      <c r="F456" s="6" t="s">
        <v>46</v>
      </c>
      <c r="G456" s="6" t="s">
        <v>23</v>
      </c>
      <c r="H456" s="8">
        <v>46183</v>
      </c>
      <c r="I456" s="8">
        <v>46191</v>
      </c>
      <c r="J456" s="16">
        <f t="shared" si="26"/>
        <v>7</v>
      </c>
      <c r="K456" s="6" t="s">
        <v>295</v>
      </c>
      <c r="L456" s="6" t="s">
        <v>296</v>
      </c>
      <c r="M456" s="6" t="s">
        <v>24</v>
      </c>
      <c r="N456" s="6" t="s">
        <v>169</v>
      </c>
      <c r="O456" s="6">
        <v>0</v>
      </c>
      <c r="P456" s="6">
        <v>0</v>
      </c>
      <c r="Q456" s="12">
        <v>0</v>
      </c>
      <c r="R456" s="8">
        <v>46197</v>
      </c>
      <c r="S456" s="16">
        <f t="shared" si="27"/>
        <v>11</v>
      </c>
      <c r="T456" s="6" t="s">
        <v>858</v>
      </c>
      <c r="U456" s="6" t="s">
        <v>433</v>
      </c>
    </row>
    <row r="457" spans="1:21" x14ac:dyDescent="0.35">
      <c r="A457" s="6" t="s">
        <v>871</v>
      </c>
      <c r="B457" s="6" t="s">
        <v>19</v>
      </c>
      <c r="C457" s="6">
        <v>63462158</v>
      </c>
      <c r="D457" s="6" t="s">
        <v>872</v>
      </c>
      <c r="E457" s="6" t="s">
        <v>873</v>
      </c>
      <c r="F457" s="6" t="s">
        <v>190</v>
      </c>
      <c r="G457" s="6" t="s">
        <v>23</v>
      </c>
      <c r="H457" s="8">
        <v>46160</v>
      </c>
      <c r="I457" s="8">
        <v>46195</v>
      </c>
      <c r="J457" s="16">
        <f t="shared" si="26"/>
        <v>26</v>
      </c>
      <c r="K457" s="6" t="s">
        <v>295</v>
      </c>
      <c r="L457" s="6" t="s">
        <v>296</v>
      </c>
      <c r="M457" s="6" t="s">
        <v>24</v>
      </c>
      <c r="N457" s="6" t="s">
        <v>103</v>
      </c>
      <c r="O457" s="6">
        <v>518450</v>
      </c>
      <c r="P457" s="6">
        <v>452727</v>
      </c>
      <c r="Q457" s="12">
        <v>971177</v>
      </c>
      <c r="R457" s="8">
        <v>46197</v>
      </c>
      <c r="S457" s="16">
        <f t="shared" si="27"/>
        <v>28</v>
      </c>
      <c r="T457" s="6" t="s">
        <v>858</v>
      </c>
      <c r="U457" s="6" t="s">
        <v>537</v>
      </c>
    </row>
    <row r="458" spans="1:21" x14ac:dyDescent="0.35">
      <c r="A458" s="6" t="s">
        <v>852</v>
      </c>
      <c r="B458" s="6" t="s">
        <v>19</v>
      </c>
      <c r="C458" s="6">
        <v>64727926</v>
      </c>
      <c r="D458" s="6" t="s">
        <v>20</v>
      </c>
      <c r="E458" s="6" t="s">
        <v>874</v>
      </c>
      <c r="F458" s="6" t="s">
        <v>22</v>
      </c>
      <c r="G458" s="6" t="s">
        <v>23</v>
      </c>
      <c r="H458" s="8">
        <v>46184</v>
      </c>
      <c r="I458" s="8">
        <v>46195</v>
      </c>
      <c r="J458" s="16">
        <f t="shared" si="26"/>
        <v>8</v>
      </c>
      <c r="K458" s="6" t="s">
        <v>295</v>
      </c>
      <c r="L458" s="6" t="s">
        <v>296</v>
      </c>
      <c r="M458" s="6" t="s">
        <v>24</v>
      </c>
      <c r="N458" s="6" t="s">
        <v>254</v>
      </c>
      <c r="O458" s="6">
        <v>0</v>
      </c>
      <c r="P458" s="6">
        <v>0</v>
      </c>
      <c r="Q458" s="12">
        <v>0</v>
      </c>
      <c r="R458" s="8">
        <v>46197</v>
      </c>
      <c r="S458" s="16">
        <f t="shared" si="27"/>
        <v>10</v>
      </c>
      <c r="T458" s="6" t="s">
        <v>858</v>
      </c>
      <c r="U458" s="6" t="s">
        <v>433</v>
      </c>
    </row>
    <row r="459" spans="1:21" x14ac:dyDescent="0.35">
      <c r="A459" s="6" t="s">
        <v>877</v>
      </c>
      <c r="B459" s="55" t="s">
        <v>19</v>
      </c>
      <c r="C459" s="55">
        <v>64298334</v>
      </c>
      <c r="D459" s="55" t="s">
        <v>35</v>
      </c>
      <c r="E459" s="55" t="s">
        <v>878</v>
      </c>
      <c r="F459" s="55" t="s">
        <v>22</v>
      </c>
      <c r="G459" s="55" t="s">
        <v>23</v>
      </c>
      <c r="H459" s="56">
        <v>46176</v>
      </c>
      <c r="I459" s="56">
        <v>46195</v>
      </c>
      <c r="J459" s="16">
        <f t="shared" si="26"/>
        <v>14</v>
      </c>
      <c r="K459" s="6" t="s">
        <v>295</v>
      </c>
      <c r="L459" s="6" t="s">
        <v>296</v>
      </c>
      <c r="M459" s="6" t="s">
        <v>24</v>
      </c>
      <c r="N459" s="6" t="s">
        <v>191</v>
      </c>
      <c r="O459" s="6">
        <v>1000000</v>
      </c>
      <c r="P459" s="6">
        <v>300000</v>
      </c>
      <c r="Q459" s="12">
        <v>1300000</v>
      </c>
      <c r="R459" s="8">
        <v>46197</v>
      </c>
      <c r="S459" s="16">
        <f t="shared" si="27"/>
        <v>16</v>
      </c>
      <c r="T459" s="55" t="s">
        <v>858</v>
      </c>
      <c r="U459" s="55" t="s">
        <v>537</v>
      </c>
    </row>
    <row r="460" spans="1:21" x14ac:dyDescent="0.35">
      <c r="A460" s="6" t="s">
        <v>879</v>
      </c>
      <c r="B460" s="55" t="s">
        <v>30</v>
      </c>
      <c r="C460" s="55">
        <v>64159836</v>
      </c>
      <c r="D460" s="55" t="s">
        <v>880</v>
      </c>
      <c r="E460" s="55">
        <v>2722220380</v>
      </c>
      <c r="F460" s="55" t="s">
        <v>32</v>
      </c>
      <c r="G460" s="55" t="s">
        <v>23</v>
      </c>
      <c r="H460" s="56">
        <v>46174</v>
      </c>
      <c r="I460" s="56">
        <v>46191</v>
      </c>
      <c r="J460" s="16">
        <f t="shared" si="26"/>
        <v>14</v>
      </c>
      <c r="K460" s="6" t="s">
        <v>295</v>
      </c>
      <c r="L460" s="6" t="s">
        <v>296</v>
      </c>
      <c r="M460" s="6" t="s">
        <v>24</v>
      </c>
      <c r="N460" s="6" t="s">
        <v>33</v>
      </c>
      <c r="O460" s="6">
        <v>150000</v>
      </c>
      <c r="P460" s="6">
        <v>40000</v>
      </c>
      <c r="Q460" s="12">
        <v>190000</v>
      </c>
      <c r="R460" s="8">
        <v>46197</v>
      </c>
      <c r="S460" s="16">
        <f t="shared" si="27"/>
        <v>18</v>
      </c>
      <c r="T460" s="55" t="s">
        <v>858</v>
      </c>
      <c r="U460" s="55" t="s">
        <v>537</v>
      </c>
    </row>
    <row r="461" spans="1:21" x14ac:dyDescent="0.35">
      <c r="A461" s="6" t="s">
        <v>881</v>
      </c>
      <c r="B461" s="55" t="s">
        <v>19</v>
      </c>
      <c r="C461" s="55">
        <v>65429104</v>
      </c>
      <c r="D461" s="55" t="s">
        <v>20</v>
      </c>
      <c r="E461" s="55" t="s">
        <v>882</v>
      </c>
      <c r="F461" s="55" t="s">
        <v>46</v>
      </c>
      <c r="G461" s="55" t="s">
        <v>23</v>
      </c>
      <c r="H461" s="56">
        <v>46197</v>
      </c>
      <c r="I461" s="56">
        <v>46198</v>
      </c>
      <c r="J461" s="16">
        <f t="shared" si="26"/>
        <v>2</v>
      </c>
      <c r="K461" s="6" t="s">
        <v>295</v>
      </c>
      <c r="L461" s="6" t="s">
        <v>296</v>
      </c>
      <c r="M461" s="6" t="s">
        <v>24</v>
      </c>
      <c r="N461" s="6" t="s">
        <v>28</v>
      </c>
      <c r="O461" s="6">
        <v>2800000</v>
      </c>
      <c r="P461" s="6">
        <v>0</v>
      </c>
      <c r="Q461" s="12">
        <v>2800000</v>
      </c>
      <c r="R461" s="8">
        <v>46198</v>
      </c>
      <c r="S461" s="16">
        <f t="shared" si="27"/>
        <v>2</v>
      </c>
      <c r="T461" s="6" t="s">
        <v>858</v>
      </c>
      <c r="U461" s="6" t="s">
        <v>537</v>
      </c>
    </row>
    <row r="462" spans="1:21" x14ac:dyDescent="0.35">
      <c r="A462" s="6" t="s">
        <v>852</v>
      </c>
      <c r="B462" s="55" t="s">
        <v>19</v>
      </c>
      <c r="C462" s="55">
        <v>64710297</v>
      </c>
      <c r="D462" s="55" t="s">
        <v>20</v>
      </c>
      <c r="E462" s="55" t="s">
        <v>883</v>
      </c>
      <c r="F462" s="55" t="s">
        <v>46</v>
      </c>
      <c r="G462" s="55" t="s">
        <v>23</v>
      </c>
      <c r="H462" s="56">
        <v>46184</v>
      </c>
      <c r="I462" s="56">
        <v>46192</v>
      </c>
      <c r="J462" s="16">
        <f t="shared" si="26"/>
        <v>7</v>
      </c>
      <c r="K462" s="6" t="s">
        <v>295</v>
      </c>
      <c r="L462" s="6" t="s">
        <v>296</v>
      </c>
      <c r="M462" s="6" t="s">
        <v>24</v>
      </c>
      <c r="N462" s="6" t="s">
        <v>38</v>
      </c>
      <c r="O462" s="6">
        <v>0</v>
      </c>
      <c r="P462" s="6">
        <v>0</v>
      </c>
      <c r="Q462" s="12">
        <v>0</v>
      </c>
      <c r="R462" s="8">
        <v>46198</v>
      </c>
      <c r="S462" s="16">
        <f t="shared" si="27"/>
        <v>11</v>
      </c>
      <c r="T462" s="6" t="s">
        <v>858</v>
      </c>
      <c r="U462" s="6" t="s">
        <v>433</v>
      </c>
    </row>
    <row r="463" spans="1:21" x14ac:dyDescent="0.35">
      <c r="A463" s="6" t="s">
        <v>884</v>
      </c>
      <c r="B463" s="55" t="s">
        <v>30</v>
      </c>
      <c r="C463" s="55">
        <v>62551370</v>
      </c>
      <c r="D463" s="55" t="s">
        <v>885</v>
      </c>
      <c r="E463" s="55">
        <v>2722560050</v>
      </c>
      <c r="F463" s="55" t="s">
        <v>32</v>
      </c>
      <c r="G463" s="55" t="s">
        <v>23</v>
      </c>
      <c r="H463" s="56">
        <v>46142</v>
      </c>
      <c r="I463" s="56">
        <v>46154</v>
      </c>
      <c r="J463" s="16">
        <f t="shared" si="26"/>
        <v>9</v>
      </c>
      <c r="K463" s="6" t="s">
        <v>295</v>
      </c>
      <c r="L463" s="6" t="s">
        <v>296</v>
      </c>
      <c r="M463" s="6" t="s">
        <v>24</v>
      </c>
      <c r="N463" s="6" t="s">
        <v>56</v>
      </c>
      <c r="O463" s="6">
        <v>270000</v>
      </c>
      <c r="P463" s="6">
        <v>71435</v>
      </c>
      <c r="Q463" s="12">
        <v>341435</v>
      </c>
      <c r="R463" s="8">
        <v>46198</v>
      </c>
      <c r="S463" s="16">
        <f t="shared" si="27"/>
        <v>41</v>
      </c>
      <c r="T463" s="6" t="s">
        <v>858</v>
      </c>
      <c r="U463" s="6" t="s">
        <v>537</v>
      </c>
    </row>
    <row r="464" spans="1:21" x14ac:dyDescent="0.35">
      <c r="A464" s="6" t="s">
        <v>886</v>
      </c>
      <c r="B464" s="55" t="s">
        <v>30</v>
      </c>
      <c r="C464" s="55">
        <v>62760027</v>
      </c>
      <c r="D464" s="55" t="s">
        <v>49</v>
      </c>
      <c r="E464" s="55">
        <v>2721275342</v>
      </c>
      <c r="F464" s="55" t="s">
        <v>32</v>
      </c>
      <c r="G464" s="55" t="s">
        <v>23</v>
      </c>
      <c r="H464" s="56">
        <v>46147</v>
      </c>
      <c r="I464" s="56">
        <v>46187</v>
      </c>
      <c r="J464" s="16">
        <f t="shared" si="26"/>
        <v>29</v>
      </c>
      <c r="K464" s="6" t="s">
        <v>295</v>
      </c>
      <c r="L464" s="6" t="s">
        <v>302</v>
      </c>
      <c r="M464" s="6" t="s">
        <v>24</v>
      </c>
      <c r="N464" s="6" t="s">
        <v>33</v>
      </c>
      <c r="O464" s="6">
        <v>150000</v>
      </c>
      <c r="P464" s="6">
        <v>40000</v>
      </c>
      <c r="Q464" s="12">
        <v>190000</v>
      </c>
      <c r="R464" s="8">
        <v>46198</v>
      </c>
      <c r="S464" s="16">
        <f t="shared" si="27"/>
        <v>38</v>
      </c>
      <c r="T464" s="6" t="s">
        <v>858</v>
      </c>
      <c r="U464" s="6" t="s">
        <v>537</v>
      </c>
    </row>
    <row r="465" spans="1:21" x14ac:dyDescent="0.35">
      <c r="A465" s="6" t="s">
        <v>887</v>
      </c>
      <c r="B465" s="55" t="s">
        <v>43</v>
      </c>
      <c r="C465" s="55">
        <v>64775393</v>
      </c>
      <c r="D465" s="55" t="s">
        <v>20</v>
      </c>
      <c r="E465" s="55" t="s">
        <v>888</v>
      </c>
      <c r="F465" s="55" t="s">
        <v>22</v>
      </c>
      <c r="G465" s="55" t="s">
        <v>40</v>
      </c>
      <c r="H465" s="56">
        <v>46185</v>
      </c>
      <c r="I465" s="56">
        <v>46199</v>
      </c>
      <c r="J465" s="16">
        <f t="shared" si="26"/>
        <v>11</v>
      </c>
      <c r="K465" s="6" t="s">
        <v>295</v>
      </c>
      <c r="L465" s="6" t="s">
        <v>296</v>
      </c>
      <c r="M465" s="6" t="s">
        <v>24</v>
      </c>
      <c r="N465" s="6" t="s">
        <v>146</v>
      </c>
      <c r="O465" s="6">
        <v>0</v>
      </c>
      <c r="P465" s="6">
        <v>0</v>
      </c>
      <c r="Q465" s="12">
        <v>0</v>
      </c>
      <c r="R465" s="8">
        <v>46199</v>
      </c>
      <c r="S465" s="16">
        <f t="shared" si="27"/>
        <v>11</v>
      </c>
      <c r="T465" s="6" t="s">
        <v>858</v>
      </c>
      <c r="U465" s="6" t="s">
        <v>537</v>
      </c>
    </row>
    <row r="466" spans="1:21" x14ac:dyDescent="0.35">
      <c r="A466" s="6" t="s">
        <v>889</v>
      </c>
      <c r="B466" s="55" t="s">
        <v>30</v>
      </c>
      <c r="C466" s="55">
        <v>63477655</v>
      </c>
      <c r="D466" s="55" t="s">
        <v>890</v>
      </c>
      <c r="E466" s="55">
        <v>2721712160</v>
      </c>
      <c r="F466" s="55" t="s">
        <v>32</v>
      </c>
      <c r="G466" s="55" t="s">
        <v>23</v>
      </c>
      <c r="H466" s="56">
        <v>46160</v>
      </c>
      <c r="I466" s="56">
        <v>46199</v>
      </c>
      <c r="J466" s="16">
        <f t="shared" si="26"/>
        <v>30</v>
      </c>
      <c r="K466" s="6" t="s">
        <v>295</v>
      </c>
      <c r="L466" s="6" t="s">
        <v>296</v>
      </c>
      <c r="M466" s="6" t="s">
        <v>24</v>
      </c>
      <c r="N466" s="6" t="s">
        <v>56</v>
      </c>
      <c r="O466" s="6">
        <v>270000</v>
      </c>
      <c r="P466" s="6">
        <v>111435</v>
      </c>
      <c r="Q466" s="12">
        <v>381435</v>
      </c>
      <c r="R466" s="8">
        <v>46199</v>
      </c>
      <c r="S466" s="16">
        <f t="shared" si="27"/>
        <v>30</v>
      </c>
      <c r="T466" s="6" t="s">
        <v>858</v>
      </c>
      <c r="U466" s="6" t="s">
        <v>537</v>
      </c>
    </row>
    <row r="467" spans="1:21" x14ac:dyDescent="0.35">
      <c r="A467" s="6" t="s">
        <v>891</v>
      </c>
      <c r="B467" s="55" t="s">
        <v>30</v>
      </c>
      <c r="C467" s="55">
        <v>44970444</v>
      </c>
      <c r="D467" s="55" t="s">
        <v>342</v>
      </c>
      <c r="E467" s="55">
        <v>2723489300</v>
      </c>
      <c r="F467" s="55" t="s">
        <v>32</v>
      </c>
      <c r="G467" s="55" t="s">
        <v>23</v>
      </c>
      <c r="H467" s="56">
        <v>45798</v>
      </c>
      <c r="I467" s="56">
        <v>46043</v>
      </c>
      <c r="J467" s="16">
        <f t="shared" si="26"/>
        <v>176</v>
      </c>
      <c r="K467" s="6" t="s">
        <v>295</v>
      </c>
      <c r="L467" s="6" t="s">
        <v>318</v>
      </c>
      <c r="M467" s="6" t="s">
        <v>24</v>
      </c>
      <c r="N467" s="6" t="s">
        <v>33</v>
      </c>
      <c r="O467" s="6">
        <v>150000</v>
      </c>
      <c r="P467" s="6">
        <v>60000</v>
      </c>
      <c r="Q467" s="12">
        <v>210000</v>
      </c>
      <c r="R467" s="8">
        <v>46199</v>
      </c>
      <c r="S467" s="16">
        <f t="shared" si="27"/>
        <v>288</v>
      </c>
      <c r="T467" s="6" t="s">
        <v>858</v>
      </c>
      <c r="U467" s="6" t="s">
        <v>537</v>
      </c>
    </row>
    <row r="468" spans="1:21" x14ac:dyDescent="0.35">
      <c r="A468" s="6" t="s">
        <v>892</v>
      </c>
      <c r="B468" s="55" t="s">
        <v>43</v>
      </c>
      <c r="C468" s="55">
        <v>64776871</v>
      </c>
      <c r="D468" s="55" t="s">
        <v>747</v>
      </c>
      <c r="E468" s="55" t="s">
        <v>893</v>
      </c>
      <c r="F468" s="55" t="s">
        <v>46</v>
      </c>
      <c r="G468" s="55" t="s">
        <v>37</v>
      </c>
      <c r="H468" s="56">
        <v>46185</v>
      </c>
      <c r="I468" s="56">
        <v>46199</v>
      </c>
      <c r="J468" s="16">
        <f t="shared" si="26"/>
        <v>11</v>
      </c>
      <c r="K468" s="55" t="s">
        <v>295</v>
      </c>
      <c r="L468" s="55" t="s">
        <v>296</v>
      </c>
      <c r="M468" s="55" t="s">
        <v>24</v>
      </c>
      <c r="N468" s="55" t="s">
        <v>146</v>
      </c>
      <c r="O468" s="55">
        <v>0</v>
      </c>
      <c r="P468" s="55">
        <v>0</v>
      </c>
      <c r="Q468" s="59" t="s">
        <v>903</v>
      </c>
      <c r="R468" s="56">
        <v>46202</v>
      </c>
      <c r="S468" s="16">
        <f t="shared" si="27"/>
        <v>12</v>
      </c>
      <c r="T468" s="6" t="s">
        <v>904</v>
      </c>
      <c r="U468" s="6" t="s">
        <v>537</v>
      </c>
    </row>
    <row r="469" spans="1:21" x14ac:dyDescent="0.35">
      <c r="A469" s="6" t="s">
        <v>892</v>
      </c>
      <c r="B469" s="55" t="s">
        <v>43</v>
      </c>
      <c r="C469" s="55">
        <v>64776884</v>
      </c>
      <c r="D469" s="55" t="s">
        <v>747</v>
      </c>
      <c r="E469" s="55" t="s">
        <v>894</v>
      </c>
      <c r="F469" s="55" t="s">
        <v>46</v>
      </c>
      <c r="G469" s="55" t="s">
        <v>40</v>
      </c>
      <c r="H469" s="56">
        <v>46185</v>
      </c>
      <c r="I469" s="56">
        <v>46199</v>
      </c>
      <c r="J469" s="16">
        <f t="shared" si="26"/>
        <v>11</v>
      </c>
      <c r="K469" s="55" t="s">
        <v>295</v>
      </c>
      <c r="L469" s="55" t="s">
        <v>296</v>
      </c>
      <c r="M469" s="55" t="s">
        <v>24</v>
      </c>
      <c r="N469" s="55" t="s">
        <v>146</v>
      </c>
      <c r="O469" s="55">
        <v>0</v>
      </c>
      <c r="P469" s="55">
        <v>0</v>
      </c>
      <c r="Q469" s="59" t="s">
        <v>903</v>
      </c>
      <c r="R469" s="56">
        <v>46202</v>
      </c>
      <c r="S469" s="16">
        <f t="shared" si="27"/>
        <v>12</v>
      </c>
      <c r="T469" s="6" t="s">
        <v>904</v>
      </c>
      <c r="U469" s="6" t="s">
        <v>537</v>
      </c>
    </row>
    <row r="470" spans="1:21" x14ac:dyDescent="0.35">
      <c r="A470" s="6" t="s">
        <v>895</v>
      </c>
      <c r="B470" s="55" t="s">
        <v>19</v>
      </c>
      <c r="C470" s="55">
        <v>63688990</v>
      </c>
      <c r="D470" s="55" t="s">
        <v>515</v>
      </c>
      <c r="E470" s="55" t="s">
        <v>896</v>
      </c>
      <c r="F470" s="55" t="s">
        <v>22</v>
      </c>
      <c r="G470" s="55" t="s">
        <v>40</v>
      </c>
      <c r="H470" s="56">
        <v>46164</v>
      </c>
      <c r="I470" s="56">
        <v>46196</v>
      </c>
      <c r="J470" s="16">
        <f t="shared" si="26"/>
        <v>23</v>
      </c>
      <c r="K470" s="55" t="s">
        <v>295</v>
      </c>
      <c r="L470" s="55" t="s">
        <v>296</v>
      </c>
      <c r="M470" s="55" t="s">
        <v>24</v>
      </c>
      <c r="N470" s="55" t="s">
        <v>53</v>
      </c>
      <c r="O470" s="55">
        <v>600000</v>
      </c>
      <c r="P470" s="55">
        <v>496323</v>
      </c>
      <c r="Q470" s="59">
        <v>1096323</v>
      </c>
      <c r="R470" s="56">
        <v>46202</v>
      </c>
      <c r="S470" s="16">
        <f t="shared" si="27"/>
        <v>27</v>
      </c>
      <c r="T470" s="6" t="s">
        <v>904</v>
      </c>
      <c r="U470" s="6" t="s">
        <v>537</v>
      </c>
    </row>
    <row r="471" spans="1:21" x14ac:dyDescent="0.35">
      <c r="A471" s="6" t="s">
        <v>42</v>
      </c>
      <c r="B471" s="55" t="s">
        <v>43</v>
      </c>
      <c r="C471" s="55">
        <v>63179342</v>
      </c>
      <c r="D471" s="55" t="s">
        <v>49</v>
      </c>
      <c r="E471" s="55" t="s">
        <v>897</v>
      </c>
      <c r="F471" s="55" t="s">
        <v>22</v>
      </c>
      <c r="G471" s="55" t="s">
        <v>23</v>
      </c>
      <c r="H471" s="56">
        <v>46154</v>
      </c>
      <c r="I471" s="56">
        <v>46199</v>
      </c>
      <c r="J471" s="16">
        <f t="shared" si="26"/>
        <v>34</v>
      </c>
      <c r="K471" s="55" t="s">
        <v>295</v>
      </c>
      <c r="L471" s="55" t="s">
        <v>302</v>
      </c>
      <c r="M471" s="55" t="s">
        <v>24</v>
      </c>
      <c r="N471" s="55" t="s">
        <v>48</v>
      </c>
      <c r="O471" s="55">
        <v>2000000</v>
      </c>
      <c r="P471" s="55">
        <v>462000</v>
      </c>
      <c r="Q471" s="59">
        <v>2462000</v>
      </c>
      <c r="R471" s="56">
        <v>46202</v>
      </c>
      <c r="S471" s="16">
        <f t="shared" si="27"/>
        <v>35</v>
      </c>
      <c r="T471" s="6" t="s">
        <v>904</v>
      </c>
      <c r="U471" s="6" t="s">
        <v>537</v>
      </c>
    </row>
    <row r="472" spans="1:21" x14ac:dyDescent="0.35">
      <c r="A472" s="6" t="s">
        <v>57</v>
      </c>
      <c r="B472" s="55" t="s">
        <v>43</v>
      </c>
      <c r="C472" s="55">
        <v>63168095</v>
      </c>
      <c r="D472" s="55" t="s">
        <v>898</v>
      </c>
      <c r="E472" s="55" t="s">
        <v>899</v>
      </c>
      <c r="F472" s="55" t="s">
        <v>22</v>
      </c>
      <c r="G472" s="55" t="s">
        <v>23</v>
      </c>
      <c r="H472" s="56">
        <v>46154</v>
      </c>
      <c r="I472" s="56">
        <v>46203</v>
      </c>
      <c r="J472" s="16">
        <f t="shared" si="26"/>
        <v>36</v>
      </c>
      <c r="K472" s="55" t="s">
        <v>295</v>
      </c>
      <c r="L472" s="55" t="s">
        <v>302</v>
      </c>
      <c r="M472" s="55" t="s">
        <v>24</v>
      </c>
      <c r="N472" s="55" t="s">
        <v>48</v>
      </c>
      <c r="O472" s="55">
        <v>8033717</v>
      </c>
      <c r="P472" s="55">
        <v>1048013</v>
      </c>
      <c r="Q472" s="59">
        <v>9081730</v>
      </c>
      <c r="R472" s="56">
        <v>46203</v>
      </c>
      <c r="S472" s="16">
        <f t="shared" si="27"/>
        <v>36</v>
      </c>
      <c r="T472" s="6" t="s">
        <v>904</v>
      </c>
      <c r="U472" s="6" t="s">
        <v>537</v>
      </c>
    </row>
    <row r="473" spans="1:21" x14ac:dyDescent="0.35">
      <c r="A473" s="6" t="s">
        <v>900</v>
      </c>
      <c r="B473" s="55" t="s">
        <v>30</v>
      </c>
      <c r="C473" s="55">
        <v>63610581</v>
      </c>
      <c r="D473" s="55" t="s">
        <v>901</v>
      </c>
      <c r="E473" s="55">
        <v>2722405955</v>
      </c>
      <c r="F473" s="55" t="s">
        <v>32</v>
      </c>
      <c r="G473" s="55" t="s">
        <v>23</v>
      </c>
      <c r="H473" s="56">
        <v>46162</v>
      </c>
      <c r="I473" s="56">
        <v>46202</v>
      </c>
      <c r="J473" s="16">
        <f t="shared" si="26"/>
        <v>29</v>
      </c>
      <c r="K473" s="55" t="s">
        <v>295</v>
      </c>
      <c r="L473" s="55" t="s">
        <v>296</v>
      </c>
      <c r="M473" s="55" t="s">
        <v>24</v>
      </c>
      <c r="N473" s="55" t="s">
        <v>33</v>
      </c>
      <c r="O473" s="55">
        <v>150000</v>
      </c>
      <c r="P473" s="55">
        <v>60000</v>
      </c>
      <c r="Q473" s="59">
        <v>210000</v>
      </c>
      <c r="R473" s="56">
        <v>46203</v>
      </c>
      <c r="S473" s="16">
        <f t="shared" si="27"/>
        <v>30</v>
      </c>
      <c r="T473" s="6" t="s">
        <v>904</v>
      </c>
      <c r="U473" s="6" t="s">
        <v>537</v>
      </c>
    </row>
    <row r="474" spans="1:21" x14ac:dyDescent="0.35">
      <c r="A474" s="6" t="s">
        <v>900</v>
      </c>
      <c r="B474" s="55" t="s">
        <v>30</v>
      </c>
      <c r="C474" s="55">
        <v>63611129</v>
      </c>
      <c r="D474" s="55" t="s">
        <v>902</v>
      </c>
      <c r="E474" s="55">
        <v>2722220280</v>
      </c>
      <c r="F474" s="55" t="s">
        <v>32</v>
      </c>
      <c r="G474" s="55" t="s">
        <v>23</v>
      </c>
      <c r="H474" s="56">
        <v>46162</v>
      </c>
      <c r="I474" s="56">
        <v>46203</v>
      </c>
      <c r="J474" s="16">
        <f t="shared" si="26"/>
        <v>30</v>
      </c>
      <c r="K474" s="55" t="s">
        <v>295</v>
      </c>
      <c r="L474" s="55" t="s">
        <v>296</v>
      </c>
      <c r="M474" s="55" t="s">
        <v>24</v>
      </c>
      <c r="N474" s="55" t="s">
        <v>56</v>
      </c>
      <c r="O474" s="55">
        <v>270000</v>
      </c>
      <c r="P474" s="55">
        <v>111435</v>
      </c>
      <c r="Q474" s="59">
        <v>381435</v>
      </c>
      <c r="R474" s="56">
        <v>46203</v>
      </c>
      <c r="S474" s="16">
        <f t="shared" si="27"/>
        <v>30</v>
      </c>
      <c r="T474" s="6" t="s">
        <v>904</v>
      </c>
      <c r="U474" s="6" t="s">
        <v>537</v>
      </c>
    </row>
    <row r="475" spans="1:21" x14ac:dyDescent="0.35">
      <c r="A475" s="6" t="s">
        <v>905</v>
      </c>
      <c r="B475" s="55" t="s">
        <v>19</v>
      </c>
      <c r="C475" s="55">
        <v>64327001</v>
      </c>
      <c r="D475" s="55" t="s">
        <v>35</v>
      </c>
      <c r="E475" s="55" t="s">
        <v>906</v>
      </c>
      <c r="F475" s="55" t="s">
        <v>22</v>
      </c>
      <c r="G475" s="55" t="s">
        <v>23</v>
      </c>
      <c r="H475" s="56">
        <v>46177</v>
      </c>
      <c r="I475" s="56">
        <v>46204</v>
      </c>
      <c r="J475" s="16">
        <f t="shared" si="26"/>
        <v>20</v>
      </c>
      <c r="K475" s="55" t="s">
        <v>295</v>
      </c>
      <c r="L475" s="55" t="s">
        <v>296</v>
      </c>
      <c r="M475" s="55" t="s">
        <v>24</v>
      </c>
      <c r="N475" s="55" t="s">
        <v>28</v>
      </c>
      <c r="O475" s="55">
        <v>2371414</v>
      </c>
      <c r="P475" s="55">
        <v>667054</v>
      </c>
      <c r="Q475" s="59">
        <v>3038468</v>
      </c>
      <c r="R475" s="56">
        <v>46204</v>
      </c>
      <c r="S475" s="16">
        <f t="shared" si="27"/>
        <v>20</v>
      </c>
      <c r="T475" s="6" t="s">
        <v>904</v>
      </c>
      <c r="U475" s="6" t="s">
        <v>537</v>
      </c>
    </row>
    <row r="476" spans="1:21" x14ac:dyDescent="0.35">
      <c r="A476" s="6" t="s">
        <v>819</v>
      </c>
      <c r="B476" s="55" t="s">
        <v>19</v>
      </c>
      <c r="C476" s="55">
        <v>65283747</v>
      </c>
      <c r="D476" s="55" t="s">
        <v>94</v>
      </c>
      <c r="E476" s="55" t="s">
        <v>907</v>
      </c>
      <c r="F476" s="55" t="s">
        <v>22</v>
      </c>
      <c r="G476" s="55" t="s">
        <v>23</v>
      </c>
      <c r="H476" s="56">
        <v>46195</v>
      </c>
      <c r="I476" s="56">
        <v>46205</v>
      </c>
      <c r="J476" s="16">
        <f t="shared" si="26"/>
        <v>9</v>
      </c>
      <c r="K476" s="55" t="s">
        <v>295</v>
      </c>
      <c r="L476" s="55" t="s">
        <v>296</v>
      </c>
      <c r="M476" s="55" t="s">
        <v>47</v>
      </c>
      <c r="N476" s="55" t="s">
        <v>191</v>
      </c>
      <c r="O476" s="55">
        <v>1200000</v>
      </c>
      <c r="P476" s="55">
        <v>0</v>
      </c>
      <c r="Q476" s="59">
        <v>1200000</v>
      </c>
      <c r="R476" s="56">
        <v>46205</v>
      </c>
      <c r="S476" s="16">
        <f t="shared" si="27"/>
        <v>9</v>
      </c>
      <c r="T476" s="6" t="s">
        <v>904</v>
      </c>
      <c r="U476" s="6" t="s">
        <v>537</v>
      </c>
    </row>
    <row r="477" spans="1:21" x14ac:dyDescent="0.35">
      <c r="A477" s="6" t="s">
        <v>908</v>
      </c>
      <c r="B477" s="55" t="s">
        <v>30</v>
      </c>
      <c r="C477" s="55">
        <v>64204580</v>
      </c>
      <c r="D477" s="55" t="s">
        <v>20</v>
      </c>
      <c r="E477" s="55">
        <v>2722447474</v>
      </c>
      <c r="F477" s="55" t="s">
        <v>32</v>
      </c>
      <c r="G477" s="55" t="s">
        <v>23</v>
      </c>
      <c r="H477" s="56">
        <v>46175</v>
      </c>
      <c r="I477" s="56">
        <v>46188</v>
      </c>
      <c r="J477" s="16">
        <f t="shared" si="26"/>
        <v>10</v>
      </c>
      <c r="K477" s="55" t="s">
        <v>295</v>
      </c>
      <c r="L477" s="55" t="s">
        <v>296</v>
      </c>
      <c r="M477" s="55" t="s">
        <v>24</v>
      </c>
      <c r="N477" s="55" t="s">
        <v>33</v>
      </c>
      <c r="O477" s="55">
        <v>150000</v>
      </c>
      <c r="P477" s="55">
        <v>40000</v>
      </c>
      <c r="Q477" s="59">
        <v>190000</v>
      </c>
      <c r="R477" s="56">
        <v>46206</v>
      </c>
      <c r="S477" s="16">
        <f t="shared" si="27"/>
        <v>24</v>
      </c>
      <c r="T477" s="6" t="s">
        <v>904</v>
      </c>
      <c r="U477" s="6" t="s">
        <v>537</v>
      </c>
    </row>
  </sheetData>
  <autoFilter ref="A1:U474" xr:uid="{00000000-0001-0000-0000-000000000000}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2026-07-04T08:19:58Z</dcterms:modified>
</cp:coreProperties>
</file>