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64" documentId="11_997DCE529E14542F90D5B03D8DA80A0482BE69FC" xr6:coauthVersionLast="47" xr6:coauthVersionMax="47" xr10:uidLastSave="{DF2411D7-340D-49F8-ABE5-649EA73FCF5A}"/>
  <bookViews>
    <workbookView xWindow="-110" yWindow="-110" windowWidth="19420" windowHeight="10420" xr2:uid="{00000000-000D-0000-FFFF-FFFF00000000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Feuil1!$A$1:$V$141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45" i="1"/>
  <c r="V46" i="1"/>
  <c r="V47" i="1"/>
  <c r="V50" i="1"/>
  <c r="V51" i="1"/>
  <c r="V93" i="1"/>
  <c r="V94" i="1"/>
  <c r="V96" i="1"/>
  <c r="V98" i="1"/>
  <c r="V100" i="1"/>
  <c r="V101" i="1"/>
  <c r="V104" i="1"/>
  <c r="V105" i="1"/>
  <c r="V108" i="1"/>
  <c r="V109" i="1"/>
  <c r="V2" i="1"/>
  <c r="U4" i="1"/>
  <c r="U7" i="1"/>
  <c r="U10" i="1"/>
  <c r="U15" i="1"/>
  <c r="U20" i="1"/>
  <c r="U25" i="1"/>
  <c r="U36" i="1"/>
  <c r="U43" i="1"/>
  <c r="U45" i="1"/>
  <c r="U46" i="1"/>
  <c r="U47" i="1"/>
  <c r="U49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4" i="1"/>
  <c r="U105" i="1"/>
  <c r="U106" i="1"/>
  <c r="U107" i="1"/>
  <c r="U108" i="1"/>
  <c r="U110" i="1"/>
  <c r="U111" i="1"/>
  <c r="U112" i="1"/>
  <c r="U113" i="1"/>
  <c r="U117" i="1"/>
  <c r="U2" i="1"/>
  <c r="T4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6" i="1"/>
  <c r="T57" i="1"/>
  <c r="T58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82" i="1"/>
  <c r="T95" i="1"/>
  <c r="T97" i="1"/>
  <c r="T99" i="1"/>
  <c r="T106" i="1"/>
  <c r="T107" i="1"/>
  <c r="T109" i="1"/>
  <c r="T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2" i="1"/>
</calcChain>
</file>

<file path=xl/sharedStrings.xml><?xml version="1.0" encoding="utf-8"?>
<sst xmlns="http://schemas.openxmlformats.org/spreadsheetml/2006/main" count="1806" uniqueCount="336">
  <si>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</si>
  <si>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</si>
  <si>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</si>
  <si>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</si>
  <si>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</si>
  <si>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</si>
  <si>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</si>
  <si>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</si>
  <si>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VIPNET</t>
  </si>
  <si>
    <t>END A: DT VIPNET COCODY ATTOBAN ENDB: COOPERATION ALLEMANDE / GIZ DABAKALA LIEN BACKHAUL DEBIT 20Mbps</t>
  </si>
  <si>
    <t>SYTRAN</t>
  </si>
  <si>
    <t>fh</t>
  </si>
  <si>
    <t>LS</t>
  </si>
  <si>
    <t>Offert</t>
  </si>
  <si>
    <t>SYTHD260018</t>
  </si>
  <si>
    <t>Test et recette</t>
  </si>
  <si>
    <t>NOUVELLE PHARMACIE DE LA SANTE PUBLIQUE DE COTE D'IVOIRE</t>
  </si>
  <si>
    <t>BOUAKE ANTENNE REGIONALE.</t>
  </si>
  <si>
    <t>BUVPN</t>
  </si>
  <si>
    <t>ftto</t>
  </si>
  <si>
    <t>Backup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</si>
  <si>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</si>
  <si>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</si>
  <si>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</si>
  <si>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</si>
  <si>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</si>
  <si>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</si>
  <si>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</si>
  <si>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</si>
  <si>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</si>
  <si>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</si>
  <si>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</si>
  <si>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</si>
  <si>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</si>
  <si>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</si>
  <si>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</si>
  <si>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</si>
  <si>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IP Connect LL</t>
  </si>
  <si>
    <t>BCK</t>
  </si>
  <si>
    <t>XXXXXXXXXX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</si>
  <si>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</si>
  <si>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</si>
  <si>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</si>
  <si>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</si>
  <si>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</si>
  <si>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</si>
  <si>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</si>
  <si>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</si>
  <si>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</si>
  <si>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</si>
  <si>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XXXXXXX</t>
  </si>
  <si>
    <t>DGTCP</t>
  </si>
  <si>
    <t>COCODY ANGRE GESTOCI</t>
  </si>
  <si>
    <t>XXXXXXXX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</si>
  <si>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</si>
  <si>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</si>
  <si>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</si>
  <si>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</si>
  <si>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OCCS</t>
  </si>
  <si>
    <t>COCODY ET YAKRO</t>
  </si>
  <si>
    <t>XXXXX</t>
  </si>
  <si>
    <t>EXT A: DC Nsia Vallons EXT B: DC NSIA MAINONE AU VITB 2Gbps backhaul</t>
  </si>
  <si>
    <t>XXXXXXXXXXXXXXXX</t>
  </si>
  <si>
    <t>Saisie Wholesale</t>
  </si>
  <si>
    <t>HUAWEI PROJET MINISTERE DE LA DEFENSE</t>
  </si>
  <si>
    <t>ABIDJAN-PORT-BOUET//VOIE INCONNUE/PORTBOUET</t>
  </si>
  <si>
    <t>LIAISON SPECIALISEE</t>
  </si>
  <si>
    <t>NOM</t>
  </si>
  <si>
    <t>SYTHD260066</t>
  </si>
  <si>
    <t>ABIDJAN-PORT-BOUET//VOIE INCONNUE/EXTREMITE NOMINAL A PORT BOUET</t>
  </si>
  <si>
    <t>SYTHD250400</t>
  </si>
  <si>
    <t>NPW FRESH &amp;DRY CI</t>
  </si>
  <si>
    <t>BONOUA AXE ABOISSO</t>
  </si>
  <si>
    <t>Encours</t>
  </si>
  <si>
    <t>SYTHD260087</t>
  </si>
  <si>
    <t>Cordonnateur Prestatataire: Affectation Technicien</t>
  </si>
  <si>
    <t>HUAWEI</t>
  </si>
  <si>
    <t>SEGUELA</t>
  </si>
  <si>
    <t>XXXXXXXXXXX</t>
  </si>
  <si>
    <t>KONG</t>
  </si>
  <si>
    <t>CONSEIL REGIONAL DE LA MARAHOUE</t>
  </si>
  <si>
    <t>BOUAFLE</t>
  </si>
  <si>
    <t>X</t>
  </si>
  <si>
    <t>INSTITUT NATIONAL DE CARDIOLOGIE</t>
  </si>
  <si>
    <t>BOUAKE</t>
  </si>
  <si>
    <t>SYTHD260081</t>
  </si>
  <si>
    <t>Responsable Zone: Validation pour intervention</t>
  </si>
  <si>
    <t>DISTRICT AUTONOME DES LACS</t>
  </si>
  <si>
    <t>DIMBOKRO</t>
  </si>
  <si>
    <t>HOTEL LA GRACE KREGBE</t>
  </si>
  <si>
    <t>KREGBE//VOIE INCONNUE/DAOUKRO KREGBE</t>
  </si>
  <si>
    <t>SYTHD260009</t>
  </si>
  <si>
    <t>GOULIA</t>
  </si>
  <si>
    <t>xxxx</t>
  </si>
  <si>
    <t>SAMAGO</t>
  </si>
  <si>
    <t>QUIPUX AFRIQUE</t>
  </si>
  <si>
    <t>COCODY</t>
  </si>
  <si>
    <t>Saisie ASCOM</t>
  </si>
  <si>
    <t>TOUMODI</t>
  </si>
  <si>
    <t>BONGOUANOU</t>
  </si>
  <si>
    <t>XXX</t>
  </si>
  <si>
    <t>QUIPUX</t>
  </si>
  <si>
    <t>MANKONO</t>
  </si>
  <si>
    <t>ND : BUVPN260014</t>
  </si>
  <si>
    <t>Technicien zone: Intervention</t>
  </si>
  <si>
    <t>AGBOVILLE</t>
  </si>
  <si>
    <t>BUVPN260022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</si>
  <si>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</si>
  <si>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</si>
  <si>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</si>
  <si>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</si>
  <si>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</si>
  <si>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</si>
  <si>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</si>
  <si>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</si>
  <si>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</si>
  <si>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</si>
  <si>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</si>
  <si>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</si>
  <si>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</si>
  <si>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</si>
  <si>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</si>
  <si>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</si>
  <si>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</si>
  <si>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</si>
  <si>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</si>
  <si>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</si>
  <si>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STE MUGEFCI</t>
  </si>
  <si>
    <t>PLATEAU</t>
  </si>
  <si>
    <t>BCEAO PLATEAU</t>
  </si>
  <si>
    <t>SYTHD260049</t>
  </si>
  <si>
    <t>HUAWEI TECHNOLOGIE SAU</t>
  </si>
  <si>
    <t>MARCORY IMMEUBLE CAPSTONE 9E ETAGE</t>
  </si>
  <si>
    <t>SYTHD260058</t>
  </si>
  <si>
    <t>MAIRIE DE NIABLE</t>
  </si>
  <si>
    <t>NIABLE A LA MAIRIE</t>
  </si>
  <si>
    <t>TAABO LAMTO</t>
  </si>
  <si>
    <t>x</t>
  </si>
  <si>
    <t>Principale (avec backup)</t>
  </si>
  <si>
    <t>SYTHD250359</t>
  </si>
  <si>
    <t>BUVPN250213</t>
  </si>
  <si>
    <t>COMPAGNIE DE TRANSFORMATION DU CAOUCHOUC IVOIRIEN</t>
  </si>
  <si>
    <t>COCODY 2 PLATEAUX</t>
  </si>
  <si>
    <t>Transmission Plans Equipe Numerisation</t>
  </si>
  <si>
    <t>OPERATION DE TRANSIT ET DE LOGISTIQUE</t>
  </si>
  <si>
    <t>PORT BOUET VRIDI ZONE INDUSTRIELLE</t>
  </si>
  <si>
    <t>DIMBOKRO//VOIE INCONNUE/DIMBOKRO</t>
  </si>
  <si>
    <t>BUVPN260060</t>
  </si>
  <si>
    <t>MANCALA</t>
  </si>
  <si>
    <t>MFI CI (SODEXAM)</t>
  </si>
  <si>
    <t>PORT POUET ZONE AEROPORTUAIRE</t>
  </si>
  <si>
    <t>ZENITH BANK COTE D'IVOIRE</t>
  </si>
  <si>
    <t>ABIDJAN PLATEAU</t>
  </si>
  <si>
    <t>BUVPN260071</t>
  </si>
  <si>
    <t>Prestataire : Etude</t>
  </si>
  <si>
    <t>T2</t>
  </si>
  <si>
    <t>ZENITH BANK COTE D4IVOIRE</t>
  </si>
  <si>
    <t>SYTHD260088</t>
  </si>
  <si>
    <t>DIRECTION GENERALE DES DOUANES</t>
  </si>
  <si>
    <t>DJIGUI SHIPPING SITE TREICHVILLE CHU</t>
  </si>
  <si>
    <t>BUVPN260070</t>
  </si>
  <si>
    <t>MUGEFCI</t>
  </si>
  <si>
    <t>TREICHVILLE</t>
  </si>
  <si>
    <t>Responsable Zone: Coordination etude et travaux</t>
  </si>
  <si>
    <t>BUVPN260039</t>
  </si>
  <si>
    <t>KORHOGO</t>
  </si>
  <si>
    <t>OCI PCCI 2</t>
  </si>
  <si>
    <t>ABIDJAN TREICHVILLE</t>
  </si>
  <si>
    <t>BUVPN250061</t>
  </si>
  <si>
    <t>DEMANDE INTERNE FRANCHISE MANKONO</t>
  </si>
  <si>
    <t>MONKONO</t>
  </si>
  <si>
    <t>OCI DEMANDE INTERNE LIEN PRIMAIRE FRANCHISE GUEYO</t>
  </si>
  <si>
    <t>GAGNOA GUEYO (A LA FRANCHISE)</t>
  </si>
  <si>
    <t>OCI</t>
  </si>
  <si>
    <t>Franchise Gagnoa</t>
  </si>
  <si>
    <t>BUVPN260067</t>
  </si>
  <si>
    <t>Franchise PK18</t>
  </si>
  <si>
    <t>Franchise Daloa</t>
  </si>
  <si>
    <t>BUVPN260069</t>
  </si>
  <si>
    <t>BUVPN260068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</si>
  <si>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</si>
  <si>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</si>
  <si>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</si>
  <si>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</si>
  <si>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</si>
  <si>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</si>
  <si>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</si>
  <si>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HANNYYAH TRANSIT SITE TREICHVILLE VERS NOTRE DAME</t>
  </si>
  <si>
    <t>BUVPN260061</t>
  </si>
  <si>
    <t>DOUANES</t>
  </si>
  <si>
    <t>BUVPN260066</t>
  </si>
  <si>
    <t>TREICHVILLE, ZONE PORTUAIRE RUE DES MARSOUINS</t>
  </si>
  <si>
    <t>AFRICA GLOBAL LOGISTICS ( AGL )</t>
  </si>
  <si>
    <t>ABIDJAN-TREICHVILLE ZONE 3 EN FACE DE CFA NOUVEAU BATIMENT MSC</t>
  </si>
  <si>
    <t>UBA</t>
  </si>
  <si>
    <t>xxxxxx</t>
  </si>
  <si>
    <t>ORABANK</t>
  </si>
  <si>
    <t>2720255555B</t>
  </si>
  <si>
    <t>STE BNI</t>
  </si>
  <si>
    <t>AIR COTE D’IVOIRE</t>
  </si>
  <si>
    <t>STE SIB</t>
  </si>
  <si>
    <t>cuivre</t>
  </si>
  <si>
    <t>XXXXXXXXXXXX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</si>
  <si>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</si>
  <si>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</si>
  <si>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</si>
  <si>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</si>
  <si>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</si>
  <si>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</si>
  <si>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</si>
  <si>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</si>
  <si>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</si>
  <si>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</si>
  <si>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</si>
  <si>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ABOISSO</t>
  </si>
  <si>
    <t>Ingenieur Projet: Suspension Travaux DOB</t>
  </si>
  <si>
    <t>OFI, OLAM IVOIRE</t>
  </si>
  <si>
    <t>ANYAMA</t>
  </si>
  <si>
    <t>XXXXXXXXXXXXXXX</t>
  </si>
  <si>
    <t>EUROFIND PARTICIPATION</t>
  </si>
  <si>
    <t>ftto_virage</t>
  </si>
  <si>
    <t>radio</t>
  </si>
  <si>
    <t>OLAM AGRI RUBBER COTE D'IVOIRE ANIASSUE</t>
  </si>
  <si>
    <t>radio_fh</t>
  </si>
  <si>
    <t>CORIS BANK</t>
  </si>
  <si>
    <t>MARCORY</t>
  </si>
  <si>
    <t>BUVPN240108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</si>
  <si>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</si>
  <si>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</si>
  <si>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</si>
  <si>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</si>
  <si>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</si>
  <si>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</si>
  <si>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</si>
  <si>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</si>
  <si>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</si>
  <si>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</si>
  <si>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STE CFAO MOBILITY COTE D'IVOIRE (BACKUP DU SYTHD190136)</t>
  </si>
  <si>
    <t>ABIDJAN-TREICHVILLE BD DE MARSEILLE</t>
  </si>
  <si>
    <t>SYTHD260085</t>
  </si>
  <si>
    <t>Responsable Zone: Validation intervention</t>
  </si>
  <si>
    <t>SECO OUANGOLO (BACKUP DU SYTHD220080)</t>
  </si>
  <si>
    <t>SECO OUANGOLO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</si>
  <si>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</si>
  <si>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</si>
  <si>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</si>
  <si>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</si>
  <si>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</si>
  <si>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</si>
  <si>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</si>
  <si>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INSTITUT CARDIOLOGIE BOUAKE</t>
  </si>
  <si>
    <t>RIMCO</t>
  </si>
  <si>
    <t>TREICHVILLE ZONE 3</t>
  </si>
  <si>
    <t>1.000.000</t>
  </si>
  <si>
    <t>TREICHVILLE ZONE 4</t>
  </si>
  <si>
    <t>ARABIAN CONSTRUCTION COMPANY</t>
  </si>
  <si>
    <t>RIMCO SETACI</t>
  </si>
  <si>
    <t>DALOA</t>
  </si>
  <si>
    <t>DGI</t>
  </si>
  <si>
    <t>PROJET POLE AGRO INDUSTRIEL DANS LE NORD</t>
  </si>
  <si>
    <t>ABENGOUROU</t>
  </si>
  <si>
    <t>BUVPN260072</t>
  </si>
  <si>
    <t>BO Homologation: Saisie GAIA</t>
  </si>
  <si>
    <t>Parametrage facturation</t>
  </si>
  <si>
    <t>BUVPN260073</t>
  </si>
  <si>
    <t>YESHI GROUPE COTE D'IVOIRE</t>
  </si>
  <si>
    <t>TREICHVILLE BATIMENT RIMCO</t>
  </si>
  <si>
    <t>ECART SERVICES IVOIRY COAST</t>
  </si>
  <si>
    <t>BAD</t>
  </si>
  <si>
    <t>PORT BOUET RADUISON BLU</t>
  </si>
  <si>
    <t>Temporaire</t>
  </si>
  <si>
    <t>SOCIETE DE MECANIQUE GENERALE</t>
  </si>
  <si>
    <t>MARCORY BOULEVARD PHILIPPE YACE BATIMENT 7504 AU RDC</t>
  </si>
  <si>
    <t>PRESIDENCE DE LA REPUBLIQUE</t>
  </si>
  <si>
    <t>PLATEAU IMMEUBLE DJEKANOU</t>
  </si>
  <si>
    <t>ECOTI SA</t>
  </si>
  <si>
    <t>YOPOUGON</t>
  </si>
  <si>
    <t>CREDAF GROUP</t>
  </si>
  <si>
    <t>MARCORY ZONE 4</t>
  </si>
  <si>
    <t>DEMANDE INTERNE LS COCODY DANGA</t>
  </si>
  <si>
    <t>ABIDJAN-COCODY DANGA</t>
  </si>
  <si>
    <t>Responsable IP: Affectation Ingenieur Delivery</t>
  </si>
  <si>
    <t>IP Delivery: Validation information</t>
  </si>
  <si>
    <t>OQSF-CI</t>
  </si>
  <si>
    <t>BGFIBANK</t>
  </si>
  <si>
    <t>ABIDJAN-PORT BOUET BGFIBANK AEROPORT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</si>
  <si>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</si>
  <si>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</si>
  <si>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</si>
  <si>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</si>
  <si>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</si>
  <si>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</si>
  <si>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</si>
  <si>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</si>
  <si>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</si>
  <si>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</si>
  <si>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</si>
  <si>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</si>
  <si>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</si>
  <si>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</si>
  <si>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</si>
  <si>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</si>
  <si>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</si>
  <si>
    <t>Durée demande</t>
  </si>
  <si>
    <t>Autorisation DDPE et autres</t>
  </si>
  <si>
    <t>Causes suspension</t>
  </si>
  <si>
    <t>Commentaire</t>
  </si>
  <si>
    <t>Type demande</t>
  </si>
  <si>
    <t>DDPE</t>
  </si>
  <si>
    <t>Local en chantier</t>
  </si>
  <si>
    <t>l'itinéraire potable passe par une chambre de VIPNET qui se trouve sur le tarmac de l'aéroport d'où nous devrons attendre l'accord de la négo OCI-VIPNET en cours. (AERIA)</t>
  </si>
  <si>
    <t>Cause matériel</t>
  </si>
  <si>
    <t>poteaux bétons cassés accidentellement</t>
  </si>
  <si>
    <t>GC endommagé , déplacement de réseau de la bretelle Y4</t>
  </si>
  <si>
    <t>DM/ WHOLESALE</t>
  </si>
  <si>
    <t>Manque de poteaux</t>
  </si>
  <si>
    <t>Pas de baie informatique</t>
  </si>
  <si>
    <t xml:space="preserve">perte de paquets </t>
  </si>
  <si>
    <t xml:space="preserve">Autorisation du client </t>
  </si>
  <si>
    <t>local pas pret</t>
  </si>
  <si>
    <t>Non</t>
  </si>
  <si>
    <t>RADIO</t>
  </si>
  <si>
    <t>FO DISPO CHEZ LE CLIENT</t>
  </si>
  <si>
    <t xml:space="preserve">CLIENT </t>
  </si>
  <si>
    <t>confusion de site par le client</t>
  </si>
  <si>
    <t>Travaux en cours</t>
  </si>
  <si>
    <t>Materiel</t>
  </si>
  <si>
    <t>Baie fermé a clé. Client indisponible</t>
  </si>
  <si>
    <t>Maintenance sur la PA</t>
  </si>
  <si>
    <t>EVENT</t>
  </si>
  <si>
    <t>N/A</t>
  </si>
  <si>
    <t>Projet</t>
  </si>
  <si>
    <t>Hors Projet</t>
  </si>
  <si>
    <t>Projet DMO</t>
  </si>
  <si>
    <t>Projet OCI</t>
  </si>
  <si>
    <t>Résilié par erreur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</si>
</sst>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color rgb="FF44546A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Users/sdrk2070/AppData/Local/Microsoft/Windows/INetCache/Content.Outlook/NW7C207Z/pipe.xlsx" TargetMode="External"/><Relationship Id="rId1" Type="http://schemas.openxmlformats.org/officeDocument/2006/relationships/externalLinkPath" Target="/Users/sdrk2070/AppData/Local/Microsoft/Windows/INetCache/Content.Outlook/NW7C207Z/pi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</sheetNames>
    <sheetDataSet>
      <sheetData sheetId="0">
        <row r="1">
          <cell r="A1" t="str">
            <v>ID DOSSIER</v>
          </cell>
          <cell r="B1" t="str">
            <v>DATE CREATION DOSSIER</v>
          </cell>
          <cell r="C1" t="str">
            <v>ID TACHE</v>
          </cell>
          <cell r="D1" t="str">
            <v>DATE CREATION TACHE</v>
          </cell>
          <cell r="E1" t="str">
            <v>ETAPE</v>
          </cell>
          <cell r="F1" t="str">
            <v>CLIENT</v>
          </cell>
          <cell r="G1" t="str">
            <v>CONTACT</v>
          </cell>
          <cell r="H1" t="str">
            <v>ADR. GEO</v>
          </cell>
          <cell r="I1" t="str">
            <v>NoDEMANDE</v>
          </cell>
          <cell r="J1" t="str">
            <v>PRODUIT</v>
          </cell>
          <cell r="K1" t="str">
            <v>SUPPORT</v>
          </cell>
          <cell r="L1" t="str">
            <v>TYPE ABONNEMENT</v>
          </cell>
          <cell r="M1" t="str">
            <v>CARACTERISTIQUE</v>
          </cell>
          <cell r="N1" t="str">
            <v>STATUT</v>
          </cell>
          <cell r="O1" t="str">
            <v>REFERENCE</v>
          </cell>
          <cell r="P1" t="str">
            <v>RECURENT</v>
          </cell>
          <cell r="Q1" t="str">
            <v>MONTANT MS</v>
          </cell>
          <cell r="R1" t="str">
            <v>Durée demande</v>
          </cell>
          <cell r="S1" t="str">
            <v>Autorisation DDPE et autres</v>
          </cell>
          <cell r="T1" t="str">
            <v>Causes suspension</v>
          </cell>
          <cell r="U1" t="str">
            <v>Commentaire</v>
          </cell>
          <cell r="V1" t="str">
            <v>Type demande</v>
          </cell>
        </row>
        <row r="2">
          <cell r="A2">
            <v>44970444</v>
          </cell>
          <cell r="B2">
            <v>45798.444131944445</v>
          </cell>
          <cell r="C2">
            <v>57086157</v>
          </cell>
          <cell r="D2">
            <v>46044.497789351852</v>
          </cell>
          <cell r="E2" t="str">
            <v>SIE : Mise en service GAIA</v>
          </cell>
          <cell r="F2" t="str">
            <v>AGILITY BUSINESS PARKS COTE D’IVOIRE</v>
          </cell>
          <cell r="G2">
            <v>777545168</v>
          </cell>
          <cell r="H2" t="str">
            <v>COCODY BLD LATRILLE</v>
          </cell>
          <cell r="I2" t="str">
            <v>-</v>
          </cell>
          <cell r="J2" t="str">
            <v>T0</v>
          </cell>
          <cell r="K2" t="str">
            <v>fo_virage</v>
          </cell>
          <cell r="L2" t="str">
            <v>numerique</v>
          </cell>
          <cell r="M2" t="str">
            <v>Nominale</v>
          </cell>
          <cell r="N2"/>
          <cell r="O2">
            <v>2723489300</v>
          </cell>
          <cell r="P2" t="str">
            <v>-</v>
          </cell>
          <cell r="Q2" t="str">
            <v>-</v>
          </cell>
          <cell r="R2">
            <v>217</v>
          </cell>
          <cell r="S2" t="str">
            <v>Oui</v>
          </cell>
          <cell r="T2" t="str">
            <v xml:space="preserve">CLIENT </v>
          </cell>
          <cell r="U2" t="str">
            <v>Frais en cours de paiement</v>
          </cell>
          <cell r="V2" t="str">
            <v>Hors Projet</v>
          </cell>
        </row>
        <row r="3">
          <cell r="A3">
            <v>48847621</v>
          </cell>
          <cell r="B3">
            <v>45882.483449074076</v>
          </cell>
          <cell r="C3">
            <v>60094807</v>
          </cell>
          <cell r="D3">
            <v>46099.377268518518</v>
          </cell>
          <cell r="E3" t="str">
            <v>Test et recette</v>
          </cell>
          <cell r="F3" t="str">
            <v>VIPNET</v>
          </cell>
          <cell r="G3">
            <v>749194205</v>
          </cell>
          <cell r="H3" t="str">
            <v>END A: DT VIPNET COCODY ATTOBAN ENDB: COOPERATION ALLEMANDE / GIZ DABAKALA LIEN BACKHAUL DEBIT 20Mbps</v>
          </cell>
          <cell r="I3" t="str">
            <v>-</v>
          </cell>
          <cell r="J3" t="str">
            <v>SYTRAN</v>
          </cell>
          <cell r="K3" t="str">
            <v>fh</v>
          </cell>
          <cell r="L3" t="str">
            <v>LS</v>
          </cell>
          <cell r="M3" t="str">
            <v>Nominale</v>
          </cell>
          <cell r="N3" t="str">
            <v>Offert</v>
          </cell>
          <cell r="O3" t="str">
            <v>SYTHD260018</v>
          </cell>
          <cell r="P3" t="str">
            <v>-</v>
          </cell>
          <cell r="Q3" t="str">
            <v>-</v>
          </cell>
          <cell r="R3">
            <v>157</v>
          </cell>
          <cell r="S3" t="e">
            <v>#N/A</v>
          </cell>
          <cell r="T3" t="e">
            <v>#N/A</v>
          </cell>
          <cell r="U3" t="e">
            <v>#N/A</v>
          </cell>
          <cell r="V3" t="e">
            <v>#N/A</v>
          </cell>
        </row>
        <row r="4">
          <cell r="A4">
            <v>51760632</v>
          </cell>
          <cell r="B4">
            <v>45938.521469907406</v>
          </cell>
          <cell r="C4">
            <v>59332667</v>
          </cell>
          <cell r="D4">
            <v>46085.453263888892</v>
          </cell>
          <cell r="E4" t="str">
            <v>Raccordement Suspendu</v>
          </cell>
          <cell r="F4" t="str">
            <v>NOUVELLE PHARMACIE DE LA SANTE PUBLIQUE DE COTE D'IVOIRE</v>
          </cell>
          <cell r="G4">
            <v>556999292</v>
          </cell>
          <cell r="H4" t="str">
            <v>BOUAKE ANTENNE REGIONALE.</v>
          </cell>
          <cell r="I4" t="str">
            <v>-</v>
          </cell>
          <cell r="J4" t="str">
            <v>BUVPN</v>
          </cell>
          <cell r="K4" t="str">
            <v>ftto</v>
          </cell>
          <cell r="L4" t="str">
            <v>LS</v>
          </cell>
          <cell r="M4" t="str">
            <v>Backup</v>
          </cell>
          <cell r="N4" t="str">
            <v>Offert</v>
          </cell>
          <cell r="O4" t="str">
            <v>XXXX</v>
          </cell>
          <cell r="P4" t="str">
            <v>-</v>
          </cell>
          <cell r="Q4" t="str">
            <v>-</v>
          </cell>
          <cell r="R4">
            <v>117</v>
          </cell>
          <cell r="S4" t="str">
            <v>Non</v>
          </cell>
          <cell r="T4" t="str">
            <v>OCI</v>
          </cell>
          <cell r="U4" t="str">
            <v>Modification de l'architecture</v>
          </cell>
          <cell r="V4" t="str">
            <v>Hors Projet</v>
          </cell>
        </row>
        <row r="5">
          <cell r="A5">
            <v>52448985</v>
          </cell>
          <cell r="B5">
            <v>45952.656354166669</v>
          </cell>
          <cell r="C5">
            <v>57267563</v>
          </cell>
          <cell r="D5">
            <v>46048.505671296298</v>
          </cell>
          <cell r="E5" t="str">
            <v>Prestataire : Travaux</v>
          </cell>
          <cell r="F5" t="str">
            <v>SIMDCI SA BONDOUKOU</v>
          </cell>
          <cell r="G5">
            <v>708086759</v>
          </cell>
          <cell r="H5" t="str">
            <v>BONDOUKOU A L'UNIVERSITE</v>
          </cell>
          <cell r="I5" t="str">
            <v>-</v>
          </cell>
          <cell r="J5" t="str">
            <v>BUVPN</v>
          </cell>
          <cell r="K5" t="str">
            <v>fo</v>
          </cell>
          <cell r="L5" t="str">
            <v>LS</v>
          </cell>
          <cell r="M5" t="str">
            <v>Backup</v>
          </cell>
          <cell r="N5" t="str">
            <v>Offert</v>
          </cell>
          <cell r="O5" t="str">
            <v>xxxxx</v>
          </cell>
          <cell r="P5" t="str">
            <v>-</v>
          </cell>
          <cell r="Q5" t="str">
            <v>-</v>
          </cell>
          <cell r="R5">
            <v>107</v>
          </cell>
          <cell r="S5" t="str">
            <v>Oui</v>
          </cell>
          <cell r="T5" t="str">
            <v>DDPE</v>
          </cell>
          <cell r="U5" t="str">
            <v xml:space="preserve"> </v>
          </cell>
          <cell r="V5" t="str">
            <v>Projet</v>
          </cell>
        </row>
        <row r="6">
          <cell r="A6">
            <v>52561777</v>
          </cell>
          <cell r="B6">
            <v>45954.649918981479</v>
          </cell>
          <cell r="C6">
            <v>55451640</v>
          </cell>
          <cell r="D6">
            <v>46010.467245370368</v>
          </cell>
          <cell r="E6" t="str">
            <v>Prestataire : Travaux</v>
          </cell>
          <cell r="F6" t="str">
            <v>SIMDCI</v>
          </cell>
          <cell r="G6">
            <v>708086759</v>
          </cell>
          <cell r="H6" t="str">
            <v>UNIVERSITE BONDOUKOU</v>
          </cell>
          <cell r="I6" t="str">
            <v>-</v>
          </cell>
          <cell r="J6" t="str">
            <v>SYTRAN</v>
          </cell>
          <cell r="K6" t="str">
            <v>fo</v>
          </cell>
          <cell r="L6" t="str">
            <v>LSI</v>
          </cell>
          <cell r="M6" t="str">
            <v>Backup</v>
          </cell>
          <cell r="N6" t="str">
            <v>Offert</v>
          </cell>
          <cell r="O6" t="str">
            <v>XXXX</v>
          </cell>
          <cell r="P6" t="str">
            <v>-</v>
          </cell>
          <cell r="Q6" t="str">
            <v>-</v>
          </cell>
          <cell r="R6">
            <v>105</v>
          </cell>
          <cell r="S6" t="str">
            <v>Oui</v>
          </cell>
          <cell r="T6" t="str">
            <v>DDPE</v>
          </cell>
          <cell r="U6" t="str">
            <v xml:space="preserve"> </v>
          </cell>
          <cell r="V6" t="str">
            <v>Projet</v>
          </cell>
        </row>
        <row r="7">
          <cell r="A7">
            <v>52691553</v>
          </cell>
          <cell r="B7">
            <v>45958.456122685187</v>
          </cell>
          <cell r="C7">
            <v>59242377</v>
          </cell>
          <cell r="D7">
            <v>46083.722071759257</v>
          </cell>
          <cell r="E7" t="str">
            <v>Travaux Suspendu</v>
          </cell>
          <cell r="F7" t="str">
            <v>ARTCI</v>
          </cell>
          <cell r="G7">
            <v>708473548</v>
          </cell>
          <cell r="H7" t="str">
            <v>MARCORY ANOUMAMBO</v>
          </cell>
          <cell r="I7" t="str">
            <v>-</v>
          </cell>
          <cell r="J7" t="str">
            <v>SYTRAN</v>
          </cell>
          <cell r="K7" t="str">
            <v>ftto</v>
          </cell>
          <cell r="L7" t="str">
            <v>LSI</v>
          </cell>
          <cell r="M7" t="str">
            <v>Backup</v>
          </cell>
          <cell r="N7" t="str">
            <v>Offert</v>
          </cell>
          <cell r="O7" t="str">
            <v>xxxxxxxx</v>
          </cell>
          <cell r="P7" t="str">
            <v>-</v>
          </cell>
          <cell r="Q7">
            <v>1000000</v>
          </cell>
          <cell r="R7">
            <v>103</v>
          </cell>
          <cell r="S7" t="str">
            <v>Non</v>
          </cell>
          <cell r="T7" t="str">
            <v xml:space="preserve">CLIENT </v>
          </cell>
          <cell r="U7" t="str">
            <v>Attente Autorisation Client</v>
          </cell>
          <cell r="V7" t="str">
            <v>Hors Projet</v>
          </cell>
        </row>
        <row r="8">
          <cell r="A8">
            <v>52778382</v>
          </cell>
          <cell r="B8">
            <v>45959.67696759259</v>
          </cell>
          <cell r="C8">
            <v>55073470</v>
          </cell>
          <cell r="D8">
            <v>46003.678194444445</v>
          </cell>
          <cell r="E8" t="str">
            <v>Travaux Suspendu</v>
          </cell>
          <cell r="F8" t="str">
            <v>SIMDCI SA</v>
          </cell>
          <cell r="G8">
            <v>708086759</v>
          </cell>
          <cell r="H8" t="str">
            <v>ABIDJAN-COCODY//VOIE INCONNUE/</v>
          </cell>
          <cell r="I8">
            <v>2788625</v>
          </cell>
          <cell r="J8" t="str">
            <v>IP Connect LL</v>
          </cell>
          <cell r="K8" t="str">
            <v>fo</v>
          </cell>
          <cell r="L8" t="str">
            <v>LS</v>
          </cell>
          <cell r="M8" t="str">
            <v>BCK</v>
          </cell>
          <cell r="N8" t="str">
            <v>Offert</v>
          </cell>
          <cell r="O8" t="str">
            <v>XXXXXXXXXX</v>
          </cell>
          <cell r="P8" t="str">
            <v>-</v>
          </cell>
          <cell r="Q8" t="str">
            <v>-</v>
          </cell>
          <cell r="R8">
            <v>102</v>
          </cell>
          <cell r="S8" t="str">
            <v>Non</v>
          </cell>
          <cell r="T8" t="str">
            <v xml:space="preserve">CLIENT </v>
          </cell>
          <cell r="U8">
            <v>0</v>
          </cell>
          <cell r="V8" t="str">
            <v>Projet</v>
          </cell>
        </row>
        <row r="9">
          <cell r="A9">
            <v>52808171</v>
          </cell>
          <cell r="B9">
            <v>45960.452361111114</v>
          </cell>
          <cell r="C9">
            <v>59829408</v>
          </cell>
          <cell r="D9">
            <v>46093.677152777775</v>
          </cell>
          <cell r="E9" t="str">
            <v>Travaux Suspendu</v>
          </cell>
          <cell r="F9" t="str">
            <v>AERIA BUVPN 2 AEROPORT</v>
          </cell>
          <cell r="G9">
            <v>709738605</v>
          </cell>
          <cell r="H9" t="str">
            <v>ABIDJAN-PORT-BOUET//VOIE INCONNUE/AEROPORT FHB 0709254454</v>
          </cell>
          <cell r="I9">
            <v>2793645</v>
          </cell>
          <cell r="J9" t="str">
            <v>IP Connect LL</v>
          </cell>
          <cell r="K9" t="str">
            <v>fo</v>
          </cell>
          <cell r="L9" t="str">
            <v>LS</v>
          </cell>
          <cell r="M9" t="str">
            <v>Backup</v>
          </cell>
          <cell r="N9" t="str">
            <v>Offert</v>
          </cell>
          <cell r="O9" t="str">
            <v>BUVPN250202</v>
          </cell>
          <cell r="P9" t="str">
            <v>-</v>
          </cell>
          <cell r="Q9" t="str">
            <v>-</v>
          </cell>
          <cell r="R9">
            <v>101</v>
          </cell>
          <cell r="S9" t="str">
            <v>Non</v>
          </cell>
          <cell r="T9" t="str">
            <v xml:space="preserve">CLIENT </v>
          </cell>
          <cell r="U9">
            <v>0</v>
          </cell>
          <cell r="V9" t="str">
            <v>Projet</v>
          </cell>
        </row>
        <row r="10">
          <cell r="A10">
            <v>53702282</v>
          </cell>
          <cell r="B10">
            <v>45978.671550925923</v>
          </cell>
          <cell r="C10">
            <v>54614316</v>
          </cell>
          <cell r="D10">
            <v>45995.632673611108</v>
          </cell>
          <cell r="E10" t="str">
            <v>Travaux Suspendu</v>
          </cell>
          <cell r="F10" t="str">
            <v>MINISTERE RESSOURCES MINIERES PETROLIERE</v>
          </cell>
          <cell r="G10">
            <v>778036533</v>
          </cell>
          <cell r="H10" t="str">
            <v>PLATEAU IMMEUBLE CORNICHE 5EME ETAGE.</v>
          </cell>
          <cell r="I10" t="str">
            <v>-</v>
          </cell>
          <cell r="J10" t="str">
            <v>T0</v>
          </cell>
          <cell r="K10" t="str">
            <v>fo_virage</v>
          </cell>
          <cell r="L10" t="str">
            <v>numerique</v>
          </cell>
          <cell r="M10" t="str">
            <v>Nominale</v>
          </cell>
          <cell r="N10" t="str">
            <v>Offert</v>
          </cell>
          <cell r="O10" t="str">
            <v>XXXXXX</v>
          </cell>
          <cell r="P10" t="str">
            <v>-</v>
          </cell>
          <cell r="Q10" t="str">
            <v>-</v>
          </cell>
          <cell r="R10">
            <v>89</v>
          </cell>
          <cell r="S10" t="str">
            <v>Non</v>
          </cell>
          <cell r="T10" t="str">
            <v>OCI</v>
          </cell>
          <cell r="U10" t="str">
            <v>MAIRIE DU PLATEAU</v>
          </cell>
          <cell r="V10" t="str">
            <v>Hors Projet</v>
          </cell>
        </row>
        <row r="11">
          <cell r="A11">
            <v>53749839</v>
          </cell>
          <cell r="B11">
            <v>45979.600694444445</v>
          </cell>
          <cell r="C11">
            <v>57266013</v>
          </cell>
          <cell r="D11">
            <v>46048.492129629631</v>
          </cell>
          <cell r="E11" t="str">
            <v>Prestataire : Travaux</v>
          </cell>
          <cell r="F11" t="str">
            <v>STE OLAM AGRI</v>
          </cell>
          <cell r="G11">
            <v>703333988</v>
          </cell>
          <cell r="H11" t="str">
            <v>DALOA / DIBLOBLI</v>
          </cell>
          <cell r="I11" t="str">
            <v>-</v>
          </cell>
          <cell r="J11" t="str">
            <v>SYTRAN</v>
          </cell>
          <cell r="K11" t="str">
            <v>fo</v>
          </cell>
          <cell r="L11" t="str">
            <v>LSI</v>
          </cell>
          <cell r="M11" t="str">
            <v>Nominale</v>
          </cell>
          <cell r="N11" t="str">
            <v>Offert</v>
          </cell>
          <cell r="O11" t="str">
            <v>XXXX</v>
          </cell>
          <cell r="P11" t="str">
            <v>-</v>
          </cell>
          <cell r="Q11">
            <v>10000000</v>
          </cell>
          <cell r="R11">
            <v>88</v>
          </cell>
          <cell r="S11" t="str">
            <v>Oui</v>
          </cell>
          <cell r="T11" t="str">
            <v>N/A</v>
          </cell>
          <cell r="U11">
            <v>0</v>
          </cell>
          <cell r="V11" t="str">
            <v>Hors Projet</v>
          </cell>
        </row>
        <row r="12">
          <cell r="A12">
            <v>53790357</v>
          </cell>
          <cell r="B12">
            <v>45980.438298611109</v>
          </cell>
          <cell r="C12">
            <v>59242274</v>
          </cell>
          <cell r="D12">
            <v>46083.721238425926</v>
          </cell>
          <cell r="E12" t="str">
            <v>Travaux Suspendu</v>
          </cell>
          <cell r="F12" t="str">
            <v>CIPREL</v>
          </cell>
          <cell r="G12">
            <v>708336404</v>
          </cell>
          <cell r="H12" t="str">
            <v>VRIDI</v>
          </cell>
          <cell r="I12" t="str">
            <v>-</v>
          </cell>
          <cell r="J12" t="str">
            <v>SYTRAN</v>
          </cell>
          <cell r="K12" t="str">
            <v>fo</v>
          </cell>
          <cell r="L12" t="str">
            <v>LSI</v>
          </cell>
          <cell r="M12" t="str">
            <v>Nominale</v>
          </cell>
          <cell r="N12" t="str">
            <v>Offert</v>
          </cell>
          <cell r="O12" t="str">
            <v>XXXXXX</v>
          </cell>
          <cell r="P12" t="str">
            <v>-</v>
          </cell>
          <cell r="Q12">
            <v>4430307</v>
          </cell>
          <cell r="R12">
            <v>87</v>
          </cell>
          <cell r="S12" t="str">
            <v>Oui</v>
          </cell>
          <cell r="T12" t="str">
            <v xml:space="preserve">CLIENT </v>
          </cell>
          <cell r="U12">
            <v>0</v>
          </cell>
          <cell r="V12" t="str">
            <v>Hors Projet</v>
          </cell>
        </row>
        <row r="13">
          <cell r="A13">
            <v>53899369</v>
          </cell>
          <cell r="B13">
            <v>45981.827430555553</v>
          </cell>
          <cell r="C13">
            <v>55146678</v>
          </cell>
          <cell r="D13">
            <v>46005.762916666667</v>
          </cell>
          <cell r="E13" t="str">
            <v>Travaux Suspendu</v>
          </cell>
          <cell r="F13" t="str">
            <v>DGTCP</v>
          </cell>
          <cell r="G13">
            <v>707003126</v>
          </cell>
          <cell r="H13" t="str">
            <v>COCODY ANGRE GESTOCI</v>
          </cell>
          <cell r="I13" t="str">
            <v>-</v>
          </cell>
          <cell r="J13" t="str">
            <v>SYTRAN</v>
          </cell>
          <cell r="K13" t="str">
            <v>fo</v>
          </cell>
          <cell r="L13" t="str">
            <v>LSI</v>
          </cell>
          <cell r="M13" t="str">
            <v>Backup</v>
          </cell>
          <cell r="N13" t="str">
            <v>Offert</v>
          </cell>
          <cell r="O13" t="str">
            <v>XXXXXXXX</v>
          </cell>
          <cell r="P13" t="str">
            <v>-</v>
          </cell>
          <cell r="Q13">
            <v>0</v>
          </cell>
          <cell r="R13">
            <v>86</v>
          </cell>
          <cell r="S13" t="str">
            <v>Non</v>
          </cell>
          <cell r="T13" t="str">
            <v>OCI</v>
          </cell>
          <cell r="U13">
            <v>0</v>
          </cell>
          <cell r="V13" t="str">
            <v>Hors Projet</v>
          </cell>
        </row>
        <row r="14">
          <cell r="A14">
            <v>54178346</v>
          </cell>
          <cell r="B14">
            <v>45987.646099537036</v>
          </cell>
          <cell r="C14">
            <v>59755436</v>
          </cell>
          <cell r="D14">
            <v>46092.631111111114</v>
          </cell>
          <cell r="E14" t="str">
            <v>Test et recette</v>
          </cell>
          <cell r="F14" t="str">
            <v>MAGAL TELECOM AFRICA SARL</v>
          </cell>
          <cell r="G14">
            <v>757323203</v>
          </cell>
          <cell r="H14" t="str">
            <v>EXT A: SCB BF REU BIZAMA_OUAGA EXT B: AWALE DC COCODY VALLONS_ABIDJAN ( lien à taguer via NNI OCI-OBF--&gt; Reference du NNI : Ouangolo EG10,Pot 2 --- Ferké BFKE710 GE0/2/4(1Gb) VLAN 405 SERVICE : IPLC Débit : 4Mbps</v>
          </cell>
          <cell r="I14" t="str">
            <v>-</v>
          </cell>
          <cell r="J14" t="str">
            <v>VPNLL</v>
          </cell>
          <cell r="K14" t="str">
            <v>fo</v>
          </cell>
          <cell r="L14" t="str">
            <v>LS</v>
          </cell>
          <cell r="M14" t="str">
            <v>Nominale</v>
          </cell>
          <cell r="N14" t="str">
            <v>Offert</v>
          </cell>
          <cell r="O14" t="str">
            <v>SYTHD250368</v>
          </cell>
          <cell r="P14" t="str">
            <v>-</v>
          </cell>
          <cell r="Q14" t="str">
            <v>-</v>
          </cell>
          <cell r="R14">
            <v>82</v>
          </cell>
          <cell r="S14" t="str">
            <v>Non</v>
          </cell>
          <cell r="T14" t="str">
            <v>N/A</v>
          </cell>
          <cell r="U14">
            <v>0</v>
          </cell>
          <cell r="V14" t="str">
            <v>Projet</v>
          </cell>
        </row>
        <row r="15">
          <cell r="A15">
            <v>54449048</v>
          </cell>
          <cell r="B15">
            <v>45992.706157407411</v>
          </cell>
          <cell r="C15">
            <v>56341749</v>
          </cell>
          <cell r="D15">
            <v>46029.685115740744</v>
          </cell>
          <cell r="E15" t="str">
            <v>Travaux Suspendu</v>
          </cell>
          <cell r="F15" t="str">
            <v>OCCS</v>
          </cell>
          <cell r="G15">
            <v>708086759</v>
          </cell>
          <cell r="H15" t="str">
            <v>COCODY ET YAKRO</v>
          </cell>
          <cell r="I15" t="str">
            <v>-</v>
          </cell>
          <cell r="J15" t="str">
            <v>BUVPN</v>
          </cell>
          <cell r="K15" t="str">
            <v>fo</v>
          </cell>
          <cell r="L15" t="str">
            <v>LS</v>
          </cell>
          <cell r="M15" t="str">
            <v>Backup</v>
          </cell>
          <cell r="N15" t="str">
            <v>Offert</v>
          </cell>
          <cell r="O15" t="str">
            <v>XXXXX</v>
          </cell>
          <cell r="P15" t="str">
            <v>-</v>
          </cell>
          <cell r="Q15" t="str">
            <v>-</v>
          </cell>
          <cell r="R15">
            <v>79</v>
          </cell>
          <cell r="S15" t="str">
            <v>Oui</v>
          </cell>
          <cell r="T15" t="str">
            <v>OCI</v>
          </cell>
          <cell r="U15" t="str">
            <v>AGEROUTE</v>
          </cell>
          <cell r="V15" t="str">
            <v>Projet</v>
          </cell>
        </row>
        <row r="16">
          <cell r="A16">
            <v>54793554</v>
          </cell>
          <cell r="B16">
            <v>45999.637916666667</v>
          </cell>
          <cell r="C16">
            <v>59895786</v>
          </cell>
          <cell r="D16">
            <v>46094.6953125</v>
          </cell>
          <cell r="E16" t="str">
            <v>Saisie Wholesale</v>
          </cell>
          <cell r="F16" t="str">
            <v>MAGAL TELECOM AFRICA SARL</v>
          </cell>
          <cell r="G16">
            <v>757323203</v>
          </cell>
          <cell r="H16" t="str">
            <v>EXT A: DC Nsia Vallons EXT B: DC NSIA MAINONE AU VITB 2Gbps backhaul</v>
          </cell>
          <cell r="I16" t="str">
            <v>-</v>
          </cell>
          <cell r="J16" t="str">
            <v>VPNLL</v>
          </cell>
          <cell r="K16" t="str">
            <v>fo</v>
          </cell>
          <cell r="L16" t="str">
            <v>LS</v>
          </cell>
          <cell r="M16" t="str">
            <v>Nominale</v>
          </cell>
          <cell r="N16" t="str">
            <v>Offert</v>
          </cell>
          <cell r="O16" t="str">
            <v>XXXXXXXXXXXXXXXX</v>
          </cell>
          <cell r="P16" t="str">
            <v>-</v>
          </cell>
          <cell r="Q16" t="str">
            <v>-</v>
          </cell>
          <cell r="R16">
            <v>74</v>
          </cell>
          <cell r="S16" t="str">
            <v>Non</v>
          </cell>
          <cell r="T16" t="str">
            <v xml:space="preserve">CLIENT </v>
          </cell>
          <cell r="U16">
            <v>0</v>
          </cell>
          <cell r="V16" t="str">
            <v>Projet</v>
          </cell>
        </row>
        <row r="17">
          <cell r="A17">
            <v>54967903</v>
          </cell>
          <cell r="B17">
            <v>46002.459837962961</v>
          </cell>
          <cell r="C17">
            <v>59197300</v>
          </cell>
          <cell r="D17">
            <v>46083.390844907408</v>
          </cell>
          <cell r="E17" t="str">
            <v>Test et recette</v>
          </cell>
          <cell r="F17" t="str">
            <v>HUAWEI PROJET MINISTERE DE LA DEFENSE</v>
          </cell>
          <cell r="G17">
            <v>504033918</v>
          </cell>
          <cell r="H17" t="str">
            <v>ABIDJAN-PORT-BOUET//VOIE INCONNUE/PORTBOUET</v>
          </cell>
          <cell r="I17">
            <v>1814616</v>
          </cell>
          <cell r="J17" t="str">
            <v>LIAISON SPECIALISEE</v>
          </cell>
          <cell r="K17" t="str">
            <v>fo</v>
          </cell>
          <cell r="L17" t="str">
            <v>LS</v>
          </cell>
          <cell r="M17" t="str">
            <v>NOM</v>
          </cell>
          <cell r="N17" t="str">
            <v>Offert</v>
          </cell>
          <cell r="O17" t="str">
            <v>SYTHD260066</v>
          </cell>
          <cell r="P17" t="str">
            <v>-</v>
          </cell>
          <cell r="Q17">
            <v>1000000</v>
          </cell>
          <cell r="R17">
            <v>71</v>
          </cell>
          <cell r="S17" t="str">
            <v>Oui</v>
          </cell>
          <cell r="T17" t="str">
            <v>N/A</v>
          </cell>
          <cell r="U17">
            <v>0</v>
          </cell>
          <cell r="V17" t="str">
            <v>Projet</v>
          </cell>
        </row>
        <row r="18">
          <cell r="A18">
            <v>54968651</v>
          </cell>
          <cell r="B18">
            <v>46002.465752314813</v>
          </cell>
          <cell r="C18">
            <v>59859625</v>
          </cell>
          <cell r="D18">
            <v>46094.433229166665</v>
          </cell>
          <cell r="E18" t="str">
            <v>Transmission Plans Equipe Numerisation</v>
          </cell>
          <cell r="F18" t="str">
            <v>HUAWEI</v>
          </cell>
          <cell r="G18">
            <v>504033918</v>
          </cell>
          <cell r="H18" t="str">
            <v>YAMOUSSOUKRO</v>
          </cell>
          <cell r="I18" t="str">
            <v>-</v>
          </cell>
          <cell r="J18" t="str">
            <v>BUVPN</v>
          </cell>
          <cell r="K18" t="str">
            <v>fo</v>
          </cell>
          <cell r="L18" t="str">
            <v>LS</v>
          </cell>
          <cell r="M18" t="str">
            <v>Nominale</v>
          </cell>
          <cell r="N18" t="str">
            <v>Offert</v>
          </cell>
          <cell r="O18" t="str">
            <v>X</v>
          </cell>
          <cell r="P18" t="str">
            <v>-</v>
          </cell>
          <cell r="Q18">
            <v>1000000</v>
          </cell>
          <cell r="R18">
            <v>71</v>
          </cell>
          <cell r="S18" t="str">
            <v>Oui</v>
          </cell>
          <cell r="T18" t="str">
            <v>N/A</v>
          </cell>
          <cell r="U18">
            <v>0</v>
          </cell>
          <cell r="V18" t="str">
            <v>Projet</v>
          </cell>
        </row>
        <row r="19">
          <cell r="A19">
            <v>54970719</v>
          </cell>
          <cell r="B19">
            <v>46002.47859953704</v>
          </cell>
          <cell r="C19">
            <v>56201571</v>
          </cell>
          <cell r="D19">
            <v>46027.649004629631</v>
          </cell>
          <cell r="E19" t="str">
            <v>Test et recette</v>
          </cell>
          <cell r="F19" t="str">
            <v>HUAWEI PROJET MINISTERE DE LA DEFENSE</v>
          </cell>
          <cell r="G19">
            <v>504033918</v>
          </cell>
          <cell r="H19" t="str">
            <v>ABIDJAN-PORT-BOUET//VOIE INCONNUE/EXTREMITE NOMINAL A PORT BOUET</v>
          </cell>
          <cell r="I19">
            <v>2843545</v>
          </cell>
          <cell r="J19" t="str">
            <v>LIAISON SPECIALISEE</v>
          </cell>
          <cell r="K19" t="str">
            <v>ftto</v>
          </cell>
          <cell r="L19" t="str">
            <v>LS</v>
          </cell>
          <cell r="M19" t="str">
            <v>NOM</v>
          </cell>
          <cell r="N19" t="str">
            <v>Offert</v>
          </cell>
          <cell r="O19" t="str">
            <v>SYTHD250400</v>
          </cell>
          <cell r="P19" t="str">
            <v>-</v>
          </cell>
          <cell r="Q19">
            <v>1000000</v>
          </cell>
          <cell r="R19">
            <v>71</v>
          </cell>
          <cell r="S19" t="str">
            <v>Non</v>
          </cell>
          <cell r="T19" t="str">
            <v>N/A</v>
          </cell>
          <cell r="U19">
            <v>0</v>
          </cell>
          <cell r="V19" t="str">
            <v>Projet</v>
          </cell>
        </row>
        <row r="20">
          <cell r="A20">
            <v>54973689</v>
          </cell>
          <cell r="B20">
            <v>46002.496215277781</v>
          </cell>
          <cell r="C20">
            <v>59604063</v>
          </cell>
          <cell r="D20">
            <v>46090.434641203705</v>
          </cell>
          <cell r="E20" t="str">
            <v>Prestataire : Travaux</v>
          </cell>
          <cell r="F20" t="str">
            <v>NPW FRESH &amp;DRY CI</v>
          </cell>
          <cell r="G20">
            <v>789916125</v>
          </cell>
          <cell r="H20" t="str">
            <v>BONOUA AXE ABOISSO</v>
          </cell>
          <cell r="I20" t="str">
            <v>-</v>
          </cell>
          <cell r="J20" t="str">
            <v>SYTRAN</v>
          </cell>
          <cell r="K20" t="str">
            <v>fo</v>
          </cell>
          <cell r="L20" t="str">
            <v>LSI</v>
          </cell>
          <cell r="M20" t="str">
            <v>Nominale</v>
          </cell>
          <cell r="N20" t="str">
            <v>Offert</v>
          </cell>
          <cell r="O20" t="str">
            <v>XXXXXXXX</v>
          </cell>
          <cell r="P20" t="str">
            <v>-</v>
          </cell>
          <cell r="Q20">
            <v>0</v>
          </cell>
          <cell r="R20">
            <v>71</v>
          </cell>
          <cell r="S20" t="str">
            <v>Non</v>
          </cell>
          <cell r="T20" t="str">
            <v>OCI</v>
          </cell>
          <cell r="U20">
            <v>0</v>
          </cell>
          <cell r="V20" t="str">
            <v>Hors Projet</v>
          </cell>
        </row>
        <row r="21">
          <cell r="A21">
            <v>54992969</v>
          </cell>
          <cell r="B21">
            <v>46002.631724537037</v>
          </cell>
          <cell r="C21">
            <v>56675990</v>
          </cell>
          <cell r="D21">
            <v>46036.52447916667</v>
          </cell>
          <cell r="E21" t="str">
            <v>SIE : Mise en service GAIA</v>
          </cell>
          <cell r="F21" t="str">
            <v>NANO</v>
          </cell>
          <cell r="G21">
            <v>2723535999</v>
          </cell>
          <cell r="H21" t="str">
            <v>YOPOUGON ANDOKOI</v>
          </cell>
          <cell r="I21" t="str">
            <v>-</v>
          </cell>
          <cell r="J21" t="str">
            <v>T2</v>
          </cell>
          <cell r="K21" t="str">
            <v>ftto_virage</v>
          </cell>
          <cell r="L21" t="str">
            <v>numerique</v>
          </cell>
          <cell r="M21" t="str">
            <v>Nominale</v>
          </cell>
          <cell r="N21"/>
          <cell r="O21">
            <v>2723489320</v>
          </cell>
          <cell r="P21" t="str">
            <v>-</v>
          </cell>
          <cell r="Q21" t="str">
            <v>-</v>
          </cell>
          <cell r="R21">
            <v>71</v>
          </cell>
          <cell r="S21" t="str">
            <v>Non</v>
          </cell>
          <cell r="T21" t="str">
            <v>N/A</v>
          </cell>
          <cell r="U21">
            <v>0</v>
          </cell>
          <cell r="V21" t="str">
            <v>Hors Projet</v>
          </cell>
        </row>
        <row r="22">
          <cell r="A22">
            <v>55104019</v>
          </cell>
          <cell r="B22">
            <v>46004.469606481478</v>
          </cell>
          <cell r="C22">
            <v>56566265</v>
          </cell>
          <cell r="D22">
            <v>46034.582673611112</v>
          </cell>
          <cell r="E22" t="str">
            <v>Travaux Suspendu</v>
          </cell>
          <cell r="F22" t="str">
            <v>HUAWEI</v>
          </cell>
          <cell r="G22">
            <v>504033918</v>
          </cell>
          <cell r="H22" t="str">
            <v>SEGUELA</v>
          </cell>
          <cell r="I22" t="str">
            <v>-</v>
          </cell>
          <cell r="J22" t="str">
            <v>BUVPN</v>
          </cell>
          <cell r="K22" t="str">
            <v>fo</v>
          </cell>
          <cell r="L22" t="str">
            <v>LS</v>
          </cell>
          <cell r="M22" t="str">
            <v>Nominale</v>
          </cell>
          <cell r="N22" t="str">
            <v>Offert</v>
          </cell>
          <cell r="O22" t="str">
            <v>XXXXXXXXXXX</v>
          </cell>
          <cell r="P22" t="str">
            <v>-</v>
          </cell>
          <cell r="Q22">
            <v>4000000</v>
          </cell>
          <cell r="R22">
            <v>69</v>
          </cell>
          <cell r="S22" t="str">
            <v>Oui</v>
          </cell>
          <cell r="T22" t="str">
            <v>OCI</v>
          </cell>
          <cell r="U22" t="str">
            <v>DDPE</v>
          </cell>
          <cell r="V22" t="str">
            <v>Projet</v>
          </cell>
        </row>
        <row r="23">
          <cell r="A23">
            <v>55105103</v>
          </cell>
          <cell r="B23">
            <v>46004.481180555558</v>
          </cell>
          <cell r="C23">
            <v>56940307</v>
          </cell>
          <cell r="D23">
            <v>46041.803784722222</v>
          </cell>
          <cell r="E23" t="str">
            <v>Test et recette</v>
          </cell>
          <cell r="F23" t="str">
            <v>HUAWEI</v>
          </cell>
          <cell r="G23">
            <v>504033918</v>
          </cell>
          <cell r="H23" t="str">
            <v>KONG</v>
          </cell>
          <cell r="I23" t="str">
            <v>-</v>
          </cell>
          <cell r="J23" t="str">
            <v>BUVPN</v>
          </cell>
          <cell r="K23" t="str">
            <v>fo</v>
          </cell>
          <cell r="L23" t="str">
            <v>LS</v>
          </cell>
          <cell r="M23" t="str">
            <v>Nominale</v>
          </cell>
          <cell r="N23" t="str">
            <v>Offert</v>
          </cell>
          <cell r="O23" t="str">
            <v>XXXX</v>
          </cell>
          <cell r="P23" t="str">
            <v>-</v>
          </cell>
          <cell r="Q23">
            <v>1500000</v>
          </cell>
          <cell r="R23">
            <v>69</v>
          </cell>
          <cell r="S23" t="str">
            <v>Non</v>
          </cell>
          <cell r="T23" t="str">
            <v>OCI</v>
          </cell>
          <cell r="U23">
            <v>0</v>
          </cell>
          <cell r="V23" t="str">
            <v>Projet</v>
          </cell>
        </row>
        <row r="24">
          <cell r="A24">
            <v>55636282</v>
          </cell>
          <cell r="B24">
            <v>46014.435729166667</v>
          </cell>
          <cell r="C24">
            <v>57367586</v>
          </cell>
          <cell r="D24">
            <v>46049.856261574074</v>
          </cell>
          <cell r="E24" t="str">
            <v>Raccordement Suspendu</v>
          </cell>
          <cell r="F24" t="str">
            <v>CONSEIL REGIONAL DE LA MARAHOUE</v>
          </cell>
          <cell r="G24">
            <v>759003900</v>
          </cell>
          <cell r="H24" t="str">
            <v>BOUAFLE</v>
          </cell>
          <cell r="I24" t="str">
            <v>-</v>
          </cell>
          <cell r="J24" t="str">
            <v>SYTRAN</v>
          </cell>
          <cell r="K24" t="str">
            <v>fo</v>
          </cell>
          <cell r="L24" t="str">
            <v>LSI</v>
          </cell>
          <cell r="M24" t="str">
            <v>Nominale</v>
          </cell>
          <cell r="N24" t="str">
            <v>Offert</v>
          </cell>
          <cell r="O24" t="str">
            <v>X</v>
          </cell>
          <cell r="P24" t="str">
            <v>-</v>
          </cell>
          <cell r="Q24">
            <v>918681</v>
          </cell>
          <cell r="R24">
            <v>63</v>
          </cell>
          <cell r="S24" t="str">
            <v>Non</v>
          </cell>
          <cell r="T24" t="str">
            <v xml:space="preserve">CLIENT </v>
          </cell>
          <cell r="U24">
            <v>0</v>
          </cell>
          <cell r="V24" t="str">
            <v>Hors Projet</v>
          </cell>
        </row>
        <row r="25">
          <cell r="A25">
            <v>55686160</v>
          </cell>
          <cell r="B25">
            <v>46015.355868055558</v>
          </cell>
          <cell r="C25">
            <v>60164995</v>
          </cell>
          <cell r="D25">
            <v>46100.434282407405</v>
          </cell>
          <cell r="E25" t="str">
            <v>Responsable Zone: Coordination etude et travaux</v>
          </cell>
          <cell r="F25" t="str">
            <v>INSTITUT NATIONAL DE CARDIOLOGIE</v>
          </cell>
          <cell r="G25">
            <v>777765287</v>
          </cell>
          <cell r="H25" t="str">
            <v>BOUAKE</v>
          </cell>
          <cell r="I25" t="str">
            <v>-</v>
          </cell>
          <cell r="J25" t="str">
            <v>SYTRAN</v>
          </cell>
          <cell r="K25" t="str">
            <v>fo</v>
          </cell>
          <cell r="L25" t="str">
            <v>LSI</v>
          </cell>
          <cell r="M25" t="str">
            <v>Nominale</v>
          </cell>
          <cell r="N25" t="str">
            <v>Offert</v>
          </cell>
          <cell r="O25" t="str">
            <v>XXXX</v>
          </cell>
          <cell r="P25" t="str">
            <v>-</v>
          </cell>
          <cell r="Q25">
            <v>850887</v>
          </cell>
          <cell r="R25">
            <v>62</v>
          </cell>
          <cell r="S25" t="str">
            <v>Non</v>
          </cell>
          <cell r="T25" t="str">
            <v xml:space="preserve">CLIENT </v>
          </cell>
          <cell r="U25">
            <v>0</v>
          </cell>
          <cell r="V25" t="str">
            <v>Hors Projet</v>
          </cell>
        </row>
        <row r="26">
          <cell r="A26">
            <v>55694485</v>
          </cell>
          <cell r="B26">
            <v>46015.420092592591</v>
          </cell>
          <cell r="C26">
            <v>56752240</v>
          </cell>
          <cell r="D26">
            <v>46037.705520833333</v>
          </cell>
          <cell r="E26" t="str">
            <v>Travaux Suspendu</v>
          </cell>
          <cell r="F26" t="str">
            <v>DISTRICT AUTONOME DES LACS</v>
          </cell>
          <cell r="G26">
            <v>749338073</v>
          </cell>
          <cell r="H26" t="str">
            <v>DIMBOKRO</v>
          </cell>
          <cell r="I26" t="str">
            <v>-</v>
          </cell>
          <cell r="J26" t="str">
            <v>SYTRAN</v>
          </cell>
          <cell r="K26" t="str">
            <v>fo</v>
          </cell>
          <cell r="L26" t="str">
            <v>LSI</v>
          </cell>
          <cell r="M26" t="str">
            <v>Nominale</v>
          </cell>
          <cell r="N26" t="str">
            <v>Offert</v>
          </cell>
          <cell r="O26" t="str">
            <v>X</v>
          </cell>
          <cell r="P26" t="str">
            <v>-</v>
          </cell>
          <cell r="Q26">
            <v>638462</v>
          </cell>
          <cell r="R26">
            <v>62</v>
          </cell>
          <cell r="S26" t="str">
            <v>Non</v>
          </cell>
          <cell r="T26" t="str">
            <v xml:space="preserve">CLIENT </v>
          </cell>
          <cell r="U26">
            <v>0</v>
          </cell>
          <cell r="V26" t="str">
            <v>Hors Projet</v>
          </cell>
        </row>
        <row r="27">
          <cell r="A27">
            <v>56181778</v>
          </cell>
          <cell r="B27">
            <v>46027.499212962961</v>
          </cell>
          <cell r="C27">
            <v>59210339</v>
          </cell>
          <cell r="D27">
            <v>46083.492881944447</v>
          </cell>
          <cell r="E27" t="str">
            <v>Raccordement Suspendu</v>
          </cell>
          <cell r="F27" t="str">
            <v>HOTEL LA GRACE KREGBE</v>
          </cell>
          <cell r="G27">
            <v>585990976</v>
          </cell>
          <cell r="H27" t="str">
            <v>KREGBE//VOIE INCONNUE/DAOUKRO KREGBE</v>
          </cell>
          <cell r="I27">
            <v>1765416</v>
          </cell>
          <cell r="J27" t="str">
            <v>LIAISON SPECIALISEE</v>
          </cell>
          <cell r="K27" t="str">
            <v>fo</v>
          </cell>
          <cell r="L27" t="str">
            <v>LSI</v>
          </cell>
          <cell r="M27" t="str">
            <v>Nominale</v>
          </cell>
          <cell r="N27" t="str">
            <v>Offert</v>
          </cell>
          <cell r="O27" t="str">
            <v>SYTHD260009</v>
          </cell>
          <cell r="P27" t="str">
            <v>-</v>
          </cell>
          <cell r="Q27">
            <v>3000000</v>
          </cell>
          <cell r="R27">
            <v>54</v>
          </cell>
          <cell r="S27" t="str">
            <v>Non</v>
          </cell>
          <cell r="T27" t="str">
            <v>OCI</v>
          </cell>
          <cell r="U27" t="str">
            <v>Congection dans la zone</v>
          </cell>
          <cell r="V27" t="str">
            <v>Hors Projet</v>
          </cell>
        </row>
        <row r="28">
          <cell r="A28">
            <v>56601140</v>
          </cell>
          <cell r="B28">
            <v>46035.385555555556</v>
          </cell>
          <cell r="C28">
            <v>59442988</v>
          </cell>
          <cell r="D28">
            <v>46086.814479166664</v>
          </cell>
          <cell r="E28" t="str">
            <v>Prestataire : Correction Conformite Travaux</v>
          </cell>
          <cell r="F28" t="str">
            <v>DGTCP</v>
          </cell>
          <cell r="G28">
            <v>707003126</v>
          </cell>
          <cell r="H28" t="str">
            <v>ODIENNE//VOIE INCONNUE/GBELEBAN</v>
          </cell>
          <cell r="I28">
            <v>1778026</v>
          </cell>
          <cell r="J28" t="str">
            <v>IP Connect LL</v>
          </cell>
          <cell r="K28" t="str">
            <v>fo</v>
          </cell>
          <cell r="L28" t="str">
            <v>LS</v>
          </cell>
          <cell r="M28" t="str">
            <v>NOM</v>
          </cell>
          <cell r="N28" t="str">
            <v>Offert</v>
          </cell>
          <cell r="O28" t="str">
            <v>BUVPN260049</v>
          </cell>
          <cell r="P28" t="str">
            <v>-</v>
          </cell>
          <cell r="Q28">
            <v>7103410</v>
          </cell>
          <cell r="R28">
            <v>48</v>
          </cell>
          <cell r="S28" t="str">
            <v>Non</v>
          </cell>
          <cell r="T28" t="str">
            <v>OCI</v>
          </cell>
          <cell r="U28">
            <v>0</v>
          </cell>
          <cell r="V28" t="str">
            <v>Hors Projet</v>
          </cell>
        </row>
        <row r="29">
          <cell r="A29">
            <v>56601982</v>
          </cell>
          <cell r="B29">
            <v>46035.393611111111</v>
          </cell>
          <cell r="C29">
            <v>59241374</v>
          </cell>
          <cell r="D29">
            <v>46083.713761574072</v>
          </cell>
          <cell r="E29" t="str">
            <v>Prestataire : Travaux</v>
          </cell>
          <cell r="F29" t="str">
            <v>DGTCP</v>
          </cell>
          <cell r="G29">
            <v>707003126</v>
          </cell>
          <cell r="H29" t="str">
            <v>GOULIA</v>
          </cell>
          <cell r="I29" t="str">
            <v>-</v>
          </cell>
          <cell r="J29" t="str">
            <v>BUVPN</v>
          </cell>
          <cell r="K29" t="str">
            <v>fo</v>
          </cell>
          <cell r="L29" t="str">
            <v>LS</v>
          </cell>
          <cell r="M29" t="str">
            <v>Nominale</v>
          </cell>
          <cell r="N29" t="str">
            <v>Offert</v>
          </cell>
          <cell r="O29" t="str">
            <v>xxxx</v>
          </cell>
          <cell r="P29" t="str">
            <v>-</v>
          </cell>
          <cell r="Q29">
            <v>7103410</v>
          </cell>
          <cell r="R29">
            <v>48</v>
          </cell>
          <cell r="S29" t="str">
            <v>Non</v>
          </cell>
          <cell r="T29" t="str">
            <v xml:space="preserve">CLIENT </v>
          </cell>
          <cell r="U29">
            <v>0</v>
          </cell>
          <cell r="V29" t="str">
            <v>Hors Projet</v>
          </cell>
        </row>
        <row r="30">
          <cell r="A30">
            <v>56603158</v>
          </cell>
          <cell r="B30">
            <v>46035.405011574076</v>
          </cell>
          <cell r="C30">
            <v>60050701</v>
          </cell>
          <cell r="D30">
            <v>46098.551874999997</v>
          </cell>
          <cell r="E30" t="str">
            <v>Realisation Ctrl Conformite</v>
          </cell>
          <cell r="F30" t="str">
            <v>QUIPUX AFRIQUE</v>
          </cell>
          <cell r="G30">
            <v>504041812</v>
          </cell>
          <cell r="H30" t="str">
            <v>BOUNA</v>
          </cell>
          <cell r="I30" t="str">
            <v>-</v>
          </cell>
          <cell r="J30" t="str">
            <v>SYTRAN</v>
          </cell>
          <cell r="K30" t="str">
            <v>fo</v>
          </cell>
          <cell r="L30" t="str">
            <v>LSI</v>
          </cell>
          <cell r="M30" t="str">
            <v>Nominale</v>
          </cell>
          <cell r="N30" t="str">
            <v>Encours</v>
          </cell>
          <cell r="O30" t="str">
            <v>XXX</v>
          </cell>
          <cell r="P30" t="str">
            <v>-</v>
          </cell>
          <cell r="Q30">
            <v>2000000</v>
          </cell>
          <cell r="R30">
            <v>48</v>
          </cell>
          <cell r="S30" t="str">
            <v>Oui</v>
          </cell>
          <cell r="T30" t="str">
            <v>N/A</v>
          </cell>
          <cell r="U30">
            <v>0</v>
          </cell>
          <cell r="V30" t="str">
            <v>Projet</v>
          </cell>
        </row>
        <row r="31">
          <cell r="A31">
            <v>56603495</v>
          </cell>
          <cell r="B31">
            <v>46035.408518518518</v>
          </cell>
          <cell r="C31">
            <v>59831107</v>
          </cell>
          <cell r="D31">
            <v>46093.691342592596</v>
          </cell>
          <cell r="E31" t="str">
            <v>Travaux Suspendu</v>
          </cell>
          <cell r="F31" t="str">
            <v>DGTCP</v>
          </cell>
          <cell r="G31">
            <v>707003126</v>
          </cell>
          <cell r="H31" t="str">
            <v>SAMAGO</v>
          </cell>
          <cell r="I31" t="str">
            <v>-</v>
          </cell>
          <cell r="J31" t="str">
            <v>BUVPN</v>
          </cell>
          <cell r="K31" t="str">
            <v>fo</v>
          </cell>
          <cell r="L31" t="str">
            <v>LS</v>
          </cell>
          <cell r="M31" t="str">
            <v>Nominale</v>
          </cell>
          <cell r="N31" t="str">
            <v>Offert</v>
          </cell>
          <cell r="O31" t="str">
            <v>xxxx</v>
          </cell>
          <cell r="P31" t="str">
            <v>-</v>
          </cell>
          <cell r="Q31">
            <v>7103410</v>
          </cell>
          <cell r="R31">
            <v>48</v>
          </cell>
          <cell r="S31" t="str">
            <v>Non</v>
          </cell>
          <cell r="T31" t="str">
            <v>OCI</v>
          </cell>
          <cell r="U31">
            <v>0</v>
          </cell>
          <cell r="V31" t="str">
            <v>Projet</v>
          </cell>
        </row>
        <row r="32">
          <cell r="A32">
            <v>56606469</v>
          </cell>
          <cell r="B32">
            <v>46035.43072916667</v>
          </cell>
          <cell r="C32">
            <v>60100048</v>
          </cell>
          <cell r="D32">
            <v>46099.427060185182</v>
          </cell>
          <cell r="E32" t="str">
            <v>Saisie ASCOM</v>
          </cell>
          <cell r="F32" t="str">
            <v>QUIPUX AFRIQUE</v>
          </cell>
          <cell r="G32">
            <v>504041812</v>
          </cell>
          <cell r="H32" t="str">
            <v>COCODY</v>
          </cell>
          <cell r="I32" t="str">
            <v>-</v>
          </cell>
          <cell r="J32" t="str">
            <v>BUVPN</v>
          </cell>
          <cell r="K32" t="str">
            <v>fo</v>
          </cell>
          <cell r="L32" t="str">
            <v>LS</v>
          </cell>
          <cell r="M32" t="str">
            <v>Nominale</v>
          </cell>
          <cell r="N32" t="str">
            <v>Offert</v>
          </cell>
          <cell r="O32" t="str">
            <v>XXXXXXX</v>
          </cell>
          <cell r="P32" t="str">
            <v>-</v>
          </cell>
          <cell r="Q32">
            <v>1000000</v>
          </cell>
          <cell r="R32">
            <v>48</v>
          </cell>
          <cell r="S32" t="str">
            <v>Non</v>
          </cell>
          <cell r="T32" t="str">
            <v xml:space="preserve">CLIENT </v>
          </cell>
          <cell r="U32">
            <v>0</v>
          </cell>
          <cell r="V32" t="str">
            <v>Projet</v>
          </cell>
        </row>
        <row r="33">
          <cell r="A33">
            <v>56607988</v>
          </cell>
          <cell r="B33">
            <v>46035.443668981483</v>
          </cell>
          <cell r="C33">
            <v>58404447</v>
          </cell>
          <cell r="D33">
            <v>46069.522615740738</v>
          </cell>
          <cell r="E33" t="str">
            <v>Raccordement Suspendu</v>
          </cell>
          <cell r="F33" t="str">
            <v>QUIPUX AFRIQUE</v>
          </cell>
          <cell r="G33">
            <v>504041812</v>
          </cell>
          <cell r="H33" t="str">
            <v>TOUMODI</v>
          </cell>
          <cell r="I33" t="str">
            <v>-</v>
          </cell>
          <cell r="J33" t="str">
            <v>BUVPN</v>
          </cell>
          <cell r="K33" t="str">
            <v>fo</v>
          </cell>
          <cell r="L33" t="str">
            <v>LS</v>
          </cell>
          <cell r="M33" t="str">
            <v>Nominale</v>
          </cell>
          <cell r="N33" t="str">
            <v>Offert</v>
          </cell>
          <cell r="O33" t="str">
            <v>X</v>
          </cell>
          <cell r="P33" t="str">
            <v>-</v>
          </cell>
          <cell r="Q33">
            <v>2000000</v>
          </cell>
          <cell r="R33">
            <v>48</v>
          </cell>
          <cell r="S33" t="str">
            <v>Non</v>
          </cell>
          <cell r="T33" t="str">
            <v>OCI</v>
          </cell>
          <cell r="U33">
            <v>0</v>
          </cell>
          <cell r="V33" t="str">
            <v>Projet</v>
          </cell>
        </row>
        <row r="34">
          <cell r="A34">
            <v>56609018</v>
          </cell>
          <cell r="B34">
            <v>46035.452465277776</v>
          </cell>
          <cell r="C34">
            <v>60165633</v>
          </cell>
          <cell r="D34">
            <v>46100.43891203704</v>
          </cell>
          <cell r="E34" t="str">
            <v>Travaux Suspendu</v>
          </cell>
          <cell r="F34" t="str">
            <v>QUIPUX AFRIQUE</v>
          </cell>
          <cell r="G34">
            <v>504041812</v>
          </cell>
          <cell r="H34" t="str">
            <v>BONGOUANOU</v>
          </cell>
          <cell r="I34" t="str">
            <v>-</v>
          </cell>
          <cell r="J34" t="str">
            <v>BUVPN</v>
          </cell>
          <cell r="K34" t="str">
            <v>fo</v>
          </cell>
          <cell r="L34" t="str">
            <v>LS</v>
          </cell>
          <cell r="M34" t="str">
            <v>Nominale</v>
          </cell>
          <cell r="N34" t="str">
            <v>Offert</v>
          </cell>
          <cell r="O34" t="str">
            <v>XXX</v>
          </cell>
          <cell r="P34" t="str">
            <v>-</v>
          </cell>
          <cell r="Q34">
            <v>2000000</v>
          </cell>
          <cell r="R34">
            <v>48</v>
          </cell>
          <cell r="S34" t="str">
            <v>Non</v>
          </cell>
          <cell r="T34" t="str">
            <v>OCI</v>
          </cell>
          <cell r="U34">
            <v>0</v>
          </cell>
          <cell r="V34" t="str">
            <v>Projet</v>
          </cell>
        </row>
        <row r="35">
          <cell r="A35">
            <v>56611212</v>
          </cell>
          <cell r="B35">
            <v>46035.471886574072</v>
          </cell>
          <cell r="C35">
            <v>57137676</v>
          </cell>
          <cell r="D35">
            <v>46045.45140046296</v>
          </cell>
          <cell r="E35" t="str">
            <v>Raccordement Suspendu</v>
          </cell>
          <cell r="F35" t="str">
            <v>QUIPUX</v>
          </cell>
          <cell r="G35">
            <v>504041812</v>
          </cell>
          <cell r="H35" t="str">
            <v>MANKONO</v>
          </cell>
          <cell r="I35" t="str">
            <v>-</v>
          </cell>
          <cell r="J35" t="str">
            <v>BUVPN</v>
          </cell>
          <cell r="K35" t="str">
            <v>fo</v>
          </cell>
          <cell r="L35" t="str">
            <v>LS</v>
          </cell>
          <cell r="M35" t="str">
            <v>Nominale</v>
          </cell>
          <cell r="N35" t="str">
            <v>Offert</v>
          </cell>
          <cell r="O35" t="str">
            <v>ND : BUVPN260014</v>
          </cell>
          <cell r="P35" t="str">
            <v>-</v>
          </cell>
          <cell r="Q35">
            <v>2000000</v>
          </cell>
          <cell r="R35">
            <v>48</v>
          </cell>
          <cell r="S35" t="str">
            <v>Non</v>
          </cell>
          <cell r="T35" t="str">
            <v>OCI</v>
          </cell>
          <cell r="U35">
            <v>0</v>
          </cell>
          <cell r="V35" t="str">
            <v>Projet</v>
          </cell>
        </row>
        <row r="36">
          <cell r="A36">
            <v>56612479</v>
          </cell>
          <cell r="B36">
            <v>46035.481446759259</v>
          </cell>
          <cell r="C36">
            <v>60101226</v>
          </cell>
          <cell r="D36">
            <v>46099.43613425926</v>
          </cell>
          <cell r="E36" t="str">
            <v>Raccordement Suspendu</v>
          </cell>
          <cell r="F36" t="str">
            <v>QUIPUX</v>
          </cell>
          <cell r="G36">
            <v>504041812</v>
          </cell>
          <cell r="H36" t="str">
            <v>AGBOVILLE</v>
          </cell>
          <cell r="I36" t="str">
            <v>-</v>
          </cell>
          <cell r="J36" t="str">
            <v>BUVPN</v>
          </cell>
          <cell r="K36" t="str">
            <v>fo</v>
          </cell>
          <cell r="L36" t="str">
            <v>LS</v>
          </cell>
          <cell r="M36" t="str">
            <v>Nominale</v>
          </cell>
          <cell r="N36" t="str">
            <v>Offert</v>
          </cell>
          <cell r="O36" t="str">
            <v>BUVPN260022</v>
          </cell>
          <cell r="P36" t="str">
            <v>-</v>
          </cell>
          <cell r="Q36">
            <v>2000000</v>
          </cell>
          <cell r="R36">
            <v>48</v>
          </cell>
          <cell r="S36" t="str">
            <v>Non</v>
          </cell>
          <cell r="T36" t="str">
            <v>OCI</v>
          </cell>
          <cell r="U36">
            <v>0</v>
          </cell>
          <cell r="V36" t="str">
            <v>Projet</v>
          </cell>
        </row>
        <row r="37">
          <cell r="A37">
            <v>56613961</v>
          </cell>
          <cell r="B37">
            <v>46035.492175925923</v>
          </cell>
          <cell r="C37">
            <v>59754685</v>
          </cell>
          <cell r="D37">
            <v>46092.626307870371</v>
          </cell>
          <cell r="E37" t="str">
            <v>Raccordement Suspendu</v>
          </cell>
          <cell r="F37" t="str">
            <v>QUIPUX</v>
          </cell>
          <cell r="G37">
            <v>504041812</v>
          </cell>
          <cell r="H37" t="str">
            <v>KATIOLA</v>
          </cell>
          <cell r="I37" t="str">
            <v>-</v>
          </cell>
          <cell r="J37" t="str">
            <v>BUVPN</v>
          </cell>
          <cell r="K37" t="str">
            <v>fo</v>
          </cell>
          <cell r="L37" t="str">
            <v>LS</v>
          </cell>
          <cell r="M37" t="str">
            <v>Nominale</v>
          </cell>
          <cell r="N37" t="str">
            <v>Offert</v>
          </cell>
          <cell r="O37" t="str">
            <v>BUVPN260013</v>
          </cell>
          <cell r="P37" t="str">
            <v>-</v>
          </cell>
          <cell r="Q37">
            <v>2000000</v>
          </cell>
          <cell r="R37">
            <v>48</v>
          </cell>
          <cell r="S37" t="str">
            <v>Non</v>
          </cell>
          <cell r="T37" t="str">
            <v>OCI</v>
          </cell>
          <cell r="U37">
            <v>0</v>
          </cell>
          <cell r="V37" t="str">
            <v>Projet</v>
          </cell>
        </row>
        <row r="38">
          <cell r="A38">
            <v>56618123</v>
          </cell>
          <cell r="B38">
            <v>46035.520821759259</v>
          </cell>
          <cell r="C38">
            <v>59311833</v>
          </cell>
          <cell r="D38">
            <v>46084.811782407407</v>
          </cell>
          <cell r="E38" t="str">
            <v>Raccordement Suspendu</v>
          </cell>
          <cell r="F38" t="str">
            <v>QUIPUX AFRIQUE (TOUBA )</v>
          </cell>
          <cell r="G38">
            <v>504041812</v>
          </cell>
          <cell r="H38" t="str">
            <v>TOUBA//VOIE INCONNUE/M. LOHI FEH IBRAHIM 0504041812</v>
          </cell>
          <cell r="I38">
            <v>1775236</v>
          </cell>
          <cell r="J38" t="str">
            <v>IP Connect LL</v>
          </cell>
          <cell r="K38" t="str">
            <v>fo</v>
          </cell>
          <cell r="L38" t="str">
            <v>LS</v>
          </cell>
          <cell r="M38" t="str">
            <v>Nominale</v>
          </cell>
          <cell r="N38" t="str">
            <v>Offert</v>
          </cell>
          <cell r="O38" t="str">
            <v>BUVPN260034</v>
          </cell>
          <cell r="P38" t="str">
            <v>-</v>
          </cell>
          <cell r="Q38">
            <v>2000000</v>
          </cell>
          <cell r="R38">
            <v>48</v>
          </cell>
          <cell r="S38" t="str">
            <v>Non</v>
          </cell>
          <cell r="T38" t="str">
            <v>OCI</v>
          </cell>
          <cell r="U38">
            <v>0</v>
          </cell>
          <cell r="V38" t="str">
            <v>Projet</v>
          </cell>
        </row>
        <row r="39">
          <cell r="A39">
            <v>56675050</v>
          </cell>
          <cell r="B39">
            <v>46036.516423611109</v>
          </cell>
          <cell r="C39">
            <v>58216664</v>
          </cell>
          <cell r="D39">
            <v>46065.536226851851</v>
          </cell>
          <cell r="E39" t="str">
            <v>Travaux Suspendu</v>
          </cell>
          <cell r="F39" t="str">
            <v>MOTA ENGIL COTE D'IVOIRE MINING</v>
          </cell>
          <cell r="G39">
            <v>748512613</v>
          </cell>
          <cell r="H39" t="str">
            <v>DABAKALA</v>
          </cell>
          <cell r="I39" t="str">
            <v>-</v>
          </cell>
          <cell r="J39" t="str">
            <v>SYTRAN</v>
          </cell>
          <cell r="K39" t="str">
            <v>fo</v>
          </cell>
          <cell r="L39" t="str">
            <v>LSI</v>
          </cell>
          <cell r="M39" t="str">
            <v>Nominale</v>
          </cell>
          <cell r="N39" t="str">
            <v>Offert</v>
          </cell>
          <cell r="O39" t="str">
            <v>xxxx</v>
          </cell>
          <cell r="P39" t="str">
            <v>-</v>
          </cell>
          <cell r="Q39">
            <v>4362401</v>
          </cell>
          <cell r="R39">
            <v>47</v>
          </cell>
          <cell r="S39" t="str">
            <v>Non</v>
          </cell>
          <cell r="T39" t="str">
            <v xml:space="preserve">CLIENT </v>
          </cell>
          <cell r="U39">
            <v>0</v>
          </cell>
          <cell r="V39">
            <v>0</v>
          </cell>
        </row>
        <row r="40">
          <cell r="A40">
            <v>56800015</v>
          </cell>
          <cell r="B40">
            <v>46038.638506944444</v>
          </cell>
          <cell r="C40">
            <v>60111881</v>
          </cell>
          <cell r="D40">
            <v>46099.513437499998</v>
          </cell>
          <cell r="E40" t="str">
            <v>Cordonnateur Prestatataire: Affectation Technicien</v>
          </cell>
          <cell r="F40" t="str">
            <v>DEMANDE INTERNE PERMANENT : SITE ODA RIVIERA GOLF 4</v>
          </cell>
          <cell r="G40">
            <v>777748203</v>
          </cell>
          <cell r="H40" t="str">
            <v>ABIDJAN-COCODY RIVIERA GOLF SITE ODA</v>
          </cell>
          <cell r="I40" t="str">
            <v>-</v>
          </cell>
          <cell r="J40" t="str">
            <v>BUVPN</v>
          </cell>
          <cell r="K40" t="str">
            <v>ftto</v>
          </cell>
          <cell r="L40" t="str">
            <v>LS</v>
          </cell>
          <cell r="M40" t="str">
            <v>Nominale</v>
          </cell>
          <cell r="N40" t="str">
            <v>Encours</v>
          </cell>
          <cell r="O40" t="str">
            <v>BUVPN260058</v>
          </cell>
          <cell r="P40" t="str">
            <v>-</v>
          </cell>
          <cell r="Q40">
            <v>293000</v>
          </cell>
          <cell r="R40">
            <v>45</v>
          </cell>
          <cell r="S40" t="str">
            <v>Oui</v>
          </cell>
          <cell r="T40" t="str">
            <v>OCI</v>
          </cell>
          <cell r="U40">
            <v>0</v>
          </cell>
          <cell r="V40">
            <v>0</v>
          </cell>
        </row>
        <row r="41">
          <cell r="A41">
            <v>56970346</v>
          </cell>
          <cell r="B41">
            <v>46042.557280092595</v>
          </cell>
          <cell r="C41">
            <v>59242054</v>
          </cell>
          <cell r="D41">
            <v>46083.719525462962</v>
          </cell>
          <cell r="E41" t="str">
            <v>Travaux Suspendu</v>
          </cell>
          <cell r="F41" t="str">
            <v>STE INTERNATIONALE D'ASSURANCE MULTIRISQUES</v>
          </cell>
          <cell r="G41">
            <v>708667658</v>
          </cell>
          <cell r="H41" t="str">
            <v>ABIDJAN-PLATEAU AVENUE HOUDAI</v>
          </cell>
          <cell r="I41" t="str">
            <v>-</v>
          </cell>
          <cell r="J41" t="str">
            <v>SYTRAN</v>
          </cell>
          <cell r="K41" t="str">
            <v>fo</v>
          </cell>
          <cell r="L41" t="str">
            <v>LSI</v>
          </cell>
          <cell r="M41" t="str">
            <v>Nominale</v>
          </cell>
          <cell r="N41" t="str">
            <v>Offert</v>
          </cell>
          <cell r="O41" t="str">
            <v>XXXXXXX</v>
          </cell>
          <cell r="P41" t="str">
            <v>-</v>
          </cell>
          <cell r="Q41">
            <v>2871414</v>
          </cell>
          <cell r="R41">
            <v>43</v>
          </cell>
          <cell r="S41" t="str">
            <v>Oui</v>
          </cell>
          <cell r="T41" t="str">
            <v>OCI</v>
          </cell>
          <cell r="U41" t="str">
            <v>MAIRIE DU PLATEAU + AGEROUTE</v>
          </cell>
          <cell r="V41">
            <v>0</v>
          </cell>
        </row>
        <row r="42">
          <cell r="A42">
            <v>57398181</v>
          </cell>
          <cell r="B42">
            <v>46050.584374999999</v>
          </cell>
          <cell r="C42">
            <v>59095417</v>
          </cell>
          <cell r="D42">
            <v>46080.738333333335</v>
          </cell>
          <cell r="E42" t="str">
            <v>Prestataire : Travaux</v>
          </cell>
          <cell r="F42" t="str">
            <v>EMPIRE CIMENT CI</v>
          </cell>
          <cell r="G42">
            <v>720631500</v>
          </cell>
          <cell r="H42" t="str">
            <v>M'BRAGO</v>
          </cell>
          <cell r="I42" t="str">
            <v>-</v>
          </cell>
          <cell r="J42" t="str">
            <v>SYTRAN</v>
          </cell>
          <cell r="K42" t="str">
            <v>fo</v>
          </cell>
          <cell r="L42" t="str">
            <v>LSI</v>
          </cell>
          <cell r="M42" t="str">
            <v>Nominale</v>
          </cell>
          <cell r="N42" t="str">
            <v>Offert</v>
          </cell>
          <cell r="O42" t="str">
            <v>XXXXXXXXX</v>
          </cell>
          <cell r="P42" t="str">
            <v>-</v>
          </cell>
          <cell r="Q42">
            <v>4406780</v>
          </cell>
          <cell r="R42">
            <v>37</v>
          </cell>
          <cell r="S42" t="str">
            <v>Non</v>
          </cell>
          <cell r="T42" t="str">
            <v>OCI</v>
          </cell>
          <cell r="U42">
            <v>0</v>
          </cell>
          <cell r="V42">
            <v>0</v>
          </cell>
        </row>
        <row r="43">
          <cell r="A43">
            <v>57651441</v>
          </cell>
          <cell r="B43">
            <v>46055.58011574074</v>
          </cell>
          <cell r="C43">
            <v>58955875</v>
          </cell>
          <cell r="D43">
            <v>46078.639594907407</v>
          </cell>
          <cell r="E43" t="str">
            <v>Raccordement Suspendu</v>
          </cell>
          <cell r="F43" t="str">
            <v>NSIA BANQUE</v>
          </cell>
          <cell r="G43">
            <v>707079088</v>
          </cell>
          <cell r="H43" t="str">
            <v>BONDOUKOU</v>
          </cell>
          <cell r="I43" t="str">
            <v>-</v>
          </cell>
          <cell r="J43" t="str">
            <v>BUVPN</v>
          </cell>
          <cell r="K43" t="str">
            <v>fo</v>
          </cell>
          <cell r="L43" t="str">
            <v>LS</v>
          </cell>
          <cell r="M43" t="str">
            <v>Nominale</v>
          </cell>
          <cell r="N43" t="str">
            <v>Offert</v>
          </cell>
          <cell r="O43" t="str">
            <v>XXXXXXX</v>
          </cell>
          <cell r="P43" t="str">
            <v>-</v>
          </cell>
          <cell r="Q43" t="str">
            <v>1.635.147</v>
          </cell>
          <cell r="R43">
            <v>34</v>
          </cell>
          <cell r="S43" t="str">
            <v>Non</v>
          </cell>
          <cell r="T43" t="str">
            <v>OCI</v>
          </cell>
          <cell r="U43">
            <v>0</v>
          </cell>
          <cell r="V43">
            <v>0</v>
          </cell>
        </row>
        <row r="44">
          <cell r="A44">
            <v>57672103</v>
          </cell>
          <cell r="B44">
            <v>46055.712083333332</v>
          </cell>
          <cell r="C44">
            <v>58477217</v>
          </cell>
          <cell r="D44">
            <v>46070.620787037034</v>
          </cell>
          <cell r="E44" t="str">
            <v>Raccordement Suspendu</v>
          </cell>
          <cell r="F44" t="str">
            <v>STE NSIA BANQUE / TREICHVILLE</v>
          </cell>
          <cell r="G44">
            <v>707079088</v>
          </cell>
          <cell r="H44" t="str">
            <v>ABIDJAN-TREICHVILLE NOTRE DAME D'AFRIQUE</v>
          </cell>
          <cell r="I44" t="str">
            <v>-</v>
          </cell>
          <cell r="J44" t="str">
            <v>BUVPN</v>
          </cell>
          <cell r="K44" t="str">
            <v>fo</v>
          </cell>
          <cell r="L44" t="str">
            <v>LS</v>
          </cell>
          <cell r="M44" t="str">
            <v>Nominale</v>
          </cell>
          <cell r="N44" t="str">
            <v>Offert</v>
          </cell>
          <cell r="O44" t="str">
            <v>XXXXXX</v>
          </cell>
          <cell r="P44" t="str">
            <v>-</v>
          </cell>
          <cell r="Q44">
            <v>1426700</v>
          </cell>
          <cell r="R44">
            <v>34</v>
          </cell>
          <cell r="S44" t="str">
            <v>Non</v>
          </cell>
          <cell r="T44" t="str">
            <v>OCI</v>
          </cell>
          <cell r="U44">
            <v>0</v>
          </cell>
          <cell r="V44">
            <v>0</v>
          </cell>
        </row>
        <row r="45">
          <cell r="A45">
            <v>57692887</v>
          </cell>
          <cell r="B45">
            <v>46056.394780092596</v>
          </cell>
          <cell r="C45">
            <v>60047590</v>
          </cell>
          <cell r="D45">
            <v>46098.526886574073</v>
          </cell>
          <cell r="E45" t="str">
            <v>Test et recette</v>
          </cell>
          <cell r="F45" t="str">
            <v>SONATEL</v>
          </cell>
          <cell r="G45">
            <v>707109668</v>
          </cell>
          <cell r="H45" t="str">
            <v>ABIDJAN-PLATEAU//VOIE INCONNUE/EXT A : POP DJOLIBA REPUBLIQUE</v>
          </cell>
          <cell r="I45">
            <v>1798816</v>
          </cell>
          <cell r="J45" t="str">
            <v>LIAISON SPECIALISEE</v>
          </cell>
          <cell r="K45" t="str">
            <v>fo</v>
          </cell>
          <cell r="L45" t="str">
            <v>LS</v>
          </cell>
          <cell r="M45" t="str">
            <v>Backup</v>
          </cell>
          <cell r="N45" t="str">
            <v>Offert</v>
          </cell>
          <cell r="O45" t="str">
            <v>SYTHD260072</v>
          </cell>
          <cell r="P45" t="str">
            <v>-</v>
          </cell>
          <cell r="Q45" t="str">
            <v>-</v>
          </cell>
          <cell r="R45">
            <v>33</v>
          </cell>
          <cell r="S45" t="str">
            <v>Non</v>
          </cell>
          <cell r="T45" t="str">
            <v xml:space="preserve">CLIENT </v>
          </cell>
          <cell r="U45">
            <v>0</v>
          </cell>
          <cell r="V45">
            <v>0</v>
          </cell>
        </row>
        <row r="46">
          <cell r="A46">
            <v>57706849</v>
          </cell>
          <cell r="B46">
            <v>46056.499166666668</v>
          </cell>
          <cell r="C46">
            <v>59767932</v>
          </cell>
          <cell r="D46">
            <v>46092.721273148149</v>
          </cell>
          <cell r="E46" t="str">
            <v>Travaux Suspendu</v>
          </cell>
          <cell r="F46" t="str">
            <v>STE MUGEFCI</v>
          </cell>
          <cell r="G46">
            <v>708086472</v>
          </cell>
          <cell r="H46" t="str">
            <v>PLATEAU</v>
          </cell>
          <cell r="I46" t="str">
            <v>-</v>
          </cell>
          <cell r="J46" t="str">
            <v>SYTRAN</v>
          </cell>
          <cell r="K46" t="str">
            <v>fo</v>
          </cell>
          <cell r="L46" t="str">
            <v>LSI</v>
          </cell>
          <cell r="M46" t="str">
            <v>Backup</v>
          </cell>
          <cell r="N46" t="str">
            <v>Offert</v>
          </cell>
          <cell r="O46" t="str">
            <v>XXXXXX</v>
          </cell>
          <cell r="P46" t="str">
            <v>-</v>
          </cell>
          <cell r="Q46">
            <v>0</v>
          </cell>
          <cell r="R46">
            <v>33</v>
          </cell>
          <cell r="S46" t="str">
            <v>Oui</v>
          </cell>
          <cell r="T46" t="str">
            <v>OCI</v>
          </cell>
          <cell r="U46">
            <v>0</v>
          </cell>
          <cell r="V46">
            <v>0</v>
          </cell>
        </row>
        <row r="47">
          <cell r="A47">
            <v>57771694</v>
          </cell>
          <cell r="B47">
            <v>46057.509652777779</v>
          </cell>
          <cell r="C47">
            <v>60040239</v>
          </cell>
          <cell r="D47">
            <v>46098.47724537037</v>
          </cell>
          <cell r="E47" t="str">
            <v>Transmission Plans Equipe Numerisation</v>
          </cell>
          <cell r="F47" t="str">
            <v>BASE AERIENN D’ABIDJAN</v>
          </cell>
          <cell r="G47">
            <v>758333146</v>
          </cell>
          <cell r="H47" t="str">
            <v>ABIDJAN AEROPORT</v>
          </cell>
          <cell r="I47" t="str">
            <v>-</v>
          </cell>
          <cell r="J47" t="str">
            <v>SYTRAN</v>
          </cell>
          <cell r="K47" t="str">
            <v>fo</v>
          </cell>
          <cell r="L47" t="str">
            <v>LSI</v>
          </cell>
          <cell r="M47" t="str">
            <v>Nominale</v>
          </cell>
          <cell r="N47" t="str">
            <v>Offert</v>
          </cell>
          <cell r="O47" t="str">
            <v>SYTHD260077</v>
          </cell>
          <cell r="P47" t="str">
            <v>-</v>
          </cell>
          <cell r="Q47">
            <v>400000</v>
          </cell>
          <cell r="R47">
            <v>32</v>
          </cell>
          <cell r="S47" t="str">
            <v>Oui</v>
          </cell>
          <cell r="T47" t="str">
            <v>N/A</v>
          </cell>
          <cell r="U47">
            <v>0</v>
          </cell>
          <cell r="V47">
            <v>0</v>
          </cell>
        </row>
        <row r="48">
          <cell r="A48">
            <v>57773018</v>
          </cell>
          <cell r="B48">
            <v>46057.517175925925</v>
          </cell>
          <cell r="C48">
            <v>59755314</v>
          </cell>
          <cell r="D48">
            <v>46092.630289351851</v>
          </cell>
          <cell r="E48" t="str">
            <v>Raccordement Suspendu</v>
          </cell>
          <cell r="F48" t="str">
            <v>BASE AERIENN KORHOGO</v>
          </cell>
          <cell r="G48">
            <v>758333146</v>
          </cell>
          <cell r="H48" t="str">
            <v>KORHOGO</v>
          </cell>
          <cell r="I48" t="str">
            <v>-</v>
          </cell>
          <cell r="J48" t="str">
            <v>SYTRAN</v>
          </cell>
          <cell r="K48" t="str">
            <v>FH</v>
          </cell>
          <cell r="L48" t="str">
            <v>LSI</v>
          </cell>
          <cell r="M48" t="str">
            <v>Nominale</v>
          </cell>
          <cell r="N48" t="str">
            <v>Offert</v>
          </cell>
          <cell r="O48" t="str">
            <v>SYTHD260075</v>
          </cell>
          <cell r="P48" t="str">
            <v>-</v>
          </cell>
          <cell r="Q48">
            <v>400000</v>
          </cell>
          <cell r="R48">
            <v>32</v>
          </cell>
          <cell r="S48" t="str">
            <v>Non</v>
          </cell>
          <cell r="T48" t="str">
            <v xml:space="preserve">CLIENT </v>
          </cell>
          <cell r="U48">
            <v>0</v>
          </cell>
          <cell r="V48">
            <v>0</v>
          </cell>
        </row>
        <row r="49">
          <cell r="A49">
            <v>57849095</v>
          </cell>
          <cell r="B49">
            <v>46058.603668981479</v>
          </cell>
          <cell r="C49">
            <v>59792828</v>
          </cell>
          <cell r="D49">
            <v>46093.397361111114</v>
          </cell>
          <cell r="E49" t="str">
            <v>Cordonnateur Prestatataire: Affectation Technicien</v>
          </cell>
          <cell r="F49" t="str">
            <v>SONATEL</v>
          </cell>
          <cell r="G49">
            <v>707109668</v>
          </cell>
          <cell r="H49" t="str">
            <v>BCEAO PLATEAU</v>
          </cell>
          <cell r="I49" t="str">
            <v>-</v>
          </cell>
          <cell r="J49" t="str">
            <v>VPNLL</v>
          </cell>
          <cell r="K49" t="str">
            <v>fo</v>
          </cell>
          <cell r="L49" t="str">
            <v>LS</v>
          </cell>
          <cell r="M49" t="str">
            <v>Nominale</v>
          </cell>
          <cell r="N49" t="str">
            <v>Encours</v>
          </cell>
          <cell r="O49" t="str">
            <v>SYTHD260049</v>
          </cell>
          <cell r="P49" t="str">
            <v>-</v>
          </cell>
          <cell r="Q49" t="str">
            <v>-</v>
          </cell>
          <cell r="R49">
            <v>31</v>
          </cell>
          <cell r="S49" t="str">
            <v>Non</v>
          </cell>
          <cell r="T49" t="str">
            <v xml:space="preserve">CLIENT </v>
          </cell>
          <cell r="U49">
            <v>0</v>
          </cell>
          <cell r="V49">
            <v>0</v>
          </cell>
        </row>
        <row r="50">
          <cell r="A50">
            <v>57899728</v>
          </cell>
          <cell r="B50">
            <v>46059.503668981481</v>
          </cell>
          <cell r="C50">
            <v>59053570</v>
          </cell>
          <cell r="D50">
            <v>46080.432372685187</v>
          </cell>
          <cell r="E50" t="str">
            <v>Raccordement Suspendu</v>
          </cell>
          <cell r="F50" t="str">
            <v>HUAWEI TECHNOLOGIE SAU</v>
          </cell>
          <cell r="G50">
            <v>505980067</v>
          </cell>
          <cell r="H50" t="str">
            <v>MARCORY IMMEUBLE CAPSTONE 9E ETAGE</v>
          </cell>
          <cell r="I50" t="str">
            <v>-</v>
          </cell>
          <cell r="J50" t="str">
            <v>SYTRAN</v>
          </cell>
          <cell r="K50" t="str">
            <v>fo</v>
          </cell>
          <cell r="L50" t="str">
            <v>LS</v>
          </cell>
          <cell r="M50" t="str">
            <v>Nominale</v>
          </cell>
          <cell r="N50" t="str">
            <v>Offert</v>
          </cell>
          <cell r="O50" t="str">
            <v>SYTHD260058</v>
          </cell>
          <cell r="P50" t="str">
            <v>-</v>
          </cell>
          <cell r="Q50">
            <v>1002937</v>
          </cell>
          <cell r="R50">
            <v>30</v>
          </cell>
          <cell r="S50" t="str">
            <v>Non</v>
          </cell>
          <cell r="T50" t="str">
            <v xml:space="preserve">CLIENT </v>
          </cell>
          <cell r="U50" t="str">
            <v>Local en chantier</v>
          </cell>
          <cell r="V50">
            <v>0</v>
          </cell>
        </row>
        <row r="51">
          <cell r="A51">
            <v>58055656</v>
          </cell>
          <cell r="B51">
            <v>46062.760023148148</v>
          </cell>
          <cell r="C51">
            <v>60107378</v>
          </cell>
          <cell r="D51">
            <v>46099.477222222224</v>
          </cell>
          <cell r="E51" t="str">
            <v>Prestataire : Travaux</v>
          </cell>
          <cell r="F51" t="str">
            <v>MAIRIE DE NIABLE</v>
          </cell>
          <cell r="G51">
            <v>758224257</v>
          </cell>
          <cell r="H51" t="str">
            <v>NIABLE A LA MAIRIE</v>
          </cell>
          <cell r="I51" t="str">
            <v>-</v>
          </cell>
          <cell r="J51" t="str">
            <v>SYTRAN</v>
          </cell>
          <cell r="K51" t="str">
            <v>fo</v>
          </cell>
          <cell r="L51" t="str">
            <v>LSI</v>
          </cell>
          <cell r="M51" t="str">
            <v>Nominale</v>
          </cell>
          <cell r="N51" t="str">
            <v>Offert</v>
          </cell>
          <cell r="O51" t="str">
            <v>xxxxx</v>
          </cell>
          <cell r="P51" t="str">
            <v>-</v>
          </cell>
          <cell r="Q51">
            <v>1800000</v>
          </cell>
          <cell r="R51">
            <v>29</v>
          </cell>
          <cell r="S51" t="str">
            <v>Non</v>
          </cell>
          <cell r="T51" t="str">
            <v>OCI</v>
          </cell>
          <cell r="U51">
            <v>0</v>
          </cell>
          <cell r="V51">
            <v>0</v>
          </cell>
        </row>
        <row r="52">
          <cell r="A52">
            <v>58093827</v>
          </cell>
          <cell r="B52">
            <v>46063.583402777775</v>
          </cell>
          <cell r="C52">
            <v>59486282</v>
          </cell>
          <cell r="D52">
            <v>46087.591932870368</v>
          </cell>
          <cell r="E52" t="str">
            <v>Test et recette</v>
          </cell>
          <cell r="F52" t="str">
            <v>SIMDCI SA</v>
          </cell>
          <cell r="G52">
            <v>708086759</v>
          </cell>
          <cell r="H52" t="str">
            <v>TAABO LAMTO</v>
          </cell>
          <cell r="I52" t="str">
            <v>-</v>
          </cell>
          <cell r="J52" t="str">
            <v>SYTRAN</v>
          </cell>
          <cell r="K52" t="str">
            <v>fo</v>
          </cell>
          <cell r="L52" t="str">
            <v>LSI</v>
          </cell>
          <cell r="M52" t="str">
            <v>Backup</v>
          </cell>
          <cell r="N52" t="str">
            <v>Offert</v>
          </cell>
          <cell r="O52" t="str">
            <v>x</v>
          </cell>
          <cell r="P52" t="str">
            <v>-</v>
          </cell>
          <cell r="Q52" t="str">
            <v>-</v>
          </cell>
          <cell r="R52">
            <v>28</v>
          </cell>
          <cell r="S52" t="str">
            <v>Non</v>
          </cell>
          <cell r="T52" t="str">
            <v>N/A</v>
          </cell>
          <cell r="U52" t="str">
            <v>Demande à annuler</v>
          </cell>
          <cell r="V52" t="str">
            <v>Projet</v>
          </cell>
        </row>
        <row r="53">
          <cell r="A53">
            <v>58093843</v>
          </cell>
          <cell r="B53">
            <v>46063.583460648151</v>
          </cell>
          <cell r="C53">
            <v>58667700</v>
          </cell>
          <cell r="D53">
            <v>46073.611655092594</v>
          </cell>
          <cell r="E53" t="str">
            <v>Test et recette</v>
          </cell>
          <cell r="F53" t="str">
            <v>SIMDCI SA</v>
          </cell>
          <cell r="G53">
            <v>708086759</v>
          </cell>
          <cell r="H53" t="str">
            <v>TAABO LAMTO</v>
          </cell>
          <cell r="I53" t="str">
            <v>-</v>
          </cell>
          <cell r="J53" t="str">
            <v>SYTRAN</v>
          </cell>
          <cell r="K53" t="str">
            <v>fo</v>
          </cell>
          <cell r="L53" t="str">
            <v>LSI</v>
          </cell>
          <cell r="M53" t="str">
            <v>Principale (avec backup)</v>
          </cell>
          <cell r="N53" t="str">
            <v>Offert</v>
          </cell>
          <cell r="O53" t="str">
            <v>SYTHD250359</v>
          </cell>
          <cell r="P53" t="str">
            <v>-</v>
          </cell>
          <cell r="Q53">
            <v>0</v>
          </cell>
          <cell r="R53">
            <v>28</v>
          </cell>
          <cell r="S53" t="str">
            <v>Non</v>
          </cell>
          <cell r="T53" t="str">
            <v>N/A</v>
          </cell>
          <cell r="U53" t="str">
            <v>Demande à annuler</v>
          </cell>
          <cell r="V53" t="str">
            <v>Projet</v>
          </cell>
        </row>
        <row r="54">
          <cell r="A54">
            <v>58096761</v>
          </cell>
          <cell r="B54">
            <v>46063.603229166663</v>
          </cell>
          <cell r="C54">
            <v>59798188</v>
          </cell>
          <cell r="D54">
            <v>46093.44259259259</v>
          </cell>
          <cell r="E54" t="str">
            <v>Saisie ASCOM</v>
          </cell>
          <cell r="F54" t="str">
            <v>SIMDCI SA</v>
          </cell>
          <cell r="G54">
            <v>708086759</v>
          </cell>
          <cell r="H54" t="str">
            <v>TAABO LAMTO</v>
          </cell>
          <cell r="I54" t="str">
            <v>-</v>
          </cell>
          <cell r="J54" t="str">
            <v>BUVPN</v>
          </cell>
          <cell r="K54" t="str">
            <v>fo</v>
          </cell>
          <cell r="L54" t="str">
            <v>LS</v>
          </cell>
          <cell r="M54" t="str">
            <v>Backup</v>
          </cell>
          <cell r="N54" t="str">
            <v>Encours</v>
          </cell>
          <cell r="O54" t="str">
            <v>xxxxxxxxxx</v>
          </cell>
          <cell r="P54" t="str">
            <v>-</v>
          </cell>
          <cell r="Q54" t="str">
            <v>-</v>
          </cell>
          <cell r="R54">
            <v>28</v>
          </cell>
          <cell r="S54" t="str">
            <v>Non</v>
          </cell>
          <cell r="T54" t="str">
            <v>N/A</v>
          </cell>
          <cell r="U54" t="str">
            <v>Demande à annuler</v>
          </cell>
          <cell r="V54" t="str">
            <v>Projet</v>
          </cell>
        </row>
        <row r="55">
          <cell r="A55">
            <v>58096775</v>
          </cell>
          <cell r="B55">
            <v>46063.603263888886</v>
          </cell>
          <cell r="C55">
            <v>58655959</v>
          </cell>
          <cell r="D55">
            <v>46073.525740740741</v>
          </cell>
          <cell r="E55" t="str">
            <v>Test et recette</v>
          </cell>
          <cell r="F55" t="str">
            <v>SIMDCI SA</v>
          </cell>
          <cell r="G55">
            <v>708086759</v>
          </cell>
          <cell r="H55" t="str">
            <v>TAABO LAMTO</v>
          </cell>
          <cell r="I55" t="str">
            <v>-</v>
          </cell>
          <cell r="J55" t="str">
            <v>BUVPN</v>
          </cell>
          <cell r="K55" t="str">
            <v>fo</v>
          </cell>
          <cell r="L55" t="str">
            <v>LS</v>
          </cell>
          <cell r="M55" t="str">
            <v>Principale (avec backup)</v>
          </cell>
          <cell r="N55" t="str">
            <v>Offert</v>
          </cell>
          <cell r="O55" t="str">
            <v>BUVPN250213</v>
          </cell>
          <cell r="P55" t="str">
            <v>-</v>
          </cell>
          <cell r="Q55">
            <v>0</v>
          </cell>
          <cell r="R55">
            <v>28</v>
          </cell>
          <cell r="S55" t="str">
            <v>Non</v>
          </cell>
          <cell r="T55" t="str">
            <v>N/A</v>
          </cell>
          <cell r="U55" t="str">
            <v>E</v>
          </cell>
          <cell r="V55" t="str">
            <v>Projet</v>
          </cell>
        </row>
        <row r="56">
          <cell r="A56">
            <v>58144220</v>
          </cell>
          <cell r="B56">
            <v>46064.478425925925</v>
          </cell>
          <cell r="C56">
            <v>60196902</v>
          </cell>
          <cell r="D56">
            <v>46100.664976851855</v>
          </cell>
          <cell r="E56" t="str">
            <v>Support IP: Correction</v>
          </cell>
          <cell r="F56" t="str">
            <v>COMPAGNIE DE TRANSFORMATION DU CAOUCHOUC IVOIRIEN</v>
          </cell>
          <cell r="G56">
            <v>2722418166</v>
          </cell>
          <cell r="H56" t="str">
            <v>ABIDJAN-COCODY//VOIE INCONNUE/COCODY</v>
          </cell>
          <cell r="I56">
            <v>1811426</v>
          </cell>
          <cell r="J56" t="str">
            <v>IP Connect LL</v>
          </cell>
          <cell r="K56" t="str">
            <v>fo</v>
          </cell>
          <cell r="L56" t="str">
            <v>LS</v>
          </cell>
          <cell r="M56" t="str">
            <v>BCK</v>
          </cell>
          <cell r="N56" t="str">
            <v>Offert</v>
          </cell>
          <cell r="O56" t="str">
            <v>XXXXXX</v>
          </cell>
          <cell r="P56" t="str">
            <v>-</v>
          </cell>
          <cell r="Q56">
            <v>0</v>
          </cell>
          <cell r="R56">
            <v>27</v>
          </cell>
          <cell r="S56" t="str">
            <v>Non</v>
          </cell>
          <cell r="T56" t="str">
            <v>N/A</v>
          </cell>
          <cell r="U56">
            <v>0</v>
          </cell>
          <cell r="V56">
            <v>0</v>
          </cell>
        </row>
        <row r="57">
          <cell r="A57">
            <v>58151683</v>
          </cell>
          <cell r="B57">
            <v>46064.532222222224</v>
          </cell>
          <cell r="C57">
            <v>60185135</v>
          </cell>
          <cell r="D57">
            <v>46100.583078703705</v>
          </cell>
          <cell r="E57" t="str">
            <v>Travaux Suspendu</v>
          </cell>
          <cell r="F57" t="str">
            <v>OPERATION DE TRANSIT ET DE LOGISTIQUE</v>
          </cell>
          <cell r="G57">
            <v>2721271444</v>
          </cell>
          <cell r="H57" t="str">
            <v>PORT BOUET VRIDI ZONE INDUSTRIELLE</v>
          </cell>
          <cell r="I57" t="str">
            <v>-</v>
          </cell>
          <cell r="J57" t="str">
            <v>SYTRAN</v>
          </cell>
          <cell r="K57" t="str">
            <v>fo</v>
          </cell>
          <cell r="L57" t="str">
            <v>LSI</v>
          </cell>
          <cell r="M57" t="str">
            <v>Nominale</v>
          </cell>
          <cell r="N57" t="str">
            <v>Offert</v>
          </cell>
          <cell r="O57" t="str">
            <v>XXXXXX</v>
          </cell>
          <cell r="P57" t="str">
            <v>-</v>
          </cell>
          <cell r="Q57">
            <v>1495965</v>
          </cell>
          <cell r="R57">
            <v>27</v>
          </cell>
          <cell r="S57" t="str">
            <v>Non</v>
          </cell>
          <cell r="T57" t="str">
            <v>N/A</v>
          </cell>
          <cell r="U57">
            <v>0</v>
          </cell>
          <cell r="V57">
            <v>0</v>
          </cell>
        </row>
        <row r="58">
          <cell r="A58">
            <v>58166885</v>
          </cell>
          <cell r="B58">
            <v>46064.649965277778</v>
          </cell>
          <cell r="C58">
            <v>59811530</v>
          </cell>
          <cell r="D58">
            <v>46093.540775462963</v>
          </cell>
          <cell r="E58" t="str">
            <v>Travaux Suspendu</v>
          </cell>
          <cell r="F58" t="str">
            <v>QUIPUX AFRIQUE</v>
          </cell>
          <cell r="G58">
            <v>504041812</v>
          </cell>
          <cell r="H58" t="str">
            <v>KONG</v>
          </cell>
          <cell r="I58" t="str">
            <v>-</v>
          </cell>
          <cell r="J58" t="str">
            <v>BUVPN</v>
          </cell>
          <cell r="K58" t="str">
            <v>fo</v>
          </cell>
          <cell r="L58" t="str">
            <v>LS</v>
          </cell>
          <cell r="M58" t="str">
            <v>Nominale</v>
          </cell>
          <cell r="N58" t="str">
            <v>Offert</v>
          </cell>
          <cell r="O58" t="str">
            <v>XXXX</v>
          </cell>
          <cell r="P58" t="str">
            <v>-</v>
          </cell>
          <cell r="Q58">
            <v>2000000</v>
          </cell>
          <cell r="R58">
            <v>27</v>
          </cell>
          <cell r="S58" t="str">
            <v>Non</v>
          </cell>
          <cell r="T58" t="str">
            <v>OCI</v>
          </cell>
          <cell r="U58">
            <v>0</v>
          </cell>
          <cell r="V58" t="str">
            <v>Projet</v>
          </cell>
        </row>
        <row r="59">
          <cell r="A59">
            <v>58168004</v>
          </cell>
          <cell r="B59">
            <v>46064.657037037039</v>
          </cell>
          <cell r="C59">
            <v>60186513</v>
          </cell>
          <cell r="D59">
            <v>46100.591574074075</v>
          </cell>
          <cell r="E59" t="str">
            <v>Responsable Zone: Validation pour intervention</v>
          </cell>
          <cell r="F59" t="str">
            <v>QUIPUX AFRIQUE</v>
          </cell>
          <cell r="G59">
            <v>504041812</v>
          </cell>
          <cell r="H59" t="str">
            <v>DIMBOKRO//VOIE INCONNUE/DIMBOKRO</v>
          </cell>
          <cell r="I59">
            <v>1811236</v>
          </cell>
          <cell r="J59" t="str">
            <v>IP Connect LL</v>
          </cell>
          <cell r="K59" t="str">
            <v>fo</v>
          </cell>
          <cell r="L59" t="str">
            <v>LS</v>
          </cell>
          <cell r="M59" t="str">
            <v>Nominale</v>
          </cell>
          <cell r="N59" t="str">
            <v>Offert</v>
          </cell>
          <cell r="O59" t="str">
            <v>BUVPN260060</v>
          </cell>
          <cell r="P59" t="str">
            <v>-</v>
          </cell>
          <cell r="Q59">
            <v>2000000</v>
          </cell>
          <cell r="R59">
            <v>27</v>
          </cell>
          <cell r="S59" t="str">
            <v>Non</v>
          </cell>
          <cell r="T59" t="str">
            <v xml:space="preserve">CLIENT </v>
          </cell>
          <cell r="U59">
            <v>0</v>
          </cell>
          <cell r="V59" t="str">
            <v>Projet</v>
          </cell>
        </row>
        <row r="60">
          <cell r="A60">
            <v>58176306</v>
          </cell>
          <cell r="B60">
            <v>46064.721539351849</v>
          </cell>
          <cell r="C60">
            <v>60105124</v>
          </cell>
          <cell r="D60">
            <v>46099.461909722224</v>
          </cell>
          <cell r="E60" t="str">
            <v>Responsable Zone: Coordination etude et travaux</v>
          </cell>
          <cell r="F60" t="str">
            <v>CONNECTED NETWORKS SERVICES</v>
          </cell>
          <cell r="G60">
            <v>3365190695</v>
          </cell>
          <cell r="H60" t="str">
            <v>PLATEAU AVENUE NOGUES</v>
          </cell>
          <cell r="I60" t="str">
            <v>-</v>
          </cell>
          <cell r="J60" t="str">
            <v>SYTRAN</v>
          </cell>
          <cell r="K60" t="str">
            <v>fo</v>
          </cell>
          <cell r="L60" t="str">
            <v>LSI</v>
          </cell>
          <cell r="M60" t="str">
            <v>Nominale</v>
          </cell>
          <cell r="N60" t="str">
            <v>Offert</v>
          </cell>
          <cell r="O60" t="str">
            <v>xxxxxx</v>
          </cell>
          <cell r="P60" t="str">
            <v>-</v>
          </cell>
          <cell r="Q60">
            <v>600000</v>
          </cell>
          <cell r="R60">
            <v>27</v>
          </cell>
          <cell r="S60" t="str">
            <v>Non</v>
          </cell>
          <cell r="T60" t="str">
            <v>OCI</v>
          </cell>
          <cell r="U60" t="str">
            <v xml:space="preserve"> </v>
          </cell>
          <cell r="V60">
            <v>0</v>
          </cell>
        </row>
        <row r="61">
          <cell r="A61">
            <v>58274609</v>
          </cell>
          <cell r="B61">
            <v>46066.525011574071</v>
          </cell>
          <cell r="C61">
            <v>59264178</v>
          </cell>
          <cell r="D61">
            <v>46084.406759259262</v>
          </cell>
          <cell r="E61" t="str">
            <v>Travaux Suspendu</v>
          </cell>
          <cell r="F61" t="str">
            <v>MANCALA</v>
          </cell>
          <cell r="G61">
            <v>2722480700</v>
          </cell>
          <cell r="H61" t="str">
            <v>COCODY</v>
          </cell>
          <cell r="I61" t="str">
            <v>-</v>
          </cell>
          <cell r="J61" t="str">
            <v>SYTRAN</v>
          </cell>
          <cell r="K61" t="str">
            <v>fo</v>
          </cell>
          <cell r="L61" t="str">
            <v>LSI</v>
          </cell>
          <cell r="M61" t="str">
            <v>Nominale</v>
          </cell>
          <cell r="N61" t="str">
            <v>Offert</v>
          </cell>
          <cell r="O61" t="str">
            <v>XXXXXXXXX</v>
          </cell>
          <cell r="P61" t="str">
            <v>-</v>
          </cell>
          <cell r="Q61">
            <v>522590</v>
          </cell>
          <cell r="R61">
            <v>25</v>
          </cell>
          <cell r="S61" t="str">
            <v>Non</v>
          </cell>
          <cell r="T61" t="str">
            <v>OCI</v>
          </cell>
          <cell r="U61" t="str">
            <v>Travaux de GC</v>
          </cell>
          <cell r="V61">
            <v>0</v>
          </cell>
        </row>
        <row r="62">
          <cell r="A62">
            <v>58407509</v>
          </cell>
          <cell r="B62">
            <v>46069.545914351853</v>
          </cell>
          <cell r="C62">
            <v>60117713</v>
          </cell>
          <cell r="D62">
            <v>46099.558506944442</v>
          </cell>
          <cell r="E62" t="str">
            <v>Responsable Zone: Validation intervention</v>
          </cell>
          <cell r="F62" t="str">
            <v>MINISTERE DE LA DEFENSE</v>
          </cell>
          <cell r="G62">
            <v>709213314</v>
          </cell>
          <cell r="H62" t="str">
            <v>PLATEAU</v>
          </cell>
          <cell r="I62" t="str">
            <v>-</v>
          </cell>
          <cell r="J62" t="str">
            <v>T2</v>
          </cell>
          <cell r="K62" t="str">
            <v>fo_virage</v>
          </cell>
          <cell r="L62" t="str">
            <v>numerique</v>
          </cell>
          <cell r="M62" t="str">
            <v>Nominale</v>
          </cell>
          <cell r="N62" t="str">
            <v>Encours</v>
          </cell>
          <cell r="O62">
            <v>2720238050</v>
          </cell>
          <cell r="P62" t="str">
            <v>-</v>
          </cell>
          <cell r="Q62" t="str">
            <v>-</v>
          </cell>
          <cell r="R62">
            <v>24</v>
          </cell>
          <cell r="S62" t="str">
            <v>Non</v>
          </cell>
          <cell r="T62" t="e">
            <v>#N/A</v>
          </cell>
          <cell r="U62" t="str">
            <v xml:space="preserve"> </v>
          </cell>
          <cell r="V62">
            <v>0</v>
          </cell>
        </row>
        <row r="63">
          <cell r="A63">
            <v>58420580</v>
          </cell>
          <cell r="B63">
            <v>46069.648148148146</v>
          </cell>
          <cell r="C63">
            <v>60093079</v>
          </cell>
          <cell r="D63">
            <v>46099.357314814813</v>
          </cell>
          <cell r="E63" t="str">
            <v>Saisie ASCOM</v>
          </cell>
          <cell r="F63" t="str">
            <v>CONSULTINGSTRATEGY &amp;CSOLUTIONS GROUP</v>
          </cell>
          <cell r="G63">
            <v>749857975</v>
          </cell>
          <cell r="H63" t="str">
            <v>ABIDJAN COCODY</v>
          </cell>
          <cell r="I63" t="str">
            <v>-</v>
          </cell>
          <cell r="J63" t="str">
            <v>T0</v>
          </cell>
          <cell r="K63" t="str">
            <v>fo_virage</v>
          </cell>
          <cell r="L63" t="str">
            <v>numerique</v>
          </cell>
          <cell r="M63" t="str">
            <v>Nominale</v>
          </cell>
          <cell r="N63" t="str">
            <v>Encours</v>
          </cell>
          <cell r="O63" t="str">
            <v>XXXXXX</v>
          </cell>
          <cell r="P63" t="str">
            <v>-</v>
          </cell>
          <cell r="Q63" t="str">
            <v>-</v>
          </cell>
          <cell r="R63">
            <v>24</v>
          </cell>
          <cell r="S63" t="str">
            <v>Non</v>
          </cell>
          <cell r="T63" t="str">
            <v xml:space="preserve">CLIENT </v>
          </cell>
          <cell r="U63" t="str">
            <v xml:space="preserve"> </v>
          </cell>
          <cell r="V63">
            <v>0</v>
          </cell>
        </row>
        <row r="64">
          <cell r="A64">
            <v>58514013</v>
          </cell>
          <cell r="B64">
            <v>46071.426388888889</v>
          </cell>
          <cell r="C64">
            <v>59856392</v>
          </cell>
          <cell r="D64">
            <v>46094.40960648148</v>
          </cell>
          <cell r="E64" t="str">
            <v>Transmission Plans Equipe Numerisation</v>
          </cell>
          <cell r="F64" t="str">
            <v>PC MARKET</v>
          </cell>
          <cell r="G64">
            <v>767154815</v>
          </cell>
          <cell r="H64" t="str">
            <v>COCODY BONOUMIN</v>
          </cell>
          <cell r="I64" t="str">
            <v>-</v>
          </cell>
          <cell r="J64" t="str">
            <v>T0</v>
          </cell>
          <cell r="K64" t="str">
            <v>ftto_virage</v>
          </cell>
          <cell r="L64" t="str">
            <v>numerique</v>
          </cell>
          <cell r="M64" t="str">
            <v>Nominale</v>
          </cell>
          <cell r="N64" t="str">
            <v>Offert</v>
          </cell>
          <cell r="O64">
            <v>2722520110</v>
          </cell>
          <cell r="P64" t="str">
            <v>-</v>
          </cell>
          <cell r="Q64" t="str">
            <v>-</v>
          </cell>
          <cell r="R64">
            <v>22</v>
          </cell>
          <cell r="S64" t="str">
            <v>Non</v>
          </cell>
          <cell r="T64" t="e">
            <v>#N/A</v>
          </cell>
          <cell r="U64" t="str">
            <v xml:space="preserve"> </v>
          </cell>
          <cell r="V64">
            <v>0</v>
          </cell>
        </row>
        <row r="65">
          <cell r="A65">
            <v>58626822</v>
          </cell>
          <cell r="B65">
            <v>46072.810324074075</v>
          </cell>
          <cell r="C65">
            <v>59811821</v>
          </cell>
          <cell r="D65">
            <v>46093.543773148151</v>
          </cell>
          <cell r="E65" t="str">
            <v>Travaux Suspendu</v>
          </cell>
          <cell r="F65" t="str">
            <v>MFI CI (SODEXAM)</v>
          </cell>
          <cell r="G65">
            <v>709574114</v>
          </cell>
          <cell r="H65" t="str">
            <v>PORT POUET ZONE AEROPORTUAIRE</v>
          </cell>
          <cell r="I65" t="str">
            <v>-</v>
          </cell>
          <cell r="J65" t="str">
            <v>SYTRAN</v>
          </cell>
          <cell r="K65" t="str">
            <v>fo</v>
          </cell>
          <cell r="L65" t="str">
            <v>LSI</v>
          </cell>
          <cell r="M65" t="str">
            <v>Nominale</v>
          </cell>
          <cell r="N65" t="str">
            <v>Offert</v>
          </cell>
          <cell r="O65" t="str">
            <v>XXXXXXXXXX</v>
          </cell>
          <cell r="P65" t="str">
            <v>-</v>
          </cell>
          <cell r="Q65">
            <v>445307</v>
          </cell>
          <cell r="R65">
            <v>21</v>
          </cell>
          <cell r="S65" t="str">
            <v>Oui</v>
          </cell>
          <cell r="T65" t="str">
            <v>OCI</v>
          </cell>
          <cell r="U65" t="str">
            <v xml:space="preserve"> </v>
          </cell>
          <cell r="V65">
            <v>0</v>
          </cell>
        </row>
        <row r="66">
          <cell r="A66">
            <v>58635645</v>
          </cell>
          <cell r="B66">
            <v>46073.372395833336</v>
          </cell>
          <cell r="C66">
            <v>59752855</v>
          </cell>
          <cell r="D66">
            <v>46092.614201388889</v>
          </cell>
          <cell r="E66" t="str">
            <v>Travaux Suspendu</v>
          </cell>
          <cell r="F66" t="str">
            <v>ZENITH BANK COTE D'IVOIRE</v>
          </cell>
          <cell r="G66">
            <v>759250737</v>
          </cell>
          <cell r="H66" t="str">
            <v>ABIDJAN PLATEAU</v>
          </cell>
          <cell r="I66" t="str">
            <v>-</v>
          </cell>
          <cell r="J66" t="str">
            <v>BUVPN</v>
          </cell>
          <cell r="K66" t="str">
            <v>fo</v>
          </cell>
          <cell r="L66" t="str">
            <v>LS</v>
          </cell>
          <cell r="M66" t="str">
            <v>Backup</v>
          </cell>
          <cell r="N66" t="str">
            <v>Offert</v>
          </cell>
          <cell r="O66" t="str">
            <v>XXXXXXXXX</v>
          </cell>
          <cell r="P66" t="str">
            <v>-</v>
          </cell>
          <cell r="Q66" t="str">
            <v>-</v>
          </cell>
          <cell r="R66">
            <v>20</v>
          </cell>
          <cell r="S66" t="str">
            <v>OUI</v>
          </cell>
          <cell r="T66" t="str">
            <v>OCI</v>
          </cell>
          <cell r="U66" t="str">
            <v xml:space="preserve"> </v>
          </cell>
          <cell r="V66">
            <v>0</v>
          </cell>
        </row>
        <row r="67">
          <cell r="A67">
            <v>58635674</v>
          </cell>
          <cell r="B67">
            <v>46073.372488425928</v>
          </cell>
          <cell r="C67">
            <v>60160137</v>
          </cell>
          <cell r="D67">
            <v>46100.389884259261</v>
          </cell>
          <cell r="E67" t="str">
            <v>Travaux Suspendu</v>
          </cell>
          <cell r="F67" t="str">
            <v>ZENITH BANK COTE D'IVOIRE</v>
          </cell>
          <cell r="G67">
            <v>759250737</v>
          </cell>
          <cell r="H67" t="str">
            <v>ABIDJAN PLATEAU</v>
          </cell>
          <cell r="I67" t="str">
            <v>-</v>
          </cell>
          <cell r="J67" t="str">
            <v>BUVPN</v>
          </cell>
          <cell r="K67" t="str">
            <v>fo</v>
          </cell>
          <cell r="L67" t="str">
            <v>LS</v>
          </cell>
          <cell r="M67" t="str">
            <v>Principale (avec backup)</v>
          </cell>
          <cell r="N67" t="str">
            <v>Offert</v>
          </cell>
          <cell r="O67" t="str">
            <v>XXXXXXXXXXX</v>
          </cell>
          <cell r="P67" t="str">
            <v>-</v>
          </cell>
          <cell r="Q67">
            <v>500000</v>
          </cell>
          <cell r="R67">
            <v>20</v>
          </cell>
          <cell r="S67" t="str">
            <v>Non</v>
          </cell>
          <cell r="T67" t="e">
            <v>#N/A</v>
          </cell>
          <cell r="U67" t="str">
            <v xml:space="preserve"> </v>
          </cell>
          <cell r="V67">
            <v>0</v>
          </cell>
        </row>
        <row r="68">
          <cell r="A68">
            <v>58642079</v>
          </cell>
          <cell r="B68">
            <v>46073.425034722219</v>
          </cell>
          <cell r="C68">
            <v>59755320</v>
          </cell>
          <cell r="D68">
            <v>46092.630370370367</v>
          </cell>
          <cell r="E68" t="str">
            <v>Travaux Suspendu</v>
          </cell>
          <cell r="F68" t="str">
            <v>ZENITH BANK COTE D'IVOIRE</v>
          </cell>
          <cell r="G68">
            <v>759250737</v>
          </cell>
          <cell r="H68" t="str">
            <v>ABIDJAN PLATEAU</v>
          </cell>
          <cell r="I68" t="str">
            <v>-</v>
          </cell>
          <cell r="J68" t="str">
            <v>T2</v>
          </cell>
          <cell r="K68" t="str">
            <v>fo_virage</v>
          </cell>
          <cell r="L68" t="str">
            <v>numerique</v>
          </cell>
          <cell r="M68" t="str">
            <v>Nominale</v>
          </cell>
          <cell r="N68" t="str">
            <v>Offert</v>
          </cell>
          <cell r="O68" t="str">
            <v>xxxxxxxxxxx</v>
          </cell>
          <cell r="P68" t="str">
            <v>-</v>
          </cell>
          <cell r="Q68" t="str">
            <v>-</v>
          </cell>
          <cell r="R68">
            <v>20</v>
          </cell>
          <cell r="S68" t="str">
            <v>OUI</v>
          </cell>
          <cell r="T68" t="str">
            <v>OCI</v>
          </cell>
          <cell r="U68" t="str">
            <v xml:space="preserve"> </v>
          </cell>
          <cell r="V68">
            <v>0</v>
          </cell>
        </row>
        <row r="69">
          <cell r="A69">
            <v>58649804</v>
          </cell>
          <cell r="B69">
            <v>46073.479305555556</v>
          </cell>
          <cell r="C69">
            <v>59753122</v>
          </cell>
          <cell r="D69">
            <v>46092.615983796299</v>
          </cell>
          <cell r="E69" t="str">
            <v>Travaux Suspendu</v>
          </cell>
          <cell r="F69" t="str">
            <v>ZENITH BANK COTE D4IVOIRE</v>
          </cell>
          <cell r="G69">
            <v>759250737</v>
          </cell>
          <cell r="H69" t="str">
            <v>ABIDJAN PLATEAU</v>
          </cell>
          <cell r="I69" t="str">
            <v>-</v>
          </cell>
          <cell r="J69" t="str">
            <v>SYTRAN</v>
          </cell>
          <cell r="K69" t="str">
            <v>fo</v>
          </cell>
          <cell r="L69" t="str">
            <v>LSI</v>
          </cell>
          <cell r="M69" t="str">
            <v>Backup</v>
          </cell>
          <cell r="N69" t="str">
            <v>Offert</v>
          </cell>
          <cell r="O69" t="str">
            <v>XXXXXXXXXX</v>
          </cell>
          <cell r="P69" t="str">
            <v>-</v>
          </cell>
          <cell r="Q69" t="str">
            <v>-</v>
          </cell>
          <cell r="R69">
            <v>20</v>
          </cell>
          <cell r="S69" t="str">
            <v>OUI</v>
          </cell>
          <cell r="T69" t="str">
            <v>OCI</v>
          </cell>
          <cell r="U69" t="str">
            <v xml:space="preserve"> </v>
          </cell>
          <cell r="V69">
            <v>0</v>
          </cell>
        </row>
        <row r="70">
          <cell r="A70">
            <v>58649837</v>
          </cell>
          <cell r="B70">
            <v>46073.479409722226</v>
          </cell>
          <cell r="C70">
            <v>59753844</v>
          </cell>
          <cell r="D70">
            <v>46092.619826388887</v>
          </cell>
          <cell r="E70" t="str">
            <v>Travaux Suspendu</v>
          </cell>
          <cell r="F70" t="str">
            <v>ZENITH BANK COTE D4IVOIRE</v>
          </cell>
          <cell r="G70">
            <v>759250737</v>
          </cell>
          <cell r="H70" t="str">
            <v>ABIDJAN PLATEAU</v>
          </cell>
          <cell r="I70" t="str">
            <v>-</v>
          </cell>
          <cell r="J70" t="str">
            <v>SYTRAN</v>
          </cell>
          <cell r="K70" t="str">
            <v>fo</v>
          </cell>
          <cell r="L70" t="str">
            <v>LSI</v>
          </cell>
          <cell r="M70" t="str">
            <v>Principale (avec backup)</v>
          </cell>
          <cell r="N70" t="str">
            <v>Offert</v>
          </cell>
          <cell r="O70" t="str">
            <v>XXXXXXXXXXXXXXXX</v>
          </cell>
          <cell r="P70" t="str">
            <v>-</v>
          </cell>
          <cell r="Q70">
            <v>500000</v>
          </cell>
          <cell r="R70">
            <v>20</v>
          </cell>
          <cell r="S70" t="str">
            <v>OUI</v>
          </cell>
          <cell r="T70" t="str">
            <v>OCI</v>
          </cell>
          <cell r="U70" t="str">
            <v xml:space="preserve"> </v>
          </cell>
          <cell r="V70">
            <v>0</v>
          </cell>
        </row>
        <row r="71">
          <cell r="A71">
            <v>58650374</v>
          </cell>
          <cell r="B71">
            <v>46073.483518518522</v>
          </cell>
          <cell r="C71">
            <v>59877767</v>
          </cell>
          <cell r="D71">
            <v>46094.57167824074</v>
          </cell>
          <cell r="E71" t="str">
            <v>Responsable Zone: Coordination etude et travaux</v>
          </cell>
          <cell r="F71" t="str">
            <v>STE SINOAFRICK AUTO SARL</v>
          </cell>
          <cell r="G71">
            <v>708193864</v>
          </cell>
          <cell r="H71" t="str">
            <v>COCODY RIVIERA 2</v>
          </cell>
          <cell r="I71" t="str">
            <v>-</v>
          </cell>
          <cell r="J71" t="str">
            <v>T0</v>
          </cell>
          <cell r="K71" t="str">
            <v>fo_virage</v>
          </cell>
          <cell r="L71" t="str">
            <v>numerique</v>
          </cell>
          <cell r="M71" t="str">
            <v>Nominale</v>
          </cell>
          <cell r="N71" t="str">
            <v>Encours</v>
          </cell>
          <cell r="O71" t="str">
            <v>XXXXXXXXXXX</v>
          </cell>
          <cell r="P71" t="str">
            <v>-</v>
          </cell>
          <cell r="Q71" t="str">
            <v>-</v>
          </cell>
          <cell r="R71">
            <v>20</v>
          </cell>
          <cell r="S71" t="str">
            <v>Non</v>
          </cell>
          <cell r="T71" t="e">
            <v>#N/A</v>
          </cell>
          <cell r="U71" t="str">
            <v xml:space="preserve"> </v>
          </cell>
          <cell r="V71">
            <v>0</v>
          </cell>
        </row>
        <row r="72">
          <cell r="A72">
            <v>58797846</v>
          </cell>
          <cell r="B72">
            <v>46076.510104166664</v>
          </cell>
          <cell r="C72">
            <v>59309304</v>
          </cell>
          <cell r="D72">
            <v>46084.771053240744</v>
          </cell>
          <cell r="E72" t="str">
            <v>Prestataire : Travaux</v>
          </cell>
          <cell r="F72" t="str">
            <v>DIRECTION GENERALE DES DOUANES</v>
          </cell>
          <cell r="G72">
            <v>102224907</v>
          </cell>
          <cell r="H72" t="str">
            <v>DJIGUI SHIPPING SITE TREICHVILLE CHU</v>
          </cell>
          <cell r="I72" t="str">
            <v>-</v>
          </cell>
          <cell r="J72" t="str">
            <v>BUVPN</v>
          </cell>
          <cell r="K72" t="str">
            <v>fo</v>
          </cell>
          <cell r="L72" t="str">
            <v>LS</v>
          </cell>
          <cell r="M72" t="str">
            <v>Nominale</v>
          </cell>
          <cell r="N72" t="str">
            <v>Offert</v>
          </cell>
          <cell r="O72" t="str">
            <v>XXXXXXXXX</v>
          </cell>
          <cell r="P72" t="str">
            <v>-</v>
          </cell>
          <cell r="Q72">
            <v>2000000</v>
          </cell>
          <cell r="R72">
            <v>19</v>
          </cell>
          <cell r="S72" t="str">
            <v>Non</v>
          </cell>
          <cell r="T72" t="e">
            <v>#N/A</v>
          </cell>
          <cell r="U72" t="str">
            <v xml:space="preserve"> </v>
          </cell>
          <cell r="V72">
            <v>0</v>
          </cell>
        </row>
        <row r="73">
          <cell r="A73">
            <v>58808846</v>
          </cell>
          <cell r="B73">
            <v>46076.586747685185</v>
          </cell>
          <cell r="C73">
            <v>60194123</v>
          </cell>
          <cell r="D73">
            <v>46100.646215277775</v>
          </cell>
          <cell r="E73" t="str">
            <v>Prestataire : Etude</v>
          </cell>
          <cell r="F73" t="str">
            <v>DIRECTION GENERALE DES DOUANES</v>
          </cell>
          <cell r="G73">
            <v>749994094</v>
          </cell>
          <cell r="H73" t="str">
            <v>GREENWAYS TRANSIT SITE PORT BOUET VRIDI ZONE DIGUE</v>
          </cell>
          <cell r="I73" t="str">
            <v>-</v>
          </cell>
          <cell r="J73" t="str">
            <v>BUVPN</v>
          </cell>
          <cell r="K73" t="str">
            <v>ftto</v>
          </cell>
          <cell r="L73" t="str">
            <v>LS</v>
          </cell>
          <cell r="M73" t="str">
            <v>Nominale</v>
          </cell>
          <cell r="N73" t="str">
            <v>Offert</v>
          </cell>
          <cell r="O73" t="str">
            <v>BUVPN260057</v>
          </cell>
          <cell r="P73" t="str">
            <v>-</v>
          </cell>
          <cell r="Q73">
            <v>2000000</v>
          </cell>
          <cell r="R73">
            <v>19</v>
          </cell>
          <cell r="S73" t="str">
            <v>Non</v>
          </cell>
          <cell r="T73" t="e">
            <v>#N/A</v>
          </cell>
          <cell r="U73" t="str">
            <v xml:space="preserve"> </v>
          </cell>
          <cell r="V73">
            <v>0</v>
          </cell>
        </row>
        <row r="74">
          <cell r="A74">
            <v>58821537</v>
          </cell>
          <cell r="B74">
            <v>46076.664479166669</v>
          </cell>
          <cell r="C74">
            <v>59821291</v>
          </cell>
          <cell r="D74">
            <v>46093.616412037038</v>
          </cell>
          <cell r="E74" t="str">
            <v>Responsable Zone: Coordination etude et travaux</v>
          </cell>
          <cell r="F74" t="str">
            <v>MUGEFCI</v>
          </cell>
          <cell r="G74">
            <v>708086472</v>
          </cell>
          <cell r="H74" t="str">
            <v>TREICHVILLE</v>
          </cell>
          <cell r="I74" t="str">
            <v>-</v>
          </cell>
          <cell r="J74" t="str">
            <v>BUVPN</v>
          </cell>
          <cell r="K74" t="str">
            <v>fo</v>
          </cell>
          <cell r="L74" t="str">
            <v>LS</v>
          </cell>
          <cell r="M74" t="str">
            <v>Backup</v>
          </cell>
          <cell r="N74" t="str">
            <v>Offert</v>
          </cell>
          <cell r="O74" t="str">
            <v>XXXXX</v>
          </cell>
          <cell r="P74" t="str">
            <v>-</v>
          </cell>
          <cell r="Q74" t="str">
            <v>-</v>
          </cell>
          <cell r="R74">
            <v>19</v>
          </cell>
          <cell r="S74" t="str">
            <v>Non</v>
          </cell>
          <cell r="T74" t="e">
            <v>#N/A</v>
          </cell>
          <cell r="U74" t="str">
            <v xml:space="preserve"> </v>
          </cell>
          <cell r="V74">
            <v>0</v>
          </cell>
        </row>
        <row r="75">
          <cell r="A75">
            <v>58821553</v>
          </cell>
          <cell r="B75">
            <v>46076.664525462962</v>
          </cell>
          <cell r="C75">
            <v>59998536</v>
          </cell>
          <cell r="D75">
            <v>46097.435590277775</v>
          </cell>
          <cell r="E75" t="str">
            <v>Raccordement Suspendu</v>
          </cell>
          <cell r="F75" t="str">
            <v>MUGEFCI</v>
          </cell>
          <cell r="G75">
            <v>708086472</v>
          </cell>
          <cell r="H75" t="str">
            <v>TREICHVILLE</v>
          </cell>
          <cell r="I75" t="str">
            <v>-</v>
          </cell>
          <cell r="J75" t="str">
            <v>BUVPN</v>
          </cell>
          <cell r="K75" t="str">
            <v>ftto</v>
          </cell>
          <cell r="L75" t="str">
            <v>LS</v>
          </cell>
          <cell r="M75" t="str">
            <v>Principale (avec backup)</v>
          </cell>
          <cell r="N75" t="str">
            <v>Offert</v>
          </cell>
          <cell r="O75" t="str">
            <v>BUVPN260039</v>
          </cell>
          <cell r="P75" t="str">
            <v>-</v>
          </cell>
          <cell r="Q75">
            <v>705000</v>
          </cell>
          <cell r="R75">
            <v>19</v>
          </cell>
          <cell r="S75" t="str">
            <v>Non</v>
          </cell>
          <cell r="T75" t="e">
            <v>#N/A</v>
          </cell>
          <cell r="U75" t="str">
            <v xml:space="preserve"> </v>
          </cell>
          <cell r="V75">
            <v>0</v>
          </cell>
        </row>
        <row r="76">
          <cell r="A76">
            <v>58822576</v>
          </cell>
          <cell r="B76">
            <v>46076.670810185184</v>
          </cell>
          <cell r="C76">
            <v>59375318</v>
          </cell>
          <cell r="D76">
            <v>46085.763622685183</v>
          </cell>
          <cell r="E76" t="str">
            <v>Test et recette</v>
          </cell>
          <cell r="F76" t="str">
            <v>MUGEFCI</v>
          </cell>
          <cell r="G76">
            <v>708086472</v>
          </cell>
          <cell r="H76" t="str">
            <v>KORHOGO</v>
          </cell>
          <cell r="I76" t="str">
            <v>-</v>
          </cell>
          <cell r="J76" t="str">
            <v>BUVPN</v>
          </cell>
          <cell r="K76" t="str">
            <v>fo</v>
          </cell>
          <cell r="L76" t="str">
            <v>LS</v>
          </cell>
          <cell r="M76" t="str">
            <v>Backup</v>
          </cell>
          <cell r="N76" t="str">
            <v>Offert</v>
          </cell>
          <cell r="O76" t="str">
            <v>XXXXXXXXXX</v>
          </cell>
          <cell r="P76" t="str">
            <v>-</v>
          </cell>
          <cell r="Q76" t="str">
            <v>-</v>
          </cell>
          <cell r="R76">
            <v>19</v>
          </cell>
          <cell r="S76" t="str">
            <v>Non</v>
          </cell>
          <cell r="T76" t="e">
            <v>#N/A</v>
          </cell>
          <cell r="U76" t="str">
            <v xml:space="preserve"> </v>
          </cell>
          <cell r="V76">
            <v>0</v>
          </cell>
        </row>
        <row r="77">
          <cell r="A77">
            <v>58822595</v>
          </cell>
          <cell r="B77">
            <v>46076.670856481483</v>
          </cell>
          <cell r="C77">
            <v>60178290</v>
          </cell>
          <cell r="D77">
            <v>46100.527326388888</v>
          </cell>
          <cell r="E77" t="str">
            <v>Responsable Zone: Validation intervention</v>
          </cell>
          <cell r="F77" t="str">
            <v>MUGEFCI</v>
          </cell>
          <cell r="G77">
            <v>708086472</v>
          </cell>
          <cell r="H77" t="str">
            <v>KORHOGO</v>
          </cell>
          <cell r="I77" t="str">
            <v>-</v>
          </cell>
          <cell r="J77" t="str">
            <v>BUVPN</v>
          </cell>
          <cell r="K77" t="str">
            <v>fo</v>
          </cell>
          <cell r="L77" t="str">
            <v>LS</v>
          </cell>
          <cell r="M77" t="str">
            <v>Principale (avec backup)</v>
          </cell>
          <cell r="N77" t="str">
            <v>Encours</v>
          </cell>
          <cell r="O77" t="str">
            <v>BUVPN260038</v>
          </cell>
          <cell r="P77" t="str">
            <v>-</v>
          </cell>
          <cell r="Q77">
            <v>1150000</v>
          </cell>
          <cell r="R77">
            <v>19</v>
          </cell>
          <cell r="S77" t="str">
            <v>Non</v>
          </cell>
          <cell r="T77" t="e">
            <v>#N/A</v>
          </cell>
          <cell r="U77" t="str">
            <v xml:space="preserve"> </v>
          </cell>
          <cell r="V77">
            <v>0</v>
          </cell>
        </row>
        <row r="78">
          <cell r="A78">
            <v>58823039</v>
          </cell>
          <cell r="B78">
            <v>46076.673564814817</v>
          </cell>
          <cell r="C78">
            <v>59751930</v>
          </cell>
          <cell r="D78">
            <v>46092.607847222222</v>
          </cell>
          <cell r="E78" t="str">
            <v>Travaux Suspendu</v>
          </cell>
          <cell r="F78" t="str">
            <v>MUGEFCI</v>
          </cell>
          <cell r="G78">
            <v>708086472</v>
          </cell>
          <cell r="H78" t="str">
            <v>DIMBOKRO</v>
          </cell>
          <cell r="I78" t="str">
            <v>-</v>
          </cell>
          <cell r="J78" t="str">
            <v>BUVPN</v>
          </cell>
          <cell r="K78" t="str">
            <v>fo</v>
          </cell>
          <cell r="L78" t="str">
            <v>LS</v>
          </cell>
          <cell r="M78" t="str">
            <v>Nominale</v>
          </cell>
          <cell r="N78" t="str">
            <v>Offert</v>
          </cell>
          <cell r="O78" t="str">
            <v>X</v>
          </cell>
          <cell r="P78" t="str">
            <v>-</v>
          </cell>
          <cell r="Q78">
            <v>780000</v>
          </cell>
          <cell r="R78">
            <v>19</v>
          </cell>
          <cell r="S78" t="str">
            <v>Non</v>
          </cell>
          <cell r="T78" t="str">
            <v>OCI</v>
          </cell>
          <cell r="U78" t="str">
            <v xml:space="preserve"> </v>
          </cell>
          <cell r="V78">
            <v>0</v>
          </cell>
        </row>
        <row r="79">
          <cell r="A79">
            <v>58823498</v>
          </cell>
          <cell r="B79">
            <v>46076.676828703705</v>
          </cell>
          <cell r="C79">
            <v>60072212</v>
          </cell>
          <cell r="D79">
            <v>46098.700682870367</v>
          </cell>
          <cell r="E79" t="str">
            <v>Prestataire : Travaux</v>
          </cell>
          <cell r="F79" t="str">
            <v>MUGEFCI</v>
          </cell>
          <cell r="G79">
            <v>708086472</v>
          </cell>
          <cell r="H79" t="str">
            <v>ABENGOUROU</v>
          </cell>
          <cell r="I79" t="str">
            <v>-</v>
          </cell>
          <cell r="J79" t="str">
            <v>BUVPN</v>
          </cell>
          <cell r="K79" t="str">
            <v>fo</v>
          </cell>
          <cell r="L79" t="str">
            <v>LS</v>
          </cell>
          <cell r="M79" t="str">
            <v>Nominale</v>
          </cell>
          <cell r="N79" t="str">
            <v>Offert</v>
          </cell>
          <cell r="O79" t="str">
            <v>XXXXXXXX</v>
          </cell>
          <cell r="P79" t="str">
            <v>-</v>
          </cell>
          <cell r="Q79" t="str">
            <v>-</v>
          </cell>
          <cell r="R79">
            <v>19</v>
          </cell>
          <cell r="S79" t="str">
            <v>Non</v>
          </cell>
          <cell r="T79" t="str">
            <v>OCI</v>
          </cell>
          <cell r="U79" t="str">
            <v xml:space="preserve"> </v>
          </cell>
          <cell r="V79">
            <v>0</v>
          </cell>
        </row>
        <row r="80">
          <cell r="A80">
            <v>58824101</v>
          </cell>
          <cell r="B80">
            <v>46076.679837962962</v>
          </cell>
          <cell r="C80">
            <v>60053793</v>
          </cell>
          <cell r="D80">
            <v>46098.576967592591</v>
          </cell>
          <cell r="E80" t="str">
            <v>Test et recette</v>
          </cell>
          <cell r="F80" t="str">
            <v>MUGEFCI</v>
          </cell>
          <cell r="G80">
            <v>708086472</v>
          </cell>
          <cell r="H80" t="str">
            <v>ABOISSO</v>
          </cell>
          <cell r="I80" t="str">
            <v>-</v>
          </cell>
          <cell r="J80" t="str">
            <v>BUVPN</v>
          </cell>
          <cell r="K80" t="str">
            <v>ftto</v>
          </cell>
          <cell r="L80" t="str">
            <v>LS</v>
          </cell>
          <cell r="M80" t="str">
            <v>Nominale</v>
          </cell>
          <cell r="N80" t="str">
            <v>Offert</v>
          </cell>
          <cell r="O80" t="str">
            <v>BUVPN260037</v>
          </cell>
          <cell r="P80" t="str">
            <v>-</v>
          </cell>
          <cell r="Q80">
            <v>543324</v>
          </cell>
          <cell r="R80">
            <v>19</v>
          </cell>
          <cell r="S80" t="str">
            <v>Non</v>
          </cell>
          <cell r="T80" t="e">
            <v>#N/A</v>
          </cell>
          <cell r="U80" t="str">
            <v xml:space="preserve"> </v>
          </cell>
          <cell r="V80">
            <v>0</v>
          </cell>
        </row>
        <row r="81">
          <cell r="A81">
            <v>58856498</v>
          </cell>
          <cell r="B81">
            <v>46077.418171296296</v>
          </cell>
          <cell r="C81">
            <v>60184731</v>
          </cell>
          <cell r="D81">
            <v>46100.579618055555</v>
          </cell>
          <cell r="E81" t="str">
            <v>Responsable Zone: Validation pour intervention</v>
          </cell>
          <cell r="F81" t="str">
            <v>OCI PCCI 2</v>
          </cell>
          <cell r="G81">
            <v>748377555</v>
          </cell>
          <cell r="H81" t="str">
            <v>ABIDJAN TREICHVILLE</v>
          </cell>
          <cell r="I81" t="str">
            <v>-</v>
          </cell>
          <cell r="J81" t="str">
            <v>BUVPN</v>
          </cell>
          <cell r="K81" t="str">
            <v>fo</v>
          </cell>
          <cell r="L81" t="str">
            <v>LS</v>
          </cell>
          <cell r="M81" t="str">
            <v>Backup</v>
          </cell>
          <cell r="N81" t="str">
            <v>Offert</v>
          </cell>
          <cell r="O81" t="str">
            <v>BUVPN250061</v>
          </cell>
          <cell r="P81" t="str">
            <v>-</v>
          </cell>
          <cell r="Q81" t="str">
            <v>-</v>
          </cell>
          <cell r="R81">
            <v>18</v>
          </cell>
          <cell r="S81" t="str">
            <v>non</v>
          </cell>
          <cell r="T81" t="str">
            <v>OCI</v>
          </cell>
          <cell r="U81" t="str">
            <v>Problème sur le contact client. Conctact partagé hier 05/03/2026 pour le Survy</v>
          </cell>
          <cell r="V81">
            <v>0</v>
          </cell>
        </row>
        <row r="82">
          <cell r="A82">
            <v>58856507</v>
          </cell>
          <cell r="B82">
            <v>46077.418194444443</v>
          </cell>
          <cell r="C82">
            <v>60197518</v>
          </cell>
          <cell r="D82">
            <v>46100.670127314814</v>
          </cell>
          <cell r="E82" t="str">
            <v>SIE : Mise en service GAIA</v>
          </cell>
          <cell r="F82" t="str">
            <v>OCI PCCI 2</v>
          </cell>
          <cell r="G82">
            <v>748377555</v>
          </cell>
          <cell r="H82" t="str">
            <v>ABIDJAN TREICHVILLE</v>
          </cell>
          <cell r="I82" t="str">
            <v>-</v>
          </cell>
          <cell r="J82" t="str">
            <v>BUVPN</v>
          </cell>
          <cell r="K82" t="str">
            <v>fo</v>
          </cell>
          <cell r="L82" t="str">
            <v>LS</v>
          </cell>
          <cell r="M82" t="str">
            <v>Principale (avec backup)</v>
          </cell>
          <cell r="N82" t="str">
            <v>Encours</v>
          </cell>
          <cell r="O82" t="str">
            <v>BUVPN250060</v>
          </cell>
          <cell r="P82" t="str">
            <v>-</v>
          </cell>
          <cell r="Q82">
            <v>5324000</v>
          </cell>
          <cell r="R82">
            <v>18</v>
          </cell>
          <cell r="S82" t="str">
            <v>non</v>
          </cell>
          <cell r="T82" t="str">
            <v>OCI</v>
          </cell>
          <cell r="U82" t="str">
            <v>Problème sur le contact client. Conctact partagé hier 05/03/2026 pour le Survy</v>
          </cell>
          <cell r="V82">
            <v>0</v>
          </cell>
        </row>
        <row r="83">
          <cell r="A83">
            <v>58860531</v>
          </cell>
          <cell r="B83">
            <v>46077.446631944447</v>
          </cell>
          <cell r="C83">
            <v>60107966</v>
          </cell>
          <cell r="D83">
            <v>46099.483101851853</v>
          </cell>
          <cell r="E83" t="str">
            <v>BBF : Validation Etude</v>
          </cell>
          <cell r="F83" t="str">
            <v>DEMANDE INTERNE FRANCHISE MANKONO</v>
          </cell>
          <cell r="G83">
            <v>748377555</v>
          </cell>
          <cell r="H83" t="str">
            <v>MONKONO</v>
          </cell>
          <cell r="I83" t="str">
            <v>-</v>
          </cell>
          <cell r="J83" t="str">
            <v>VPNLL</v>
          </cell>
          <cell r="K83" t="str">
            <v>fo</v>
          </cell>
          <cell r="L83" t="str">
            <v>LS</v>
          </cell>
          <cell r="M83" t="str">
            <v>Backup</v>
          </cell>
          <cell r="N83" t="str">
            <v>Offert</v>
          </cell>
          <cell r="O83" t="str">
            <v>XXXXXXXXXX</v>
          </cell>
          <cell r="P83" t="str">
            <v>-</v>
          </cell>
          <cell r="Q83" t="str">
            <v>-</v>
          </cell>
          <cell r="R83">
            <v>18</v>
          </cell>
          <cell r="S83" t="str">
            <v>non</v>
          </cell>
          <cell r="T83" t="str">
            <v>OCI</v>
          </cell>
          <cell r="U83" t="str">
            <v>Problème sur le contact client. Conctact partagé hier 05/03/2026 pour le Survy</v>
          </cell>
          <cell r="V83">
            <v>0</v>
          </cell>
        </row>
        <row r="84">
          <cell r="A84">
            <v>58860538</v>
          </cell>
          <cell r="B84">
            <v>46077.446666666663</v>
          </cell>
          <cell r="C84">
            <v>60021683</v>
          </cell>
          <cell r="D84">
            <v>46097.882523148146</v>
          </cell>
          <cell r="E84" t="str">
            <v>Prestataire : Travaux</v>
          </cell>
          <cell r="F84" t="str">
            <v>DEMANDE INTERNE FRANCHISE MANKONO</v>
          </cell>
          <cell r="G84">
            <v>748377555</v>
          </cell>
          <cell r="H84" t="str">
            <v>MONKONO</v>
          </cell>
          <cell r="I84" t="str">
            <v>-</v>
          </cell>
          <cell r="J84" t="str">
            <v>VPNLL</v>
          </cell>
          <cell r="K84" t="str">
            <v>fo</v>
          </cell>
          <cell r="L84" t="str">
            <v>LS</v>
          </cell>
          <cell r="M84" t="str">
            <v>Principale (avec backup)</v>
          </cell>
          <cell r="N84" t="str">
            <v>Offert</v>
          </cell>
          <cell r="O84" t="str">
            <v>XXXXXXXXXXXX</v>
          </cell>
          <cell r="P84" t="str">
            <v>-</v>
          </cell>
          <cell r="Q84">
            <v>5324000</v>
          </cell>
          <cell r="R84">
            <v>18</v>
          </cell>
          <cell r="S84" t="str">
            <v>non</v>
          </cell>
          <cell r="T84" t="str">
            <v>OCI</v>
          </cell>
          <cell r="U84" t="str">
            <v>Problème sur le contact client. Conctact partagé hier 05/03/2026 pour le Survy</v>
          </cell>
          <cell r="V84">
            <v>0</v>
          </cell>
        </row>
        <row r="85">
          <cell r="A85">
            <v>58862661</v>
          </cell>
          <cell r="B85">
            <v>46077.461805555555</v>
          </cell>
          <cell r="C85">
            <v>60042646</v>
          </cell>
          <cell r="D85">
            <v>46098.494629629633</v>
          </cell>
          <cell r="E85" t="str">
            <v>Travaux Suspendu</v>
          </cell>
          <cell r="F85" t="str">
            <v>OCI DEMANDE INTERNE LIEN PRIMAIRE FRANCHISE GUEYO</v>
          </cell>
          <cell r="G85">
            <v>748377555</v>
          </cell>
          <cell r="H85" t="str">
            <v>GAGNOA GUEYO (A LA FRANCHISE)</v>
          </cell>
          <cell r="I85" t="str">
            <v>-</v>
          </cell>
          <cell r="J85" t="str">
            <v>BUVPN</v>
          </cell>
          <cell r="K85" t="str">
            <v>fo</v>
          </cell>
          <cell r="L85" t="str">
            <v>LS</v>
          </cell>
          <cell r="M85" t="str">
            <v>Backup</v>
          </cell>
          <cell r="N85" t="str">
            <v>Offert</v>
          </cell>
          <cell r="O85" t="str">
            <v>XXXXXXXXXX</v>
          </cell>
          <cell r="P85" t="str">
            <v>-</v>
          </cell>
          <cell r="Q85" t="str">
            <v>-</v>
          </cell>
          <cell r="R85">
            <v>18</v>
          </cell>
          <cell r="S85" t="str">
            <v>non</v>
          </cell>
          <cell r="T85" t="str">
            <v>OCI</v>
          </cell>
          <cell r="U85" t="str">
            <v>Problème sur le contact client. Conctact partagé hier 05/03/2026 pour le Survy</v>
          </cell>
          <cell r="V85">
            <v>0</v>
          </cell>
        </row>
        <row r="86">
          <cell r="A86">
            <v>58862680</v>
          </cell>
          <cell r="B86">
            <v>46077.461828703701</v>
          </cell>
          <cell r="C86">
            <v>60043590</v>
          </cell>
          <cell r="D86">
            <v>46098.501527777778</v>
          </cell>
          <cell r="E86" t="str">
            <v>Travaux Suspendu</v>
          </cell>
          <cell r="F86" t="str">
            <v>OCI DEMANDE INTERNE LIEN PRIMAIRE FRANCHISE GUEYO</v>
          </cell>
          <cell r="G86">
            <v>748377555</v>
          </cell>
          <cell r="H86" t="str">
            <v>GAGNOA GUEYO (A LA FRANCHISE)</v>
          </cell>
          <cell r="I86" t="str">
            <v>-</v>
          </cell>
          <cell r="J86" t="str">
            <v>BUVPN</v>
          </cell>
          <cell r="K86" t="str">
            <v>fo</v>
          </cell>
          <cell r="L86" t="str">
            <v>LS</v>
          </cell>
          <cell r="M86" t="str">
            <v>Principale (avec backup)</v>
          </cell>
          <cell r="N86" t="str">
            <v>Offert</v>
          </cell>
          <cell r="O86" t="str">
            <v>XXXXXXXX</v>
          </cell>
          <cell r="P86" t="str">
            <v>-</v>
          </cell>
          <cell r="Q86">
            <v>5324000</v>
          </cell>
          <cell r="R86">
            <v>18</v>
          </cell>
          <cell r="S86" t="str">
            <v>non</v>
          </cell>
          <cell r="T86" t="str">
            <v>OCI</v>
          </cell>
          <cell r="U86" t="str">
            <v>Problème sur le contact client. Conctact partagé hier 05/03/2026 pour le Survy</v>
          </cell>
          <cell r="V86">
            <v>0</v>
          </cell>
        </row>
        <row r="87">
          <cell r="A87">
            <v>58868849</v>
          </cell>
          <cell r="B87">
            <v>46077.501203703701</v>
          </cell>
          <cell r="C87">
            <v>60054012</v>
          </cell>
          <cell r="D87">
            <v>46098.57880787037</v>
          </cell>
          <cell r="E87" t="str">
            <v>BBF : Validation Etude</v>
          </cell>
          <cell r="F87" t="str">
            <v>OCI</v>
          </cell>
          <cell r="G87">
            <v>748377555</v>
          </cell>
          <cell r="H87" t="str">
            <v>Franchise Gagnoa</v>
          </cell>
          <cell r="I87" t="str">
            <v>-</v>
          </cell>
          <cell r="J87" t="str">
            <v>BUVPN</v>
          </cell>
          <cell r="K87" t="str">
            <v>fo</v>
          </cell>
          <cell r="L87" t="str">
            <v>LS</v>
          </cell>
          <cell r="M87" t="str">
            <v>Backup</v>
          </cell>
          <cell r="N87" t="str">
            <v>Offert</v>
          </cell>
          <cell r="O87" t="str">
            <v>XXXXXXXXXXXXXXXX</v>
          </cell>
          <cell r="P87" t="str">
            <v>-</v>
          </cell>
          <cell r="Q87" t="str">
            <v>-</v>
          </cell>
          <cell r="R87">
            <v>18</v>
          </cell>
          <cell r="S87" t="str">
            <v>non</v>
          </cell>
          <cell r="T87" t="str">
            <v>OCI</v>
          </cell>
          <cell r="U87" t="str">
            <v>Problème sur le contact client. Conctact partagé hier 05/03/2026 pour le Survy</v>
          </cell>
          <cell r="V87">
            <v>0</v>
          </cell>
        </row>
        <row r="88">
          <cell r="A88">
            <v>58868860</v>
          </cell>
          <cell r="B88">
            <v>46077.501238425924</v>
          </cell>
          <cell r="C88">
            <v>60021730</v>
          </cell>
          <cell r="D88">
            <v>46097.887291666666</v>
          </cell>
          <cell r="E88" t="str">
            <v>Prestataire : Travaux</v>
          </cell>
          <cell r="F88" t="str">
            <v>OCI</v>
          </cell>
          <cell r="G88">
            <v>748377555</v>
          </cell>
          <cell r="H88" t="str">
            <v>Franchise Gagnoa</v>
          </cell>
          <cell r="I88" t="str">
            <v>-</v>
          </cell>
          <cell r="J88" t="str">
            <v>BUVPN</v>
          </cell>
          <cell r="K88" t="str">
            <v>fo</v>
          </cell>
          <cell r="L88" t="str">
            <v>LS</v>
          </cell>
          <cell r="M88" t="str">
            <v>Principale (avec backup)</v>
          </cell>
          <cell r="N88" t="str">
            <v>Offert</v>
          </cell>
          <cell r="O88" t="str">
            <v>XXXXXXXXXXX</v>
          </cell>
          <cell r="P88" t="str">
            <v>-</v>
          </cell>
          <cell r="Q88">
            <v>5324000</v>
          </cell>
          <cell r="R88">
            <v>18</v>
          </cell>
          <cell r="S88" t="str">
            <v>non</v>
          </cell>
          <cell r="T88" t="str">
            <v>OCI</v>
          </cell>
          <cell r="U88" t="str">
            <v>Problème sur le contact client. Conctact partagé hier 05/03/2026 pour le Survy</v>
          </cell>
          <cell r="V88">
            <v>0</v>
          </cell>
        </row>
        <row r="89">
          <cell r="A89">
            <v>58885251</v>
          </cell>
          <cell r="B89">
            <v>46077.63863425926</v>
          </cell>
          <cell r="C89">
            <v>60051322</v>
          </cell>
          <cell r="D89">
            <v>46098.556747685187</v>
          </cell>
          <cell r="E89" t="str">
            <v>BBF : Validation Etude</v>
          </cell>
          <cell r="F89" t="str">
            <v>OCI</v>
          </cell>
          <cell r="G89">
            <v>748377507</v>
          </cell>
          <cell r="H89" t="str">
            <v>Franchise PK18</v>
          </cell>
          <cell r="I89" t="str">
            <v>-</v>
          </cell>
          <cell r="J89" t="str">
            <v>BUVPN</v>
          </cell>
          <cell r="K89" t="str">
            <v>fo</v>
          </cell>
          <cell r="L89" t="str">
            <v>LS</v>
          </cell>
          <cell r="M89" t="str">
            <v>Backup</v>
          </cell>
          <cell r="N89" t="str">
            <v>Offert</v>
          </cell>
          <cell r="O89" t="str">
            <v>XXXXXXX</v>
          </cell>
          <cell r="P89" t="str">
            <v>-</v>
          </cell>
          <cell r="Q89" t="str">
            <v>-</v>
          </cell>
          <cell r="R89">
            <v>18</v>
          </cell>
          <cell r="S89" t="str">
            <v>non</v>
          </cell>
          <cell r="T89" t="str">
            <v>OCI</v>
          </cell>
          <cell r="U89" t="str">
            <v>Problème sur le contact client. Conctact partagé hier 05/03/2026 pour le Survy</v>
          </cell>
          <cell r="V89">
            <v>0</v>
          </cell>
        </row>
        <row r="90">
          <cell r="A90">
            <v>58885259</v>
          </cell>
          <cell r="B90">
            <v>46077.638657407406</v>
          </cell>
          <cell r="C90">
            <v>60051077</v>
          </cell>
          <cell r="D90">
            <v>46098.5544212963</v>
          </cell>
          <cell r="E90" t="str">
            <v>BBF : Validation Etude</v>
          </cell>
          <cell r="F90" t="str">
            <v>OCI</v>
          </cell>
          <cell r="G90">
            <v>748377507</v>
          </cell>
          <cell r="H90" t="str">
            <v>Franchise PK18</v>
          </cell>
          <cell r="I90" t="str">
            <v>-</v>
          </cell>
          <cell r="J90" t="str">
            <v>BUVPN</v>
          </cell>
          <cell r="K90" t="str">
            <v>fo</v>
          </cell>
          <cell r="L90" t="str">
            <v>LS</v>
          </cell>
          <cell r="M90" t="str">
            <v>Principale (avec backup)</v>
          </cell>
          <cell r="N90" t="str">
            <v>Offert</v>
          </cell>
          <cell r="O90" t="str">
            <v>XXXXXX</v>
          </cell>
          <cell r="P90" t="str">
            <v>-</v>
          </cell>
          <cell r="Q90">
            <v>5324000</v>
          </cell>
          <cell r="R90">
            <v>18</v>
          </cell>
          <cell r="S90" t="str">
            <v>non</v>
          </cell>
          <cell r="T90" t="str">
            <v>OCI</v>
          </cell>
          <cell r="U90" t="str">
            <v>Problème sur le contact client. Conctact partagé hier 05/03/2026 pour le Survy</v>
          </cell>
          <cell r="V90">
            <v>0</v>
          </cell>
        </row>
        <row r="91">
          <cell r="A91">
            <v>58889872</v>
          </cell>
          <cell r="B91">
            <v>46077.670567129629</v>
          </cell>
          <cell r="C91">
            <v>60053686</v>
          </cell>
          <cell r="D91">
            <v>46098.576157407406</v>
          </cell>
          <cell r="E91" t="str">
            <v>BBF : Validation Etude</v>
          </cell>
          <cell r="F91" t="str">
            <v>OCI</v>
          </cell>
          <cell r="G91">
            <v>748377555</v>
          </cell>
          <cell r="H91" t="str">
            <v>Franchise Daloa</v>
          </cell>
          <cell r="I91" t="str">
            <v>-</v>
          </cell>
          <cell r="J91" t="str">
            <v>BUVPN</v>
          </cell>
          <cell r="K91" t="str">
            <v>fo</v>
          </cell>
          <cell r="L91" t="str">
            <v>LS</v>
          </cell>
          <cell r="M91" t="str">
            <v>Backup</v>
          </cell>
          <cell r="N91" t="str">
            <v>Offert</v>
          </cell>
          <cell r="O91" t="str">
            <v>XXXXXXXXXXXX</v>
          </cell>
          <cell r="P91" t="str">
            <v>-</v>
          </cell>
          <cell r="Q91" t="str">
            <v>-</v>
          </cell>
          <cell r="R91">
            <v>18</v>
          </cell>
          <cell r="S91" t="str">
            <v>non</v>
          </cell>
          <cell r="T91" t="str">
            <v>OCI</v>
          </cell>
          <cell r="U91" t="str">
            <v>Problème sur le contact client. Conctact partagé hier 05/03/2026 pour le Survy</v>
          </cell>
          <cell r="V91">
            <v>0</v>
          </cell>
        </row>
        <row r="92">
          <cell r="A92">
            <v>58889883</v>
          </cell>
          <cell r="B92">
            <v>46077.670601851853</v>
          </cell>
          <cell r="C92">
            <v>60194565</v>
          </cell>
          <cell r="D92">
            <v>46100.647731481484</v>
          </cell>
          <cell r="E92" t="str">
            <v>BBF : Validation Etude</v>
          </cell>
          <cell r="F92" t="str">
            <v>OCI</v>
          </cell>
          <cell r="G92">
            <v>748377555</v>
          </cell>
          <cell r="H92" t="str">
            <v>Franchise Daloa</v>
          </cell>
          <cell r="I92" t="str">
            <v>-</v>
          </cell>
          <cell r="J92" t="str">
            <v>BUVPN</v>
          </cell>
          <cell r="K92" t="str">
            <v>fo</v>
          </cell>
          <cell r="L92" t="str">
            <v>LS</v>
          </cell>
          <cell r="M92" t="str">
            <v>Principale (avec backup)</v>
          </cell>
          <cell r="N92" t="str">
            <v>Offert</v>
          </cell>
          <cell r="O92" t="str">
            <v>XXXXXXXXXXX</v>
          </cell>
          <cell r="P92" t="str">
            <v>-</v>
          </cell>
          <cell r="Q92">
            <v>5324000</v>
          </cell>
          <cell r="R92">
            <v>18</v>
          </cell>
          <cell r="S92" t="str">
            <v>non</v>
          </cell>
          <cell r="T92" t="str">
            <v>OCI</v>
          </cell>
          <cell r="U92" t="str">
            <v>Problème sur le contact client. Conctact partagé hier 05/03/2026 pour le Survy</v>
          </cell>
          <cell r="V92">
            <v>0</v>
          </cell>
        </row>
        <row r="93">
          <cell r="A93">
            <v>58892468</v>
          </cell>
          <cell r="B93">
            <v>46077.688321759262</v>
          </cell>
          <cell r="C93">
            <v>60051961</v>
          </cell>
          <cell r="D93">
            <v>46098.562280092592</v>
          </cell>
          <cell r="E93" t="str">
            <v>BBF : Validation Etude</v>
          </cell>
          <cell r="F93" t="str">
            <v>OCI</v>
          </cell>
          <cell r="G93">
            <v>748377555</v>
          </cell>
          <cell r="H93" t="str">
            <v>Franchise Ayaman</v>
          </cell>
          <cell r="I93" t="str">
            <v>-</v>
          </cell>
          <cell r="J93" t="str">
            <v>BUVPN</v>
          </cell>
          <cell r="K93" t="str">
            <v>fo</v>
          </cell>
          <cell r="L93" t="str">
            <v>LS</v>
          </cell>
          <cell r="M93" t="str">
            <v>Backup</v>
          </cell>
          <cell r="N93" t="str">
            <v>Offert</v>
          </cell>
          <cell r="O93" t="str">
            <v>XXXXXXX</v>
          </cell>
          <cell r="P93" t="str">
            <v>-</v>
          </cell>
          <cell r="Q93" t="str">
            <v>-</v>
          </cell>
          <cell r="R93">
            <v>18</v>
          </cell>
          <cell r="S93" t="str">
            <v>non</v>
          </cell>
          <cell r="T93" t="str">
            <v>OCI</v>
          </cell>
          <cell r="U93" t="str">
            <v>Problème sur le contact client. Conctact partagé hier 05/03/2026 pour le Survy</v>
          </cell>
          <cell r="V93">
            <v>0</v>
          </cell>
        </row>
        <row r="94">
          <cell r="A94">
            <v>58892481</v>
          </cell>
          <cell r="B94">
            <v>46077.688344907408</v>
          </cell>
          <cell r="C94">
            <v>60107026</v>
          </cell>
          <cell r="D94">
            <v>46099.475300925929</v>
          </cell>
          <cell r="E94" t="str">
            <v>BBF : Validation Etude</v>
          </cell>
          <cell r="F94" t="str">
            <v>OCI</v>
          </cell>
          <cell r="G94">
            <v>748377555</v>
          </cell>
          <cell r="H94" t="str">
            <v>Franchise Ayaman</v>
          </cell>
          <cell r="I94" t="str">
            <v>-</v>
          </cell>
          <cell r="J94" t="str">
            <v>BUVPN</v>
          </cell>
          <cell r="K94" t="str">
            <v>fo</v>
          </cell>
          <cell r="L94" t="str">
            <v>LS</v>
          </cell>
          <cell r="M94" t="str">
            <v>Principale (avec backup)</v>
          </cell>
          <cell r="N94" t="str">
            <v>Offert</v>
          </cell>
          <cell r="O94" t="str">
            <v>xxxxxxx</v>
          </cell>
          <cell r="P94" t="str">
            <v>-</v>
          </cell>
          <cell r="Q94">
            <v>5324000</v>
          </cell>
          <cell r="R94">
            <v>18</v>
          </cell>
          <cell r="S94" t="str">
            <v>non</v>
          </cell>
          <cell r="T94" t="str">
            <v>OCI</v>
          </cell>
          <cell r="U94" t="str">
            <v>Problème sur le contact client. Conctact partagé hier 05/03/2026 pour le Survy</v>
          </cell>
          <cell r="V94">
            <v>0</v>
          </cell>
        </row>
        <row r="95">
          <cell r="A95">
            <v>58897521</v>
          </cell>
          <cell r="B95">
            <v>46077.724490740744</v>
          </cell>
          <cell r="C95">
            <v>60135897</v>
          </cell>
          <cell r="D95">
            <v>46099.698692129627</v>
          </cell>
          <cell r="E95" t="str">
            <v>Test et recette</v>
          </cell>
          <cell r="F95" t="str">
            <v>STANDARD CHARTERED BANK</v>
          </cell>
          <cell r="G95">
            <v>707966030</v>
          </cell>
          <cell r="H95" t="str">
            <v>GRAND-BASSAM//VOIE INCONNUE/VITIB</v>
          </cell>
          <cell r="I95">
            <v>1828806</v>
          </cell>
          <cell r="J95" t="str">
            <v>IP Connect LL</v>
          </cell>
          <cell r="K95" t="str">
            <v>ftto</v>
          </cell>
          <cell r="L95" t="str">
            <v>LS</v>
          </cell>
          <cell r="M95" t="str">
            <v>Nominale</v>
          </cell>
          <cell r="N95" t="str">
            <v>Offert</v>
          </cell>
          <cell r="O95" t="str">
            <v>BUVPN260044</v>
          </cell>
          <cell r="P95" t="str">
            <v>-</v>
          </cell>
          <cell r="Q95">
            <v>2400000</v>
          </cell>
          <cell r="R95">
            <v>18</v>
          </cell>
          <cell r="S95" t="str">
            <v>Non</v>
          </cell>
          <cell r="T95" t="e">
            <v>#N/A</v>
          </cell>
          <cell r="U95" t="str">
            <v xml:space="preserve"> </v>
          </cell>
          <cell r="V95">
            <v>0</v>
          </cell>
        </row>
        <row r="96">
          <cell r="A96">
            <v>58925987</v>
          </cell>
          <cell r="B96">
            <v>46078.434814814813</v>
          </cell>
          <cell r="C96">
            <v>60163873</v>
          </cell>
          <cell r="D96">
            <v>46100.423101851855</v>
          </cell>
          <cell r="E96" t="str">
            <v>Travaux Suspendu</v>
          </cell>
          <cell r="F96" t="str">
            <v>MAIRIE DE OUELLE</v>
          </cell>
          <cell r="G96">
            <v>708641473</v>
          </cell>
          <cell r="H96" t="str">
            <v>MAIRIE DE OUELLE</v>
          </cell>
          <cell r="I96" t="str">
            <v>-</v>
          </cell>
          <cell r="J96" t="str">
            <v>T0</v>
          </cell>
          <cell r="K96" t="str">
            <v>fo_virage</v>
          </cell>
          <cell r="L96" t="str">
            <v>numerique</v>
          </cell>
          <cell r="M96" t="str">
            <v>Nominale</v>
          </cell>
          <cell r="N96" t="str">
            <v>Offert</v>
          </cell>
          <cell r="O96" t="str">
            <v>XXXXXXXXXXXXX</v>
          </cell>
          <cell r="P96" t="str">
            <v>-</v>
          </cell>
          <cell r="Q96" t="str">
            <v>-</v>
          </cell>
          <cell r="R96">
            <v>17</v>
          </cell>
          <cell r="S96" t="str">
            <v>Non</v>
          </cell>
          <cell r="T96" t="str">
            <v>OCI</v>
          </cell>
          <cell r="U96" t="str">
            <v xml:space="preserve"> </v>
          </cell>
          <cell r="V96">
            <v>0</v>
          </cell>
        </row>
        <row r="97">
          <cell r="A97">
            <v>58951364</v>
          </cell>
          <cell r="B97">
            <v>46078.611458333333</v>
          </cell>
          <cell r="C97">
            <v>60196803</v>
          </cell>
          <cell r="D97">
            <v>46100.664918981478</v>
          </cell>
          <cell r="E97" t="str">
            <v>Saisie ASCOM</v>
          </cell>
          <cell r="F97" t="str">
            <v>BANQUE INTERNATIONALE POUR LE COMMERCE ET L'INDUSTRIE DE LA COTE D'IVOIRE</v>
          </cell>
          <cell r="G97">
            <v>709565662</v>
          </cell>
          <cell r="H97" t="str">
            <v>BASSAM</v>
          </cell>
          <cell r="I97" t="str">
            <v>-</v>
          </cell>
          <cell r="J97" t="str">
            <v>T2</v>
          </cell>
          <cell r="K97" t="str">
            <v>fo</v>
          </cell>
          <cell r="L97" t="str">
            <v>numerique</v>
          </cell>
          <cell r="M97" t="str">
            <v>Nominale</v>
          </cell>
          <cell r="N97" t="str">
            <v>Encours</v>
          </cell>
          <cell r="O97" t="str">
            <v>XXXXXXXXXXXX</v>
          </cell>
          <cell r="P97" t="str">
            <v>-</v>
          </cell>
          <cell r="Q97" t="str">
            <v>-</v>
          </cell>
          <cell r="R97">
            <v>17</v>
          </cell>
          <cell r="S97" t="str">
            <v>Non</v>
          </cell>
          <cell r="T97" t="e">
            <v>#N/A</v>
          </cell>
          <cell r="U97" t="str">
            <v xml:space="preserve"> </v>
          </cell>
          <cell r="V97">
            <v>0</v>
          </cell>
        </row>
        <row r="98">
          <cell r="A98">
            <v>58952151</v>
          </cell>
          <cell r="B98">
            <v>46078.615104166667</v>
          </cell>
          <cell r="C98">
            <v>59836232</v>
          </cell>
          <cell r="D98">
            <v>46093.73265046296</v>
          </cell>
          <cell r="E98" t="str">
            <v>Saisie ASCOM</v>
          </cell>
          <cell r="F98" t="str">
            <v>BANQUE INTERNATIONALE POUR LE COMMERCE ET L'INDUSTRIE DE LA COTE D'IVOIRE</v>
          </cell>
          <cell r="G98">
            <v>709565662</v>
          </cell>
          <cell r="H98" t="str">
            <v>BASSAM</v>
          </cell>
          <cell r="I98" t="str">
            <v>-</v>
          </cell>
          <cell r="J98" t="str">
            <v>T2</v>
          </cell>
          <cell r="K98" t="str">
            <v>fo</v>
          </cell>
          <cell r="L98" t="str">
            <v>numerique</v>
          </cell>
          <cell r="M98" t="str">
            <v>Nominale</v>
          </cell>
          <cell r="N98" t="str">
            <v>Encours</v>
          </cell>
          <cell r="O98" t="str">
            <v>XXXXXXXXXX</v>
          </cell>
          <cell r="P98" t="str">
            <v>-</v>
          </cell>
          <cell r="Q98" t="str">
            <v>-</v>
          </cell>
          <cell r="R98">
            <v>17</v>
          </cell>
          <cell r="S98" t="str">
            <v>Non</v>
          </cell>
          <cell r="T98" t="e">
            <v>#N/A</v>
          </cell>
          <cell r="U98" t="str">
            <v xml:space="preserve"> </v>
          </cell>
          <cell r="V98">
            <v>0</v>
          </cell>
        </row>
        <row r="99">
          <cell r="A99">
            <v>58959238</v>
          </cell>
          <cell r="B99">
            <v>46078.665532407409</v>
          </cell>
          <cell r="C99">
            <v>60163938</v>
          </cell>
          <cell r="D99">
            <v>46100.423773148148</v>
          </cell>
          <cell r="E99" t="str">
            <v>Travaux Suspendu</v>
          </cell>
          <cell r="F99" t="str">
            <v>MAIRIE DE OUELLE</v>
          </cell>
          <cell r="G99">
            <v>708641473</v>
          </cell>
          <cell r="H99" t="str">
            <v>OUELLE QT MAIRIE</v>
          </cell>
          <cell r="I99" t="str">
            <v>-</v>
          </cell>
          <cell r="J99" t="str">
            <v>SYTRAN</v>
          </cell>
          <cell r="K99" t="str">
            <v>fo</v>
          </cell>
          <cell r="L99" t="str">
            <v>LSI</v>
          </cell>
          <cell r="M99" t="str">
            <v>Nominale</v>
          </cell>
          <cell r="N99" t="str">
            <v>Offert</v>
          </cell>
          <cell r="O99" t="str">
            <v>XXXXXX</v>
          </cell>
          <cell r="P99" t="str">
            <v>-</v>
          </cell>
          <cell r="Q99">
            <v>850000</v>
          </cell>
          <cell r="R99">
            <v>17</v>
          </cell>
          <cell r="S99" t="str">
            <v>Non</v>
          </cell>
          <cell r="T99" t="str">
            <v>OCI</v>
          </cell>
          <cell r="U99" t="str">
            <v xml:space="preserve"> </v>
          </cell>
          <cell r="V99">
            <v>0</v>
          </cell>
        </row>
        <row r="100">
          <cell r="A100">
            <v>58963630</v>
          </cell>
          <cell r="B100">
            <v>46078.697002314817</v>
          </cell>
          <cell r="C100">
            <v>60167087</v>
          </cell>
          <cell r="D100">
            <v>46100.449837962966</v>
          </cell>
          <cell r="E100" t="str">
            <v>Travaux Suspendu</v>
          </cell>
          <cell r="F100" t="str">
            <v>AGL</v>
          </cell>
          <cell r="G100">
            <v>747726344</v>
          </cell>
          <cell r="H100" t="str">
            <v>TREICHVILLE ZONE 3 EN FACE DE CFAO</v>
          </cell>
          <cell r="I100" t="str">
            <v>-</v>
          </cell>
          <cell r="J100" t="str">
            <v>SYTRAN</v>
          </cell>
          <cell r="K100" t="str">
            <v>fo</v>
          </cell>
          <cell r="L100" t="str">
            <v>LSI</v>
          </cell>
          <cell r="M100" t="str">
            <v>Backup</v>
          </cell>
          <cell r="N100" t="str">
            <v>Offert</v>
          </cell>
          <cell r="O100" t="str">
            <v>XXXXX</v>
          </cell>
          <cell r="P100" t="str">
            <v>-</v>
          </cell>
          <cell r="Q100" t="str">
            <v>-</v>
          </cell>
          <cell r="R100">
            <v>17</v>
          </cell>
          <cell r="S100" t="str">
            <v>Non</v>
          </cell>
          <cell r="T100" t="e">
            <v>#N/A</v>
          </cell>
          <cell r="U100" t="str">
            <v xml:space="preserve"> </v>
          </cell>
          <cell r="V100">
            <v>0</v>
          </cell>
        </row>
        <row r="101">
          <cell r="A101">
            <v>58963646</v>
          </cell>
          <cell r="B101">
            <v>46078.697048611109</v>
          </cell>
          <cell r="C101">
            <v>60185453</v>
          </cell>
          <cell r="D101">
            <v>46100.586238425924</v>
          </cell>
          <cell r="E101" t="str">
            <v>Travaux Suspendu</v>
          </cell>
          <cell r="F101" t="str">
            <v>AGL</v>
          </cell>
          <cell r="G101">
            <v>747726344</v>
          </cell>
          <cell r="H101" t="str">
            <v>TREICHVILLE ZONE 3 EN FACE DE CFAO</v>
          </cell>
          <cell r="I101" t="str">
            <v>-</v>
          </cell>
          <cell r="J101" t="str">
            <v>SYTRAN</v>
          </cell>
          <cell r="K101" t="str">
            <v>fo</v>
          </cell>
          <cell r="L101" t="str">
            <v>LSI</v>
          </cell>
          <cell r="M101" t="str">
            <v>Principale (avec backup)</v>
          </cell>
          <cell r="N101" t="str">
            <v>Offert</v>
          </cell>
          <cell r="O101" t="str">
            <v>XXXXXX</v>
          </cell>
          <cell r="P101" t="str">
            <v>-</v>
          </cell>
          <cell r="Q101">
            <v>0</v>
          </cell>
          <cell r="R101">
            <v>17</v>
          </cell>
          <cell r="S101" t="str">
            <v>Non</v>
          </cell>
          <cell r="T101" t="e">
            <v>#N/A</v>
          </cell>
          <cell r="U101" t="str">
            <v xml:space="preserve"> </v>
          </cell>
          <cell r="V101">
            <v>0</v>
          </cell>
        </row>
        <row r="102">
          <cell r="A102">
            <v>59027644</v>
          </cell>
          <cell r="B102">
            <v>46079.69427083333</v>
          </cell>
          <cell r="C102">
            <v>60198153</v>
          </cell>
          <cell r="D102">
            <v>46100.676203703704</v>
          </cell>
          <cell r="E102" t="str">
            <v>BO Homologation: Mise en service GAIA</v>
          </cell>
          <cell r="F102" t="str">
            <v>PRIMORIS</v>
          </cell>
          <cell r="G102">
            <v>747111735</v>
          </cell>
          <cell r="H102" t="str">
            <v>ABIDJAN-YOPOUGON//VOIE INCONNUE/ZONE INDUSTRIELLE</v>
          </cell>
          <cell r="I102">
            <v>1833216</v>
          </cell>
          <cell r="J102" t="str">
            <v>LIAISON SPECIALISEE</v>
          </cell>
          <cell r="K102" t="str">
            <v>ftto</v>
          </cell>
          <cell r="L102" t="str">
            <v>LSI</v>
          </cell>
          <cell r="M102" t="str">
            <v>Nominale</v>
          </cell>
          <cell r="N102" t="str">
            <v>Encours</v>
          </cell>
          <cell r="O102" t="str">
            <v>SYTHD260073</v>
          </cell>
          <cell r="P102" t="str">
            <v>-</v>
          </cell>
          <cell r="Q102">
            <v>1500000</v>
          </cell>
          <cell r="R102">
            <v>16</v>
          </cell>
          <cell r="S102" t="str">
            <v>Non</v>
          </cell>
          <cell r="T102" t="e">
            <v>#N/A</v>
          </cell>
          <cell r="U102" t="str">
            <v xml:space="preserve"> </v>
          </cell>
          <cell r="V102">
            <v>0</v>
          </cell>
        </row>
        <row r="103">
          <cell r="A103">
            <v>59248227</v>
          </cell>
          <cell r="B103">
            <v>46083.789641203701</v>
          </cell>
          <cell r="C103">
            <v>60031670</v>
          </cell>
          <cell r="D103">
            <v>46098.408229166664</v>
          </cell>
          <cell r="E103" t="str">
            <v>Cordonnateur Prestatataire: Affectation Technicien</v>
          </cell>
          <cell r="F103" t="str">
            <v>FOUAD GROUPE</v>
          </cell>
          <cell r="G103">
            <v>707478577</v>
          </cell>
          <cell r="H103" t="str">
            <v>MARCORY ZONE 4</v>
          </cell>
          <cell r="I103" t="str">
            <v>-</v>
          </cell>
          <cell r="J103" t="str">
            <v>SYTRAN</v>
          </cell>
          <cell r="K103" t="str">
            <v>ftto</v>
          </cell>
          <cell r="L103" t="str">
            <v>LSI</v>
          </cell>
          <cell r="M103" t="str">
            <v>Nominale</v>
          </cell>
          <cell r="N103" t="str">
            <v>Encours</v>
          </cell>
          <cell r="O103" t="str">
            <v>SYTHD260076</v>
          </cell>
          <cell r="P103" t="str">
            <v>-</v>
          </cell>
          <cell r="Q103">
            <v>800000</v>
          </cell>
          <cell r="R103">
            <v>14</v>
          </cell>
          <cell r="S103" t="str">
            <v>Non</v>
          </cell>
          <cell r="T103" t="e">
            <v>#N/A</v>
          </cell>
          <cell r="U103" t="str">
            <v xml:space="preserve"> </v>
          </cell>
          <cell r="V103">
            <v>0</v>
          </cell>
        </row>
        <row r="104">
          <cell r="A104">
            <v>59278285</v>
          </cell>
          <cell r="B104">
            <v>46084.516597222224</v>
          </cell>
          <cell r="C104">
            <v>60042845</v>
          </cell>
          <cell r="D104">
            <v>46098.495370370372</v>
          </cell>
          <cell r="E104" t="str">
            <v>Cordonnateur Prestatataire: Affectation Technicien</v>
          </cell>
          <cell r="F104" t="str">
            <v>BGFI SERVICE SIMAO</v>
          </cell>
          <cell r="G104">
            <v>759651079</v>
          </cell>
          <cell r="H104" t="str">
            <v>COCODY VALON</v>
          </cell>
          <cell r="I104" t="str">
            <v>-</v>
          </cell>
          <cell r="J104" t="str">
            <v>BUVPN</v>
          </cell>
          <cell r="K104" t="str">
            <v>ftto</v>
          </cell>
          <cell r="L104" t="str">
            <v>LS</v>
          </cell>
          <cell r="M104" t="str">
            <v>Nominale</v>
          </cell>
          <cell r="N104" t="str">
            <v>Encours</v>
          </cell>
          <cell r="O104" t="str">
            <v>BUVPN260055</v>
          </cell>
          <cell r="P104" t="str">
            <v>-</v>
          </cell>
          <cell r="Q104">
            <v>500000</v>
          </cell>
          <cell r="R104">
            <v>13</v>
          </cell>
          <cell r="S104" t="str">
            <v>Non</v>
          </cell>
          <cell r="T104" t="e">
            <v>#N/A</v>
          </cell>
          <cell r="U104" t="str">
            <v xml:space="preserve"> </v>
          </cell>
          <cell r="V104">
            <v>0</v>
          </cell>
        </row>
        <row r="105">
          <cell r="A105">
            <v>59278925</v>
          </cell>
          <cell r="B105">
            <v>46084.521053240744</v>
          </cell>
          <cell r="C105">
            <v>60110317</v>
          </cell>
          <cell r="D105">
            <v>46099.500092592592</v>
          </cell>
          <cell r="E105" t="str">
            <v>Cordonnateur Prestatataire: Affectation Technicien</v>
          </cell>
          <cell r="F105" t="str">
            <v>BGFI SERVICE SIMAO</v>
          </cell>
          <cell r="G105">
            <v>759651079</v>
          </cell>
          <cell r="H105" t="str">
            <v>MARCORY</v>
          </cell>
          <cell r="I105" t="str">
            <v>-</v>
          </cell>
          <cell r="J105" t="str">
            <v>BUVPN</v>
          </cell>
          <cell r="K105" t="str">
            <v>ftto</v>
          </cell>
          <cell r="L105" t="str">
            <v>LS</v>
          </cell>
          <cell r="M105" t="str">
            <v>Nominale</v>
          </cell>
          <cell r="N105" t="str">
            <v>Encours</v>
          </cell>
          <cell r="O105" t="str">
            <v>BUVPN260056</v>
          </cell>
          <cell r="P105" t="str">
            <v>-</v>
          </cell>
          <cell r="Q105">
            <v>500000</v>
          </cell>
          <cell r="R105">
            <v>13</v>
          </cell>
          <cell r="S105" t="str">
            <v>Non</v>
          </cell>
          <cell r="T105" t="e">
            <v>#N/A</v>
          </cell>
          <cell r="U105" t="str">
            <v xml:space="preserve"> </v>
          </cell>
          <cell r="V105">
            <v>0</v>
          </cell>
        </row>
        <row r="106">
          <cell r="A106">
            <v>59300338</v>
          </cell>
          <cell r="B106">
            <v>46084.687997685185</v>
          </cell>
          <cell r="C106">
            <v>60194598</v>
          </cell>
          <cell r="D106">
            <v>46100.648078703707</v>
          </cell>
          <cell r="E106" t="str">
            <v>Support IP: Correction</v>
          </cell>
          <cell r="F106" t="str">
            <v>DIRECTION GENERALE DES DOUANES</v>
          </cell>
          <cell r="G106">
            <v>545254325</v>
          </cell>
          <cell r="H106" t="str">
            <v>TROPICALE TRANSIT SITE TREICHVILLE IMMEUBLE EN FACR DE SOGELUX</v>
          </cell>
          <cell r="I106" t="str">
            <v>-</v>
          </cell>
          <cell r="J106" t="str">
            <v>BUVPN</v>
          </cell>
          <cell r="K106" t="str">
            <v>fo</v>
          </cell>
          <cell r="L106" t="str">
            <v>LS</v>
          </cell>
          <cell r="M106" t="str">
            <v>Nominale</v>
          </cell>
          <cell r="N106" t="str">
            <v>Offert</v>
          </cell>
          <cell r="O106" t="str">
            <v>XXXXXXXXXXXX</v>
          </cell>
          <cell r="P106" t="str">
            <v>-</v>
          </cell>
          <cell r="Q106">
            <v>2000000</v>
          </cell>
          <cell r="R106">
            <v>13</v>
          </cell>
          <cell r="S106" t="str">
            <v>Non</v>
          </cell>
          <cell r="T106" t="e">
            <v>#N/A</v>
          </cell>
          <cell r="U106" t="str">
            <v xml:space="preserve"> </v>
          </cell>
          <cell r="V106">
            <v>0</v>
          </cell>
        </row>
        <row r="107">
          <cell r="A107">
            <v>59301114</v>
          </cell>
          <cell r="B107">
            <v>46084.692615740743</v>
          </cell>
          <cell r="C107">
            <v>60197211</v>
          </cell>
          <cell r="D107">
            <v>46100.666875000003</v>
          </cell>
          <cell r="E107" t="str">
            <v>Saisie ASCOM</v>
          </cell>
          <cell r="F107" t="str">
            <v>DIRECTION GENERALE DES DOUANES</v>
          </cell>
          <cell r="G107">
            <v>788872393</v>
          </cell>
          <cell r="H107" t="str">
            <v>FAMAN TRANSIT SITE TREICHVILLE EN FACE DE SOLIBRA SUR VGE</v>
          </cell>
          <cell r="I107" t="str">
            <v>-</v>
          </cell>
          <cell r="J107" t="str">
            <v>BUVPN</v>
          </cell>
          <cell r="K107" t="str">
            <v>fo</v>
          </cell>
          <cell r="L107" t="str">
            <v>LS</v>
          </cell>
          <cell r="M107" t="str">
            <v>Nominale</v>
          </cell>
          <cell r="N107" t="str">
            <v>Encours</v>
          </cell>
          <cell r="O107" t="str">
            <v>XXXXXXXXXXXX</v>
          </cell>
          <cell r="P107" t="str">
            <v>-</v>
          </cell>
          <cell r="Q107">
            <v>2000000</v>
          </cell>
          <cell r="R107">
            <v>13</v>
          </cell>
          <cell r="S107" t="str">
            <v>Non</v>
          </cell>
          <cell r="T107" t="e">
            <v>#N/A</v>
          </cell>
          <cell r="U107" t="str">
            <v xml:space="preserve"> </v>
          </cell>
          <cell r="V107">
            <v>0</v>
          </cell>
        </row>
        <row r="108">
          <cell r="A108">
            <v>59301554</v>
          </cell>
          <cell r="B108">
            <v>46084.695763888885</v>
          </cell>
          <cell r="C108">
            <v>60163155</v>
          </cell>
          <cell r="D108">
            <v>46100.417083333334</v>
          </cell>
          <cell r="E108" t="str">
            <v>Responsable Zone: Coordination etude et travaux</v>
          </cell>
          <cell r="F108" t="str">
            <v>DIRECTION GENERALE DES DOUANES</v>
          </cell>
          <cell r="G108">
            <v>777654212</v>
          </cell>
          <cell r="H108" t="str">
            <v>HANNYYAH TRANSIT SITE TREICHVILLE VERS NOTRE DAME</v>
          </cell>
          <cell r="I108" t="str">
            <v>-</v>
          </cell>
          <cell r="J108" t="str">
            <v>BUVPN</v>
          </cell>
          <cell r="K108" t="str">
            <v>fo</v>
          </cell>
          <cell r="L108" t="str">
            <v>LS</v>
          </cell>
          <cell r="M108" t="str">
            <v>Nominale</v>
          </cell>
          <cell r="N108" t="str">
            <v>Offert</v>
          </cell>
          <cell r="O108" t="str">
            <v>XXXXXXXXXXXXXX</v>
          </cell>
          <cell r="P108" t="str">
            <v>-</v>
          </cell>
          <cell r="Q108">
            <v>2000000</v>
          </cell>
          <cell r="R108">
            <v>13</v>
          </cell>
          <cell r="S108" t="str">
            <v>Non</v>
          </cell>
          <cell r="T108" t="e">
            <v>#N/A</v>
          </cell>
          <cell r="U108" t="str">
            <v xml:space="preserve"> </v>
          </cell>
          <cell r="V108">
            <v>0</v>
          </cell>
        </row>
        <row r="109">
          <cell r="A109">
            <v>59308240</v>
          </cell>
          <cell r="B109">
            <v>46084.755844907406</v>
          </cell>
          <cell r="C109">
            <v>60195577</v>
          </cell>
          <cell r="D109">
            <v>46100.654699074075</v>
          </cell>
          <cell r="E109" t="str">
            <v>BBF : Validation Etude</v>
          </cell>
          <cell r="F109" t="str">
            <v>DOUANES</v>
          </cell>
          <cell r="G109">
            <v>707865499</v>
          </cell>
          <cell r="H109" t="str">
            <v>TREICHVILLE</v>
          </cell>
          <cell r="I109" t="str">
            <v>-</v>
          </cell>
          <cell r="J109" t="str">
            <v>BUVPN</v>
          </cell>
          <cell r="K109" t="str">
            <v>fo</v>
          </cell>
          <cell r="L109" t="str">
            <v>LS</v>
          </cell>
          <cell r="M109" t="str">
            <v>Nominale</v>
          </cell>
          <cell r="N109" t="str">
            <v>Offert</v>
          </cell>
          <cell r="O109" t="str">
            <v>XXXXXXXXXX</v>
          </cell>
          <cell r="P109" t="str">
            <v>-</v>
          </cell>
          <cell r="Q109">
            <v>2000000</v>
          </cell>
          <cell r="R109">
            <v>13</v>
          </cell>
          <cell r="S109" t="str">
            <v>Non</v>
          </cell>
          <cell r="T109" t="str">
            <v xml:space="preserve">CLIENT </v>
          </cell>
          <cell r="U109" t="str">
            <v xml:space="preserve"> </v>
          </cell>
          <cell r="V109">
            <v>0</v>
          </cell>
        </row>
        <row r="110">
          <cell r="A110">
            <v>59309764</v>
          </cell>
          <cell r="B110">
            <v>46084.777083333334</v>
          </cell>
          <cell r="C110">
            <v>60021725</v>
          </cell>
          <cell r="D110">
            <v>46097.886493055557</v>
          </cell>
          <cell r="E110" t="str">
            <v>Prestataire : Travaux</v>
          </cell>
          <cell r="F110" t="str">
            <v>DOUANES</v>
          </cell>
          <cell r="G110">
            <v>708164102</v>
          </cell>
          <cell r="H110" t="str">
            <v>TREICHVILLE, ZONE PORTUAIRE RUE DES MARSOUINS</v>
          </cell>
          <cell r="I110" t="str">
            <v>-</v>
          </cell>
          <cell r="J110" t="str">
            <v>BUVPN</v>
          </cell>
          <cell r="K110" t="str">
            <v>fo</v>
          </cell>
          <cell r="L110" t="str">
            <v>LS</v>
          </cell>
          <cell r="M110" t="str">
            <v>Nominale</v>
          </cell>
          <cell r="N110" t="str">
            <v>Offert</v>
          </cell>
          <cell r="O110" t="str">
            <v>XXXXXXXXXXXXXX</v>
          </cell>
          <cell r="P110" t="str">
            <v>-</v>
          </cell>
          <cell r="Q110">
            <v>2000000</v>
          </cell>
          <cell r="R110">
            <v>13</v>
          </cell>
          <cell r="S110" t="str">
            <v>Non</v>
          </cell>
          <cell r="T110" t="e">
            <v>#N/A</v>
          </cell>
          <cell r="U110" t="str">
            <v xml:space="preserve"> </v>
          </cell>
          <cell r="V110">
            <v>0</v>
          </cell>
        </row>
        <row r="111">
          <cell r="A111">
            <v>59312351</v>
          </cell>
          <cell r="B111">
            <v>46084.824178240742</v>
          </cell>
          <cell r="C111">
            <v>60192773</v>
          </cell>
          <cell r="D111">
            <v>46100.638124999998</v>
          </cell>
          <cell r="E111" t="str">
            <v>__expression_step_173_</v>
          </cell>
          <cell r="F111" t="str">
            <v>ARTCI</v>
          </cell>
          <cell r="G111">
            <v>749928277</v>
          </cell>
          <cell r="H111" t="str">
            <v>MARCORY</v>
          </cell>
          <cell r="I111" t="str">
            <v>-</v>
          </cell>
          <cell r="J111" t="str">
            <v>T0</v>
          </cell>
          <cell r="K111" t="str">
            <v>fo_virage</v>
          </cell>
          <cell r="L111" t="str">
            <v>numerique</v>
          </cell>
          <cell r="M111" t="str">
            <v>Nominale</v>
          </cell>
          <cell r="N111" t="str">
            <v>Encours</v>
          </cell>
          <cell r="O111">
            <v>2721252525</v>
          </cell>
          <cell r="P111" t="str">
            <v>-</v>
          </cell>
          <cell r="Q111" t="str">
            <v>-</v>
          </cell>
          <cell r="R111">
            <v>13</v>
          </cell>
          <cell r="S111" t="str">
            <v>Non</v>
          </cell>
          <cell r="T111" t="e">
            <v>#N/A</v>
          </cell>
          <cell r="U111" t="str">
            <v xml:space="preserve"> </v>
          </cell>
          <cell r="V111">
            <v>0</v>
          </cell>
        </row>
        <row r="112">
          <cell r="A112">
            <v>59374776</v>
          </cell>
          <cell r="B112">
            <v>46085.757662037038</v>
          </cell>
          <cell r="C112">
            <v>60185369</v>
          </cell>
          <cell r="D112">
            <v>46100.585393518515</v>
          </cell>
          <cell r="E112" t="str">
            <v>Travaux Suspendu</v>
          </cell>
          <cell r="F112" t="str">
            <v>AFRICA GLOBAL LOGISTICS ( AGL )</v>
          </cell>
          <cell r="G112">
            <v>747726344</v>
          </cell>
          <cell r="H112" t="str">
            <v>ABIDJAN-TREICHVILLE ZONE 3 EN FACE DE CFA NOUVEAU BATIMENT MSC</v>
          </cell>
          <cell r="I112" t="str">
            <v>-</v>
          </cell>
          <cell r="J112" t="str">
            <v>SYTRAN</v>
          </cell>
          <cell r="K112" t="str">
            <v>fo</v>
          </cell>
          <cell r="L112" t="str">
            <v>LSI</v>
          </cell>
          <cell r="M112" t="str">
            <v>Backup</v>
          </cell>
          <cell r="N112" t="str">
            <v>Offert</v>
          </cell>
          <cell r="O112" t="str">
            <v>XXXXXXXXXXXXX</v>
          </cell>
          <cell r="P112" t="str">
            <v>-</v>
          </cell>
          <cell r="Q112" t="str">
            <v>-</v>
          </cell>
          <cell r="R112">
            <v>12</v>
          </cell>
          <cell r="S112" t="str">
            <v>Non</v>
          </cell>
          <cell r="T112" t="e">
            <v>#N/A</v>
          </cell>
          <cell r="U112" t="str">
            <v xml:space="preserve"> </v>
          </cell>
          <cell r="V112">
            <v>0</v>
          </cell>
        </row>
        <row r="113">
          <cell r="A113">
            <v>59406146</v>
          </cell>
          <cell r="B113">
            <v>46086.506643518522</v>
          </cell>
          <cell r="C113">
            <v>59426353</v>
          </cell>
          <cell r="D113">
            <v>46086.658784722225</v>
          </cell>
          <cell r="E113" t="str">
            <v>Prestataire : Etude</v>
          </cell>
          <cell r="F113" t="str">
            <v>UBA</v>
          </cell>
          <cell r="G113">
            <v>709136702</v>
          </cell>
          <cell r="H113" t="str">
            <v>PLATEAU</v>
          </cell>
          <cell r="I113">
            <v>1843656</v>
          </cell>
          <cell r="J113" t="str">
            <v>T2</v>
          </cell>
          <cell r="K113" t="str">
            <v>fo</v>
          </cell>
          <cell r="L113" t="str">
            <v>numerique</v>
          </cell>
          <cell r="M113" t="str">
            <v>Nominale</v>
          </cell>
          <cell r="N113" t="str">
            <v>Offert</v>
          </cell>
          <cell r="O113" t="str">
            <v>-</v>
          </cell>
          <cell r="P113" t="str">
            <v>-</v>
          </cell>
          <cell r="Q113">
            <v>0</v>
          </cell>
          <cell r="R113">
            <v>11</v>
          </cell>
          <cell r="S113" t="str">
            <v>Non</v>
          </cell>
          <cell r="T113" t="e">
            <v>#N/A</v>
          </cell>
          <cell r="U113" t="str">
            <v xml:space="preserve"> </v>
          </cell>
          <cell r="V113">
            <v>0</v>
          </cell>
        </row>
        <row r="114">
          <cell r="A114">
            <v>59406937</v>
          </cell>
          <cell r="B114">
            <v>46086.512870370374</v>
          </cell>
          <cell r="C114">
            <v>59428327</v>
          </cell>
          <cell r="D114">
            <v>46086.673530092594</v>
          </cell>
          <cell r="E114" t="str">
            <v>Prestataire : Etude</v>
          </cell>
          <cell r="F114" t="str">
            <v>ORABANK</v>
          </cell>
          <cell r="G114">
            <v>709136702</v>
          </cell>
          <cell r="H114" t="str">
            <v>PLATEAU</v>
          </cell>
          <cell r="I114">
            <v>1843676</v>
          </cell>
          <cell r="J114" t="str">
            <v>T2</v>
          </cell>
          <cell r="K114" t="str">
            <v>fo</v>
          </cell>
          <cell r="L114" t="str">
            <v>numerique</v>
          </cell>
          <cell r="M114" t="str">
            <v>Nominale</v>
          </cell>
          <cell r="N114" t="str">
            <v>Offert</v>
          </cell>
          <cell r="O114" t="str">
            <v>-</v>
          </cell>
          <cell r="P114" t="str">
            <v>-</v>
          </cell>
          <cell r="Q114">
            <v>0</v>
          </cell>
          <cell r="R114">
            <v>11</v>
          </cell>
          <cell r="S114" t="str">
            <v>Non</v>
          </cell>
          <cell r="T114" t="e">
            <v>#N/A</v>
          </cell>
          <cell r="U114" t="str">
            <v xml:space="preserve"> </v>
          </cell>
          <cell r="V114">
            <v>0</v>
          </cell>
        </row>
        <row r="115">
          <cell r="A115">
            <v>59409078</v>
          </cell>
          <cell r="B115">
            <v>46086.529247685183</v>
          </cell>
          <cell r="C115">
            <v>59427283</v>
          </cell>
          <cell r="D115">
            <v>46086.665729166663</v>
          </cell>
          <cell r="E115" t="str">
            <v>Prestataire : Etude</v>
          </cell>
          <cell r="F115" t="str">
            <v>STE BNI</v>
          </cell>
          <cell r="G115">
            <v>709140938</v>
          </cell>
          <cell r="H115" t="str">
            <v>PLATEAU</v>
          </cell>
          <cell r="I115">
            <v>0</v>
          </cell>
          <cell r="J115" t="str">
            <v>T2</v>
          </cell>
          <cell r="K115" t="str">
            <v>fo_virage</v>
          </cell>
          <cell r="L115" t="str">
            <v>numerique</v>
          </cell>
          <cell r="M115" t="str">
            <v>Backup</v>
          </cell>
          <cell r="N115" t="str">
            <v>Offert</v>
          </cell>
          <cell r="O115" t="str">
            <v>-</v>
          </cell>
          <cell r="P115" t="str">
            <v>-</v>
          </cell>
          <cell r="Q115" t="str">
            <v>-</v>
          </cell>
          <cell r="R115">
            <v>11</v>
          </cell>
          <cell r="S115" t="str">
            <v>Non</v>
          </cell>
          <cell r="T115" t="e">
            <v>#N/A</v>
          </cell>
          <cell r="U115" t="str">
            <v xml:space="preserve"> </v>
          </cell>
          <cell r="V115">
            <v>0</v>
          </cell>
        </row>
        <row r="116">
          <cell r="A116">
            <v>59409752</v>
          </cell>
          <cell r="B116">
            <v>46086.534502314818</v>
          </cell>
          <cell r="C116">
            <v>59429000</v>
          </cell>
          <cell r="D116">
            <v>46086.676817129628</v>
          </cell>
          <cell r="E116" t="str">
            <v>Prestataire : Etude</v>
          </cell>
          <cell r="F116" t="str">
            <v>AIR COTE D’IVOIRE</v>
          </cell>
          <cell r="G116">
            <v>758700193</v>
          </cell>
          <cell r="H116" t="str">
            <v>PLATEAU</v>
          </cell>
          <cell r="I116">
            <v>0</v>
          </cell>
          <cell r="J116" t="str">
            <v>T2</v>
          </cell>
          <cell r="K116" t="str">
            <v>fo_virage</v>
          </cell>
          <cell r="L116" t="str">
            <v>numerique</v>
          </cell>
          <cell r="M116" t="str">
            <v>Nominale</v>
          </cell>
          <cell r="N116" t="str">
            <v>Offert</v>
          </cell>
          <cell r="O116" t="str">
            <v>-</v>
          </cell>
          <cell r="P116" t="str">
            <v>-</v>
          </cell>
          <cell r="Q116" t="str">
            <v>-</v>
          </cell>
          <cell r="R116">
            <v>11</v>
          </cell>
          <cell r="S116" t="str">
            <v>Non</v>
          </cell>
          <cell r="T116" t="e">
            <v>#N/A</v>
          </cell>
          <cell r="U116" t="str">
            <v xml:space="preserve"> </v>
          </cell>
          <cell r="V116">
            <v>0</v>
          </cell>
        </row>
        <row r="117">
          <cell r="A117">
            <v>59410212</v>
          </cell>
          <cell r="B117">
            <v>46086.537708333337</v>
          </cell>
          <cell r="C117">
            <v>59835857</v>
          </cell>
          <cell r="D117">
            <v>46093.728726851848</v>
          </cell>
          <cell r="E117" t="str">
            <v>Prestataire : Etude</v>
          </cell>
          <cell r="F117" t="str">
            <v>STE SIB</v>
          </cell>
          <cell r="G117">
            <v>789018789</v>
          </cell>
          <cell r="H117" t="str">
            <v>PLATEAU</v>
          </cell>
          <cell r="I117" t="str">
            <v>-</v>
          </cell>
          <cell r="J117" t="str">
            <v>T2</v>
          </cell>
          <cell r="K117" t="str">
            <v>cuivre</v>
          </cell>
          <cell r="L117" t="str">
            <v>numerique</v>
          </cell>
          <cell r="M117" t="str">
            <v>Backup</v>
          </cell>
          <cell r="N117" t="str">
            <v>Offert</v>
          </cell>
          <cell r="O117" t="str">
            <v>XXXXXXXXXXXX</v>
          </cell>
          <cell r="P117" t="str">
            <v>-</v>
          </cell>
          <cell r="Q117" t="str">
            <v>-</v>
          </cell>
          <cell r="R117">
            <v>11</v>
          </cell>
          <cell r="S117" t="str">
            <v>Non</v>
          </cell>
          <cell r="T117" t="e">
            <v>#N/A</v>
          </cell>
          <cell r="U117" t="str">
            <v xml:space="preserve"> </v>
          </cell>
          <cell r="V117">
            <v>0</v>
          </cell>
        </row>
        <row r="118">
          <cell r="A118">
            <v>59410843</v>
          </cell>
          <cell r="B118">
            <v>46086.542870370373</v>
          </cell>
          <cell r="C118">
            <v>59429922</v>
          </cell>
          <cell r="D118">
            <v>46086.682488425926</v>
          </cell>
          <cell r="E118" t="str">
            <v>Prestataire : Etude</v>
          </cell>
          <cell r="F118" t="str">
            <v>AIR CI</v>
          </cell>
          <cell r="G118">
            <v>758700193</v>
          </cell>
          <cell r="H118" t="str">
            <v>TREICHVILLE ZONE AEROPORTUAIRE</v>
          </cell>
          <cell r="I118">
            <v>0</v>
          </cell>
          <cell r="J118" t="str">
            <v>T2</v>
          </cell>
          <cell r="K118" t="str">
            <v>fo_virage</v>
          </cell>
          <cell r="L118" t="str">
            <v>numerique</v>
          </cell>
          <cell r="M118" t="str">
            <v>Nominale</v>
          </cell>
          <cell r="N118" t="str">
            <v>Offert</v>
          </cell>
          <cell r="O118" t="str">
            <v>-</v>
          </cell>
          <cell r="P118" t="str">
            <v>-</v>
          </cell>
          <cell r="Q118" t="str">
            <v>-</v>
          </cell>
          <cell r="R118">
            <v>11</v>
          </cell>
          <cell r="S118" t="str">
            <v>Non</v>
          </cell>
          <cell r="T118" t="e">
            <v>#N/A</v>
          </cell>
          <cell r="U118" t="str">
            <v xml:space="preserve"> </v>
          </cell>
          <cell r="V118">
            <v>0</v>
          </cell>
        </row>
        <row r="119">
          <cell r="A119">
            <v>59414411</v>
          </cell>
          <cell r="B119">
            <v>46086.57104166667</v>
          </cell>
          <cell r="C119">
            <v>59430460</v>
          </cell>
          <cell r="D119">
            <v>46086.686412037037</v>
          </cell>
          <cell r="E119" t="str">
            <v>Prestataire : Etude</v>
          </cell>
          <cell r="F119" t="str">
            <v>CORIS BANK (BACKUP DU 2722223530 )</v>
          </cell>
          <cell r="G119">
            <v>566473307</v>
          </cell>
          <cell r="H119" t="str">
            <v>ABIDJAN-COCODY 2 PLATEAUX</v>
          </cell>
          <cell r="I119">
            <v>1841606</v>
          </cell>
          <cell r="J119" t="str">
            <v>T2</v>
          </cell>
          <cell r="K119" t="str">
            <v>fo_virage</v>
          </cell>
          <cell r="L119" t="str">
            <v>numerique</v>
          </cell>
          <cell r="M119" t="str">
            <v>Nominale</v>
          </cell>
          <cell r="N119" t="str">
            <v>Offert</v>
          </cell>
          <cell r="O119" t="str">
            <v>-</v>
          </cell>
          <cell r="P119" t="str">
            <v>-</v>
          </cell>
          <cell r="Q119">
            <v>0</v>
          </cell>
          <cell r="R119">
            <v>11</v>
          </cell>
          <cell r="S119" t="str">
            <v>Non</v>
          </cell>
          <cell r="T119" t="e">
            <v>#N/A</v>
          </cell>
          <cell r="U119" t="str">
            <v xml:space="preserve"> </v>
          </cell>
          <cell r="V119">
            <v>0</v>
          </cell>
        </row>
        <row r="120">
          <cell r="A120">
            <v>59417066</v>
          </cell>
          <cell r="B120">
            <v>46086.594525462962</v>
          </cell>
          <cell r="C120">
            <v>59431339</v>
          </cell>
          <cell r="D120">
            <v>46086.692337962966</v>
          </cell>
          <cell r="E120" t="str">
            <v>Prestataire : Etude</v>
          </cell>
          <cell r="F120" t="str">
            <v>BICICI PLATEAU (BACKUP DU 2720242424 )</v>
          </cell>
          <cell r="G120">
            <v>709565662</v>
          </cell>
          <cell r="H120" t="str">
            <v>ABIDJAN-PLATEAU</v>
          </cell>
          <cell r="I120" t="str">
            <v>GI : 1841846</v>
          </cell>
          <cell r="J120" t="str">
            <v>T2</v>
          </cell>
          <cell r="K120" t="str">
            <v>fo_virage</v>
          </cell>
          <cell r="L120" t="str">
            <v>numerique</v>
          </cell>
          <cell r="M120" t="str">
            <v>Nominale</v>
          </cell>
          <cell r="N120" t="str">
            <v>Offert</v>
          </cell>
          <cell r="O120" t="str">
            <v>-</v>
          </cell>
          <cell r="P120" t="str">
            <v>-</v>
          </cell>
          <cell r="Q120">
            <v>0</v>
          </cell>
          <cell r="R120">
            <v>11</v>
          </cell>
          <cell r="S120" t="str">
            <v>Non</v>
          </cell>
          <cell r="T120" t="e">
            <v>#N/A</v>
          </cell>
          <cell r="U120" t="str">
            <v xml:space="preserve"> </v>
          </cell>
          <cell r="V120">
            <v>0</v>
          </cell>
        </row>
        <row r="121">
          <cell r="A121">
            <v>59427337</v>
          </cell>
          <cell r="B121">
            <v>46086.666180555556</v>
          </cell>
          <cell r="C121">
            <v>60189892</v>
          </cell>
          <cell r="D121">
            <v>46100.618032407408</v>
          </cell>
          <cell r="E121" t="str">
            <v>Saisie ASCOM</v>
          </cell>
          <cell r="F121" t="str">
            <v>ETABLISSEMENT PUBLIC HOSPITALIER REGIONAL DE BOUAKE</v>
          </cell>
          <cell r="G121">
            <v>708326247</v>
          </cell>
          <cell r="H121" t="str">
            <v>BOUAKE KENNEDY</v>
          </cell>
          <cell r="I121" t="str">
            <v>-</v>
          </cell>
          <cell r="J121" t="str">
            <v>T0</v>
          </cell>
          <cell r="K121" t="str">
            <v>fo_virage</v>
          </cell>
          <cell r="L121" t="str">
            <v>numerique</v>
          </cell>
          <cell r="M121" t="str">
            <v>Nominale</v>
          </cell>
          <cell r="N121" t="str">
            <v>Encours</v>
          </cell>
          <cell r="O121" t="str">
            <v>XXX</v>
          </cell>
          <cell r="P121" t="str">
            <v>-</v>
          </cell>
          <cell r="Q121" t="str">
            <v>-</v>
          </cell>
          <cell r="R121">
            <v>11</v>
          </cell>
          <cell r="S121" t="str">
            <v>Non</v>
          </cell>
          <cell r="T121" t="e">
            <v>#N/A</v>
          </cell>
          <cell r="U121" t="str">
            <v xml:space="preserve"> </v>
          </cell>
          <cell r="V121">
            <v>0</v>
          </cell>
        </row>
        <row r="122">
          <cell r="A122">
            <v>59464660</v>
          </cell>
          <cell r="B122">
            <v>46087.421030092592</v>
          </cell>
          <cell r="C122">
            <v>59688131</v>
          </cell>
          <cell r="D122">
            <v>46091.589421296296</v>
          </cell>
          <cell r="E122" t="str">
            <v>Prestataire : Etude</v>
          </cell>
          <cell r="F122" t="str">
            <v>QUIPUX</v>
          </cell>
          <cell r="G122">
            <v>554235979</v>
          </cell>
          <cell r="H122" t="str">
            <v>TREICHVILLE</v>
          </cell>
          <cell r="I122" t="str">
            <v>-</v>
          </cell>
          <cell r="J122" t="str">
            <v>SYTRAN</v>
          </cell>
          <cell r="K122" t="str">
            <v>fo</v>
          </cell>
          <cell r="L122" t="str">
            <v>LSI</v>
          </cell>
          <cell r="M122" t="str">
            <v>Backup</v>
          </cell>
          <cell r="N122" t="str">
            <v>Offert</v>
          </cell>
          <cell r="O122" t="str">
            <v>-</v>
          </cell>
          <cell r="P122" t="str">
            <v>-</v>
          </cell>
          <cell r="Q122">
            <v>0</v>
          </cell>
          <cell r="R122">
            <v>10</v>
          </cell>
          <cell r="S122" t="str">
            <v>NON</v>
          </cell>
          <cell r="T122">
            <v>0</v>
          </cell>
          <cell r="U122" t="str">
            <v>Projet ingénierie</v>
          </cell>
          <cell r="V122" t="str">
            <v>Projet</v>
          </cell>
        </row>
        <row r="123">
          <cell r="A123">
            <v>59465071</v>
          </cell>
          <cell r="B123">
            <v>46087.424062500002</v>
          </cell>
          <cell r="C123">
            <v>59643075</v>
          </cell>
          <cell r="D123">
            <v>46090.709768518522</v>
          </cell>
          <cell r="E123" t="str">
            <v>Prestataire : Etude</v>
          </cell>
          <cell r="F123" t="str">
            <v>QUIPUX</v>
          </cell>
          <cell r="G123">
            <v>554235979</v>
          </cell>
          <cell r="H123" t="str">
            <v>GRAND BASSAM</v>
          </cell>
          <cell r="I123" t="str">
            <v>-</v>
          </cell>
          <cell r="J123" t="str">
            <v>SYTRAN</v>
          </cell>
          <cell r="K123" t="str">
            <v>fo</v>
          </cell>
          <cell r="L123" t="str">
            <v>LSI</v>
          </cell>
          <cell r="M123" t="str">
            <v>Backup</v>
          </cell>
          <cell r="N123" t="str">
            <v>Offert</v>
          </cell>
          <cell r="O123" t="str">
            <v>-</v>
          </cell>
          <cell r="P123" t="str">
            <v>-</v>
          </cell>
          <cell r="Q123">
            <v>0</v>
          </cell>
          <cell r="R123">
            <v>10</v>
          </cell>
          <cell r="S123" t="str">
            <v>NON</v>
          </cell>
          <cell r="T123">
            <v>0</v>
          </cell>
          <cell r="U123" t="str">
            <v>Projet ingénierie</v>
          </cell>
          <cell r="V123" t="str">
            <v>Projet</v>
          </cell>
        </row>
        <row r="124">
          <cell r="A124">
            <v>59466514</v>
          </cell>
          <cell r="B124">
            <v>46087.436643518522</v>
          </cell>
          <cell r="C124">
            <v>60021703</v>
          </cell>
          <cell r="D124">
            <v>46097.883842592593</v>
          </cell>
          <cell r="E124" t="str">
            <v>Prestataire : Travaux</v>
          </cell>
          <cell r="F124" t="str">
            <v>PLANETPHARMA EXPORT CI</v>
          </cell>
          <cell r="G124">
            <v>141679210</v>
          </cell>
          <cell r="H124" t="str">
            <v>GRAND BASSAM</v>
          </cell>
          <cell r="I124" t="str">
            <v>-</v>
          </cell>
          <cell r="J124" t="str">
            <v>SYTRAN</v>
          </cell>
          <cell r="K124" t="str">
            <v>fo</v>
          </cell>
          <cell r="L124" t="str">
            <v>LSI</v>
          </cell>
          <cell r="M124" t="str">
            <v>Backup</v>
          </cell>
          <cell r="N124" t="str">
            <v>Offert</v>
          </cell>
          <cell r="O124" t="str">
            <v>XXXXXXXXXXXXXXXX</v>
          </cell>
          <cell r="P124" t="str">
            <v>-</v>
          </cell>
          <cell r="Q124">
            <v>3213390</v>
          </cell>
          <cell r="R124">
            <v>10</v>
          </cell>
          <cell r="S124" t="str">
            <v>Non</v>
          </cell>
          <cell r="T124" t="str">
            <v xml:space="preserve">CLIENT </v>
          </cell>
          <cell r="U124" t="str">
            <v>Projet ingénierie</v>
          </cell>
          <cell r="V124">
            <v>0</v>
          </cell>
        </row>
        <row r="125">
          <cell r="A125">
            <v>59466778</v>
          </cell>
          <cell r="B125">
            <v>46087.438715277778</v>
          </cell>
          <cell r="C125">
            <v>59497069</v>
          </cell>
          <cell r="D125">
            <v>46087.666539351849</v>
          </cell>
          <cell r="E125" t="str">
            <v>Prestataire : Etude</v>
          </cell>
          <cell r="F125" t="str">
            <v>QUIPUX</v>
          </cell>
          <cell r="G125">
            <v>554235979</v>
          </cell>
          <cell r="H125" t="str">
            <v>COCODY</v>
          </cell>
          <cell r="I125">
            <v>0</v>
          </cell>
          <cell r="J125" t="str">
            <v>T2</v>
          </cell>
          <cell r="K125" t="str">
            <v>fo_virage</v>
          </cell>
          <cell r="L125" t="str">
            <v>numerique</v>
          </cell>
          <cell r="M125" t="str">
            <v>Backup</v>
          </cell>
          <cell r="N125" t="str">
            <v>Offert</v>
          </cell>
          <cell r="O125" t="str">
            <v>-</v>
          </cell>
          <cell r="P125" t="str">
            <v>-</v>
          </cell>
          <cell r="Q125" t="str">
            <v>-</v>
          </cell>
          <cell r="R125">
            <v>10</v>
          </cell>
          <cell r="S125" t="str">
            <v>NON</v>
          </cell>
          <cell r="T125">
            <v>0</v>
          </cell>
          <cell r="U125" t="str">
            <v>Projet ingénierie</v>
          </cell>
          <cell r="V125" t="str">
            <v>Projet</v>
          </cell>
        </row>
        <row r="126">
          <cell r="A126">
            <v>59468518</v>
          </cell>
          <cell r="B126">
            <v>46087.450266203705</v>
          </cell>
          <cell r="C126">
            <v>59646678</v>
          </cell>
          <cell r="D126">
            <v>46090.740671296298</v>
          </cell>
          <cell r="E126" t="str">
            <v>Prestataire : Etude</v>
          </cell>
          <cell r="F126" t="str">
            <v>QUIPUX</v>
          </cell>
          <cell r="G126">
            <v>554235979</v>
          </cell>
          <cell r="H126" t="str">
            <v>TREICHVILLE</v>
          </cell>
          <cell r="I126" t="str">
            <v>-</v>
          </cell>
          <cell r="J126" t="str">
            <v>T2</v>
          </cell>
          <cell r="K126" t="str">
            <v>fo_virage</v>
          </cell>
          <cell r="L126" t="str">
            <v>numerique</v>
          </cell>
          <cell r="M126" t="str">
            <v>Nominale</v>
          </cell>
          <cell r="N126" t="str">
            <v>Offert</v>
          </cell>
          <cell r="O126" t="str">
            <v>XXXXXXXXXX</v>
          </cell>
          <cell r="P126" t="str">
            <v>-</v>
          </cell>
          <cell r="Q126" t="str">
            <v>-</v>
          </cell>
          <cell r="R126">
            <v>10</v>
          </cell>
          <cell r="S126" t="str">
            <v>NON</v>
          </cell>
          <cell r="T126">
            <v>0</v>
          </cell>
          <cell r="U126" t="str">
            <v>Projet ingénierie</v>
          </cell>
          <cell r="V126" t="str">
            <v>Projet</v>
          </cell>
        </row>
        <row r="127">
          <cell r="A127">
            <v>59469589</v>
          </cell>
          <cell r="B127">
            <v>46087.458460648151</v>
          </cell>
          <cell r="C127">
            <v>59646039</v>
          </cell>
          <cell r="D127">
            <v>46090.733263888891</v>
          </cell>
          <cell r="E127" t="str">
            <v>Prestataire : Etude</v>
          </cell>
          <cell r="F127" t="str">
            <v>QUIPUX</v>
          </cell>
          <cell r="G127">
            <v>554235979</v>
          </cell>
          <cell r="H127" t="str">
            <v>TREICHVILLE</v>
          </cell>
          <cell r="I127" t="str">
            <v>-</v>
          </cell>
          <cell r="J127" t="str">
            <v>T2</v>
          </cell>
          <cell r="K127" t="str">
            <v>fo_virage</v>
          </cell>
          <cell r="L127" t="str">
            <v>numerique</v>
          </cell>
          <cell r="M127" t="str">
            <v>Nominale</v>
          </cell>
          <cell r="N127" t="str">
            <v>Offert</v>
          </cell>
          <cell r="O127" t="str">
            <v>XXXXXXXXXXXXX</v>
          </cell>
          <cell r="P127" t="str">
            <v>-</v>
          </cell>
          <cell r="Q127" t="str">
            <v>-</v>
          </cell>
          <cell r="R127">
            <v>10</v>
          </cell>
          <cell r="S127" t="str">
            <v>NON</v>
          </cell>
          <cell r="T127">
            <v>0</v>
          </cell>
          <cell r="U127" t="str">
            <v>Doublon</v>
          </cell>
          <cell r="V127" t="str">
            <v>Projet</v>
          </cell>
        </row>
        <row r="128">
          <cell r="A128">
            <v>59480507</v>
          </cell>
          <cell r="B128">
            <v>46087.544247685182</v>
          </cell>
          <cell r="C128">
            <v>60031786</v>
          </cell>
          <cell r="D128">
            <v>46098.409074074072</v>
          </cell>
          <cell r="E128" t="str">
            <v>Ingenieur Projet: Suspension Travaux DOB</v>
          </cell>
          <cell r="F128" t="str">
            <v>SUD COMOE CAOUTCHOU</v>
          </cell>
          <cell r="G128">
            <v>708547070</v>
          </cell>
          <cell r="H128" t="str">
            <v>ABOISSO</v>
          </cell>
          <cell r="I128" t="str">
            <v>-</v>
          </cell>
          <cell r="J128" t="str">
            <v>T0</v>
          </cell>
          <cell r="K128" t="str">
            <v>fo_virage</v>
          </cell>
          <cell r="L128" t="str">
            <v>numerique</v>
          </cell>
          <cell r="M128" t="str">
            <v>Nominale</v>
          </cell>
          <cell r="N128" t="str">
            <v>Encours</v>
          </cell>
          <cell r="O128" t="str">
            <v>XXXXXXXXXX</v>
          </cell>
          <cell r="P128" t="str">
            <v>-</v>
          </cell>
          <cell r="Q128" t="str">
            <v>-</v>
          </cell>
          <cell r="R128">
            <v>10</v>
          </cell>
          <cell r="S128" t="str">
            <v>Non</v>
          </cell>
          <cell r="T128" t="str">
            <v>OCI</v>
          </cell>
          <cell r="U128" t="str">
            <v>Projet ingénierie</v>
          </cell>
          <cell r="V128">
            <v>0</v>
          </cell>
        </row>
        <row r="129">
          <cell r="A129">
            <v>59495473</v>
          </cell>
          <cell r="B129">
            <v>46087.653935185182</v>
          </cell>
          <cell r="C129">
            <v>59644603</v>
          </cell>
          <cell r="D129">
            <v>46090.722048611111</v>
          </cell>
          <cell r="E129" t="str">
            <v>Prestataire : Etude</v>
          </cell>
          <cell r="F129" t="str">
            <v>OFI, OLAM IVOIRE</v>
          </cell>
          <cell r="G129">
            <v>506727287</v>
          </cell>
          <cell r="H129" t="str">
            <v>ANYAMA</v>
          </cell>
          <cell r="I129" t="str">
            <v>-</v>
          </cell>
          <cell r="J129" t="str">
            <v>SYTRAN</v>
          </cell>
          <cell r="K129" t="str">
            <v>fo</v>
          </cell>
          <cell r="L129" t="str">
            <v>LSI</v>
          </cell>
          <cell r="M129" t="str">
            <v>Backup</v>
          </cell>
          <cell r="N129" t="str">
            <v>Offert</v>
          </cell>
          <cell r="O129" t="str">
            <v>-</v>
          </cell>
          <cell r="P129" t="str">
            <v>-</v>
          </cell>
          <cell r="Q129">
            <v>0</v>
          </cell>
          <cell r="R129">
            <v>10</v>
          </cell>
          <cell r="S129" t="str">
            <v>NON</v>
          </cell>
          <cell r="T129">
            <v>0</v>
          </cell>
          <cell r="U129" t="str">
            <v>Projet ingénierie</v>
          </cell>
          <cell r="V129" t="str">
            <v>Projet</v>
          </cell>
        </row>
        <row r="130">
          <cell r="A130">
            <v>59495495</v>
          </cell>
          <cell r="B130">
            <v>46087.654039351852</v>
          </cell>
          <cell r="C130">
            <v>60103608</v>
          </cell>
          <cell r="D130">
            <v>46099.451018518521</v>
          </cell>
          <cell r="E130" t="str">
            <v>SIE : Affectation des ressources</v>
          </cell>
          <cell r="F130" t="str">
            <v>EUROFIND PARTICIPATION</v>
          </cell>
          <cell r="G130">
            <v>757019000</v>
          </cell>
          <cell r="H130" t="str">
            <v>PLATEAU</v>
          </cell>
          <cell r="I130" t="str">
            <v>-</v>
          </cell>
          <cell r="J130" t="str">
            <v>T0</v>
          </cell>
          <cell r="K130" t="str">
            <v>ftto_virage</v>
          </cell>
          <cell r="L130" t="str">
            <v>numerique</v>
          </cell>
          <cell r="M130" t="str">
            <v>Nominale</v>
          </cell>
          <cell r="N130" t="str">
            <v>Offert</v>
          </cell>
          <cell r="O130">
            <v>2720219740</v>
          </cell>
          <cell r="P130" t="str">
            <v>-</v>
          </cell>
          <cell r="Q130" t="str">
            <v>-</v>
          </cell>
          <cell r="R130">
            <v>10</v>
          </cell>
          <cell r="S130" t="str">
            <v>Non</v>
          </cell>
          <cell r="T130" t="str">
            <v>OCI</v>
          </cell>
          <cell r="U130" t="str">
            <v>Projet ingénierie</v>
          </cell>
          <cell r="V130">
            <v>0</v>
          </cell>
        </row>
        <row r="131">
          <cell r="A131">
            <v>59498233</v>
          </cell>
          <cell r="B131">
            <v>46087.67423611111</v>
          </cell>
          <cell r="C131">
            <v>59693004</v>
          </cell>
          <cell r="D131">
            <v>46091.627928240741</v>
          </cell>
          <cell r="E131" t="str">
            <v>Responsable Zone: Coordination etude et travaux</v>
          </cell>
          <cell r="F131" t="str">
            <v>OFI, OLAM IVOIRE</v>
          </cell>
          <cell r="G131">
            <v>606727287</v>
          </cell>
          <cell r="H131" t="str">
            <v>BOUAKE</v>
          </cell>
          <cell r="I131" t="str">
            <v>-</v>
          </cell>
          <cell r="J131" t="str">
            <v>SYTRAN</v>
          </cell>
          <cell r="K131" t="str">
            <v>radio</v>
          </cell>
          <cell r="L131" t="str">
            <v>LSI</v>
          </cell>
          <cell r="M131" t="str">
            <v>Backup</v>
          </cell>
          <cell r="N131" t="str">
            <v>Offert</v>
          </cell>
          <cell r="O131" t="str">
            <v>-</v>
          </cell>
          <cell r="P131" t="str">
            <v>-</v>
          </cell>
          <cell r="Q131">
            <v>0</v>
          </cell>
          <cell r="R131">
            <v>10</v>
          </cell>
          <cell r="S131" t="str">
            <v>NON</v>
          </cell>
          <cell r="T131">
            <v>0</v>
          </cell>
          <cell r="U131" t="str">
            <v>Projet ingénierie</v>
          </cell>
          <cell r="V131" t="str">
            <v>Projet</v>
          </cell>
        </row>
        <row r="132">
          <cell r="A132">
            <v>59537755</v>
          </cell>
          <cell r="B132">
            <v>46088.586631944447</v>
          </cell>
          <cell r="C132">
            <v>59807640</v>
          </cell>
          <cell r="D132">
            <v>46093.511296296296</v>
          </cell>
          <cell r="E132" t="str">
            <v>Prestataire : Etude</v>
          </cell>
          <cell r="F132" t="str">
            <v>OLAM AGRI RUBBER COTE D'IVOIRE ANIASSUE</v>
          </cell>
          <cell r="G132">
            <v>556331131</v>
          </cell>
          <cell r="H132" t="str">
            <v>OLAM AGRI RUBBER COTE D'IVOIRE ANIASSUE</v>
          </cell>
          <cell r="I132" t="str">
            <v>-</v>
          </cell>
          <cell r="J132" t="str">
            <v>SYTRAN</v>
          </cell>
          <cell r="K132" t="str">
            <v>radio_fh</v>
          </cell>
          <cell r="L132" t="str">
            <v>LSI</v>
          </cell>
          <cell r="M132" t="str">
            <v>Backup</v>
          </cell>
          <cell r="N132" t="str">
            <v>Offert</v>
          </cell>
          <cell r="O132" t="str">
            <v>-</v>
          </cell>
          <cell r="P132" t="str">
            <v>-</v>
          </cell>
          <cell r="Q132">
            <v>0</v>
          </cell>
          <cell r="R132">
            <v>9</v>
          </cell>
          <cell r="S132" t="str">
            <v>NON</v>
          </cell>
          <cell r="T132">
            <v>0</v>
          </cell>
          <cell r="U132" t="str">
            <v>PROJET LTE</v>
          </cell>
          <cell r="V132" t="str">
            <v>Projet</v>
          </cell>
        </row>
        <row r="133">
          <cell r="A133">
            <v>59538099</v>
          </cell>
          <cell r="B133">
            <v>46088.590717592589</v>
          </cell>
          <cell r="C133">
            <v>60033812</v>
          </cell>
          <cell r="D133">
            <v>46098.426782407405</v>
          </cell>
          <cell r="E133" t="str">
            <v>SIE : Mise en service GAIA</v>
          </cell>
          <cell r="F133" t="str">
            <v>CORIS BANK</v>
          </cell>
          <cell r="G133">
            <v>566473307</v>
          </cell>
          <cell r="H133" t="str">
            <v>MARCORY</v>
          </cell>
          <cell r="I133" t="str">
            <v>-</v>
          </cell>
          <cell r="J133" t="str">
            <v>BUVPN</v>
          </cell>
          <cell r="K133" t="str">
            <v>fo</v>
          </cell>
          <cell r="L133" t="str">
            <v>LS</v>
          </cell>
          <cell r="M133" t="str">
            <v>Nominale</v>
          </cell>
          <cell r="N133"/>
          <cell r="O133" t="str">
            <v>BUVPN240108</v>
          </cell>
          <cell r="P133" t="str">
            <v>-</v>
          </cell>
          <cell r="Q133">
            <v>0</v>
          </cell>
          <cell r="R133">
            <v>9</v>
          </cell>
          <cell r="S133" t="str">
            <v>non</v>
          </cell>
          <cell r="T133" t="str">
            <v>non</v>
          </cell>
          <cell r="U133" t="str">
            <v>PROJET LTE</v>
          </cell>
          <cell r="V133">
            <v>0</v>
          </cell>
        </row>
        <row r="134">
          <cell r="A134">
            <v>59538597</v>
          </cell>
          <cell r="B134">
            <v>46088.598194444443</v>
          </cell>
          <cell r="C134">
            <v>60030833</v>
          </cell>
          <cell r="D134">
            <v>46098.40320601852</v>
          </cell>
          <cell r="E134" t="str">
            <v>SIE : Mise en service GAIA</v>
          </cell>
          <cell r="F134" t="str">
            <v>CORIS BANK</v>
          </cell>
          <cell r="G134">
            <v>566473307</v>
          </cell>
          <cell r="H134" t="str">
            <v>ANGRE CGU</v>
          </cell>
          <cell r="I134" t="str">
            <v>-</v>
          </cell>
          <cell r="J134" t="str">
            <v>BUVPN</v>
          </cell>
          <cell r="K134" t="str">
            <v>fo</v>
          </cell>
          <cell r="L134" t="str">
            <v>LS</v>
          </cell>
          <cell r="M134" t="str">
            <v>Nominale</v>
          </cell>
          <cell r="N134"/>
          <cell r="O134" t="str">
            <v>BUVPN240108</v>
          </cell>
          <cell r="P134" t="str">
            <v>-</v>
          </cell>
          <cell r="Q134">
            <v>0</v>
          </cell>
          <cell r="R134">
            <v>9</v>
          </cell>
          <cell r="S134" t="str">
            <v>non</v>
          </cell>
          <cell r="T134" t="str">
            <v>non</v>
          </cell>
          <cell r="U134" t="str">
            <v>PROJET LTE</v>
          </cell>
          <cell r="V134">
            <v>0</v>
          </cell>
        </row>
        <row r="135">
          <cell r="A135">
            <v>59541145</v>
          </cell>
          <cell r="B135">
            <v>46088.634837962964</v>
          </cell>
          <cell r="C135">
            <v>59799803</v>
          </cell>
          <cell r="D135">
            <v>46093.453530092593</v>
          </cell>
          <cell r="E135" t="str">
            <v>Responsable Zone: Coordination etude et travaux</v>
          </cell>
          <cell r="F135" t="str">
            <v>STE MANTRA IVOIRE SA VRIDI</v>
          </cell>
          <cell r="G135">
            <v>546008131</v>
          </cell>
          <cell r="H135" t="str">
            <v>ABIDJAN-PORT BOUET VRIDI</v>
          </cell>
          <cell r="I135" t="str">
            <v>-</v>
          </cell>
          <cell r="J135" t="str">
            <v>SYTRAN</v>
          </cell>
          <cell r="K135" t="str">
            <v>radio_fh</v>
          </cell>
          <cell r="L135" t="str">
            <v>LSI</v>
          </cell>
          <cell r="M135" t="str">
            <v>Backup</v>
          </cell>
          <cell r="N135" t="str">
            <v>Offert</v>
          </cell>
          <cell r="O135" t="str">
            <v>-</v>
          </cell>
          <cell r="P135" t="str">
            <v>-</v>
          </cell>
          <cell r="Q135">
            <v>0</v>
          </cell>
          <cell r="R135">
            <v>9</v>
          </cell>
          <cell r="S135" t="str">
            <v>NON</v>
          </cell>
          <cell r="T135">
            <v>0</v>
          </cell>
          <cell r="U135" t="str">
            <v>Projet ingénierie</v>
          </cell>
          <cell r="V135" t="str">
            <v>Projet</v>
          </cell>
        </row>
        <row r="136">
          <cell r="A136">
            <v>59606122</v>
          </cell>
          <cell r="B136">
            <v>46090.447604166664</v>
          </cell>
          <cell r="C136">
            <v>59682305</v>
          </cell>
          <cell r="D136">
            <v>46091.541701388887</v>
          </cell>
          <cell r="E136" t="str">
            <v>Responsable Zone: Coordination etude et travaux</v>
          </cell>
          <cell r="F136" t="str">
            <v>OLAM COCOA PROCESSING CI SAN PEDRO</v>
          </cell>
          <cell r="G136">
            <v>708454305</v>
          </cell>
          <cell r="H136" t="str">
            <v>SAN PEDRO ZONE INDUSTRIELLE</v>
          </cell>
          <cell r="I136" t="str">
            <v>-</v>
          </cell>
          <cell r="J136" t="str">
            <v>SYTRAN</v>
          </cell>
          <cell r="K136" t="str">
            <v>radio_fh</v>
          </cell>
          <cell r="L136" t="str">
            <v>LSI</v>
          </cell>
          <cell r="M136" t="str">
            <v>Backup</v>
          </cell>
          <cell r="N136" t="str">
            <v>Offert</v>
          </cell>
          <cell r="O136" t="str">
            <v>-</v>
          </cell>
          <cell r="P136" t="str">
            <v>-</v>
          </cell>
          <cell r="Q136">
            <v>0</v>
          </cell>
          <cell r="R136">
            <v>9</v>
          </cell>
          <cell r="S136" t="str">
            <v>NON</v>
          </cell>
          <cell r="T136">
            <v>0</v>
          </cell>
          <cell r="U136" t="str">
            <v>Projet ingénierie</v>
          </cell>
          <cell r="V136" t="str">
            <v>Projet</v>
          </cell>
        </row>
        <row r="137">
          <cell r="A137">
            <v>59615935</v>
          </cell>
          <cell r="B137">
            <v>46090.512303240743</v>
          </cell>
          <cell r="C137">
            <v>60052243</v>
          </cell>
          <cell r="D137">
            <v>46098.565104166664</v>
          </cell>
          <cell r="E137" t="str">
            <v>BBF : Validation Etude</v>
          </cell>
          <cell r="F137" t="str">
            <v>CADESA</v>
          </cell>
          <cell r="G137">
            <v>767081456</v>
          </cell>
          <cell r="H137" t="str">
            <v>SASSANDRA SAGO ADEBEM</v>
          </cell>
          <cell r="I137" t="str">
            <v>-</v>
          </cell>
          <cell r="J137" t="str">
            <v>SYTRAN</v>
          </cell>
          <cell r="K137" t="str">
            <v>fo</v>
          </cell>
          <cell r="L137" t="str">
            <v>LSI</v>
          </cell>
          <cell r="M137" t="str">
            <v>Nominale</v>
          </cell>
          <cell r="N137" t="str">
            <v>Offert</v>
          </cell>
          <cell r="O137" t="str">
            <v>XXXXX</v>
          </cell>
          <cell r="P137" t="str">
            <v>-</v>
          </cell>
          <cell r="Q137">
            <v>0</v>
          </cell>
          <cell r="R137">
            <v>9</v>
          </cell>
          <cell r="S137" t="str">
            <v>Non</v>
          </cell>
          <cell r="T137" t="str">
            <v>OCI</v>
          </cell>
          <cell r="U137" t="str">
            <v>Projet ingénierie</v>
          </cell>
          <cell r="V137">
            <v>0</v>
          </cell>
        </row>
        <row r="138">
          <cell r="A138">
            <v>59684312</v>
          </cell>
          <cell r="B138">
            <v>46091.557453703703</v>
          </cell>
          <cell r="C138">
            <v>59736324</v>
          </cell>
          <cell r="D138">
            <v>46092.496296296296</v>
          </cell>
          <cell r="E138" t="str">
            <v>Manager Trafic et Projets : Affectation responsable projet</v>
          </cell>
          <cell r="F138" t="str">
            <v>GNX</v>
          </cell>
          <cell r="G138">
            <v>3130227350</v>
          </cell>
          <cell r="H138" t="str">
            <v>DIA 20Mbps Ext A : PoP ICA REPUBLIQUE Ext B : 7,avenue Nogues,Immeuble BSIC,5eme et Abidjan 01 BP 5754 7 AV.Nogues 8X8J+QX Abidjan, COTE D IVOIRE</v>
          </cell>
          <cell r="I138" t="str">
            <v>-</v>
          </cell>
          <cell r="J138" t="str">
            <v>VPNLL</v>
          </cell>
          <cell r="K138" t="str">
            <v>fo</v>
          </cell>
          <cell r="L138" t="str">
            <v>LS</v>
          </cell>
          <cell r="M138" t="str">
            <v>Nominale</v>
          </cell>
          <cell r="N138" t="str">
            <v>Offert</v>
          </cell>
          <cell r="O138" t="str">
            <v>-</v>
          </cell>
          <cell r="P138" t="str">
            <v>-</v>
          </cell>
          <cell r="Q138" t="str">
            <v>-</v>
          </cell>
          <cell r="R138">
            <v>8</v>
          </cell>
          <cell r="S138" t="str">
            <v>Non</v>
          </cell>
          <cell r="T138" t="str">
            <v xml:space="preserve">CLIENT </v>
          </cell>
          <cell r="U138" t="str">
            <v>Projet ingénierie</v>
          </cell>
          <cell r="V138">
            <v>0</v>
          </cell>
        </row>
        <row r="139">
          <cell r="A139">
            <v>59706056</v>
          </cell>
          <cell r="B139">
            <v>46091.727199074077</v>
          </cell>
          <cell r="C139">
            <v>59799692</v>
          </cell>
          <cell r="D139">
            <v>46093.453136574077</v>
          </cell>
          <cell r="E139" t="str">
            <v>Responsable Zone: Coordination etude et travaux</v>
          </cell>
          <cell r="F139" t="str">
            <v>MUGEFCI</v>
          </cell>
          <cell r="G139">
            <v>708086472</v>
          </cell>
          <cell r="H139" t="str">
            <v>DIMBOKRO</v>
          </cell>
          <cell r="I139" t="str">
            <v>-</v>
          </cell>
          <cell r="J139" t="str">
            <v>BUVPN</v>
          </cell>
          <cell r="K139" t="str">
            <v>radio</v>
          </cell>
          <cell r="L139" t="str">
            <v>LS</v>
          </cell>
          <cell r="M139" t="str">
            <v>Backup</v>
          </cell>
          <cell r="N139" t="str">
            <v>Offert</v>
          </cell>
          <cell r="O139" t="str">
            <v>-</v>
          </cell>
          <cell r="P139" t="str">
            <v>-</v>
          </cell>
          <cell r="Q139">
            <v>0</v>
          </cell>
          <cell r="R139">
            <v>8</v>
          </cell>
          <cell r="S139" t="str">
            <v>NON</v>
          </cell>
          <cell r="T139">
            <v>0</v>
          </cell>
          <cell r="U139" t="str">
            <v>Projet ingénierie</v>
          </cell>
          <cell r="V139" t="str">
            <v>Projet</v>
          </cell>
        </row>
        <row r="140">
          <cell r="A140">
            <v>59706490</v>
          </cell>
          <cell r="B140">
            <v>46091.731006944443</v>
          </cell>
          <cell r="C140">
            <v>59799753</v>
          </cell>
          <cell r="D140">
            <v>46093.4530787037</v>
          </cell>
          <cell r="E140" t="str">
            <v>BO Homologation: Saisie GAIA</v>
          </cell>
          <cell r="F140" t="str">
            <v>MUGEFCI</v>
          </cell>
          <cell r="G140">
            <v>708086472</v>
          </cell>
          <cell r="H140" t="str">
            <v>ABENGOUROU</v>
          </cell>
          <cell r="I140" t="str">
            <v>-</v>
          </cell>
          <cell r="J140" t="str">
            <v>BUVPN</v>
          </cell>
          <cell r="K140" t="str">
            <v>radio</v>
          </cell>
          <cell r="L140" t="str">
            <v>LS</v>
          </cell>
          <cell r="M140" t="str">
            <v>Backup</v>
          </cell>
          <cell r="N140" t="str">
            <v>Offert</v>
          </cell>
          <cell r="O140" t="str">
            <v>XXX</v>
          </cell>
          <cell r="P140" t="str">
            <v>-</v>
          </cell>
          <cell r="Q140">
            <v>0</v>
          </cell>
          <cell r="R140">
            <v>8</v>
          </cell>
          <cell r="S140" t="str">
            <v>NON</v>
          </cell>
          <cell r="T140">
            <v>0</v>
          </cell>
          <cell r="U140" t="str">
            <v>Projet ingénierie</v>
          </cell>
          <cell r="V140" t="str">
            <v>Projet</v>
          </cell>
        </row>
        <row r="141">
          <cell r="A141">
            <v>59706900</v>
          </cell>
          <cell r="B141">
            <v>46091.734016203707</v>
          </cell>
          <cell r="C141">
            <v>59799641</v>
          </cell>
          <cell r="D141">
            <v>46093.452222222222</v>
          </cell>
          <cell r="E141" t="str">
            <v>BO Homologation: Saisie GAIA</v>
          </cell>
          <cell r="F141" t="str">
            <v>MUGEFCI</v>
          </cell>
          <cell r="G141">
            <v>708086472</v>
          </cell>
          <cell r="H141" t="str">
            <v>ABOISSO</v>
          </cell>
          <cell r="I141" t="str">
            <v>-</v>
          </cell>
          <cell r="J141" t="str">
            <v>BUVPN</v>
          </cell>
          <cell r="K141" t="str">
            <v>radio</v>
          </cell>
          <cell r="L141" t="str">
            <v>LS</v>
          </cell>
          <cell r="M141" t="str">
            <v>Backup</v>
          </cell>
          <cell r="N141" t="str">
            <v>Offert</v>
          </cell>
          <cell r="O141" t="str">
            <v>-</v>
          </cell>
          <cell r="P141" t="str">
            <v>-</v>
          </cell>
          <cell r="Q141">
            <v>0</v>
          </cell>
          <cell r="R141">
            <v>8</v>
          </cell>
          <cell r="S141" t="str">
            <v>NON</v>
          </cell>
          <cell r="T141">
            <v>0</v>
          </cell>
          <cell r="U141" t="str">
            <v xml:space="preserve"> </v>
          </cell>
          <cell r="V141" t="str">
            <v>Projet</v>
          </cell>
        </row>
        <row r="142">
          <cell r="A142">
            <v>59793967</v>
          </cell>
          <cell r="B142">
            <v>46093.406724537039</v>
          </cell>
          <cell r="C142">
            <v>60109623</v>
          </cell>
          <cell r="D142">
            <v>46099.495104166665</v>
          </cell>
          <cell r="E142" t="str">
            <v>BBF : Validation Etude</v>
          </cell>
          <cell r="F142" t="str">
            <v>OFI OLAM IVOIRE</v>
          </cell>
          <cell r="G142">
            <v>506727287</v>
          </cell>
          <cell r="H142" t="str">
            <v>ANYAMA</v>
          </cell>
          <cell r="I142" t="str">
            <v>-</v>
          </cell>
          <cell r="J142" t="str">
            <v>SYTRAN</v>
          </cell>
          <cell r="K142" t="str">
            <v>fo</v>
          </cell>
          <cell r="L142" t="str">
            <v>LSI</v>
          </cell>
          <cell r="M142" t="str">
            <v>Backup</v>
          </cell>
          <cell r="N142" t="str">
            <v>Offert</v>
          </cell>
          <cell r="O142" t="str">
            <v>XXXXXXXXXX</v>
          </cell>
          <cell r="P142" t="str">
            <v>-</v>
          </cell>
          <cell r="Q142">
            <v>0</v>
          </cell>
          <cell r="R142">
            <v>6</v>
          </cell>
          <cell r="S142" t="str">
            <v>NON</v>
          </cell>
          <cell r="T142">
            <v>0</v>
          </cell>
          <cell r="U142" t="str">
            <v xml:space="preserve"> </v>
          </cell>
          <cell r="V142" t="str">
            <v>Projet</v>
          </cell>
        </row>
        <row r="143">
          <cell r="A143">
            <v>59801109</v>
          </cell>
          <cell r="B143">
            <v>46093.464594907404</v>
          </cell>
          <cell r="C143">
            <v>60196153</v>
          </cell>
          <cell r="D143">
            <v>46100.659583333334</v>
          </cell>
          <cell r="E143" t="str">
            <v>BBF : Validation Etude</v>
          </cell>
          <cell r="F143" t="str">
            <v>STE CFAO MOBILITY COTE D'IVOIRE (BACKUP DU SYTHD190136)</v>
          </cell>
          <cell r="G143">
            <v>709173657</v>
          </cell>
          <cell r="H143" t="str">
            <v>ABIDJAN-TREICHVILLE BD DE MARSEILLE</v>
          </cell>
          <cell r="I143" t="str">
            <v>-</v>
          </cell>
          <cell r="J143" t="str">
            <v>SYTRAN</v>
          </cell>
          <cell r="K143" t="str">
            <v>fo</v>
          </cell>
          <cell r="L143" t="str">
            <v>LSI</v>
          </cell>
          <cell r="M143" t="str">
            <v>Backup</v>
          </cell>
          <cell r="N143" t="str">
            <v>Offert</v>
          </cell>
          <cell r="O143" t="str">
            <v>XXXXXXXXXXX</v>
          </cell>
          <cell r="P143" t="str">
            <v>-</v>
          </cell>
          <cell r="Q143">
            <v>0</v>
          </cell>
          <cell r="R143">
            <v>6</v>
          </cell>
          <cell r="S143" t="str">
            <v>Non</v>
          </cell>
          <cell r="T143" t="str">
            <v xml:space="preserve">CLIENT </v>
          </cell>
          <cell r="U143">
            <v>0</v>
          </cell>
          <cell r="V143" t="str">
            <v>Projet</v>
          </cell>
        </row>
        <row r="144">
          <cell r="A144">
            <v>59813505</v>
          </cell>
          <cell r="B144">
            <v>46093.557256944441</v>
          </cell>
          <cell r="C144">
            <v>60136980</v>
          </cell>
          <cell r="D144">
            <v>46099.706805555557</v>
          </cell>
          <cell r="E144" t="str">
            <v>Parametrage facturation</v>
          </cell>
          <cell r="F144" t="str">
            <v>SECO OUANGOLO (BACKUP DU SYTHD220080)</v>
          </cell>
          <cell r="G144">
            <v>706727287</v>
          </cell>
          <cell r="H144" t="str">
            <v>SECO OUANGOLO</v>
          </cell>
          <cell r="I144" t="str">
            <v>-</v>
          </cell>
          <cell r="J144" t="str">
            <v>SYTRAN</v>
          </cell>
          <cell r="K144" t="str">
            <v>radio_fh</v>
          </cell>
          <cell r="L144" t="str">
            <v>LSI</v>
          </cell>
          <cell r="M144" t="str">
            <v>Backup</v>
          </cell>
          <cell r="N144" t="str">
            <v>Encours</v>
          </cell>
          <cell r="O144" t="str">
            <v>XXXX</v>
          </cell>
          <cell r="P144" t="str">
            <v>-</v>
          </cell>
          <cell r="Q144">
            <v>0</v>
          </cell>
          <cell r="R144">
            <v>6</v>
          </cell>
          <cell r="S144" t="str">
            <v>NON</v>
          </cell>
          <cell r="T144">
            <v>0</v>
          </cell>
          <cell r="U144" t="str">
            <v>Projet ingénierie</v>
          </cell>
          <cell r="V144">
            <v>0</v>
          </cell>
        </row>
        <row r="145">
          <cell r="A145">
            <v>59816396</v>
          </cell>
          <cell r="B145">
            <v>46093.580590277779</v>
          </cell>
          <cell r="C145">
            <v>60137506</v>
          </cell>
          <cell r="D145">
            <v>46099.711053240739</v>
          </cell>
          <cell r="E145" t="str">
            <v>Ingenieur Projet: Suspension Travaux DOB</v>
          </cell>
          <cell r="F145" t="str">
            <v>SECO DIAWALA (BACKUP DU SYTHD220089   )</v>
          </cell>
          <cell r="G145">
            <v>506727287</v>
          </cell>
          <cell r="H145" t="str">
            <v>DIAWALA//VOIE INCONNUE/SECO DIAWALA 05 06 72 72 87</v>
          </cell>
          <cell r="I145">
            <v>1848446</v>
          </cell>
          <cell r="J145" t="str">
            <v>LIAISON SPECIALISEE</v>
          </cell>
          <cell r="K145" t="str">
            <v>radio_fh</v>
          </cell>
          <cell r="L145" t="str">
            <v>LSI</v>
          </cell>
          <cell r="M145" t="str">
            <v>Backup</v>
          </cell>
          <cell r="N145" t="str">
            <v>Encours</v>
          </cell>
          <cell r="O145" t="str">
            <v>xxxxx</v>
          </cell>
          <cell r="P145" t="str">
            <v>-</v>
          </cell>
          <cell r="Q145">
            <v>0</v>
          </cell>
          <cell r="R145">
            <v>6</v>
          </cell>
          <cell r="S145" t="str">
            <v>NON</v>
          </cell>
          <cell r="T145">
            <v>0</v>
          </cell>
          <cell r="U145" t="str">
            <v>Projet ingénierie</v>
          </cell>
          <cell r="V145">
            <v>0</v>
          </cell>
        </row>
        <row r="146">
          <cell r="A146">
            <v>59820678</v>
          </cell>
          <cell r="B146">
            <v>46093.612222222226</v>
          </cell>
          <cell r="C146">
            <v>60139442</v>
          </cell>
          <cell r="D146">
            <v>46099.725694444445</v>
          </cell>
          <cell r="E146" t="str">
            <v>Parametrage facturation</v>
          </cell>
          <cell r="F146" t="str">
            <v>SECO FERKE (BACKUP DU SYTHD220118 )</v>
          </cell>
          <cell r="G146">
            <v>506727287</v>
          </cell>
          <cell r="H146" t="str">
            <v>SECO FERKE</v>
          </cell>
          <cell r="I146" t="str">
            <v>-</v>
          </cell>
          <cell r="J146" t="str">
            <v>SYTRAN</v>
          </cell>
          <cell r="K146" t="str">
            <v>radio_fh</v>
          </cell>
          <cell r="L146" t="str">
            <v>LSI</v>
          </cell>
          <cell r="M146" t="str">
            <v>Backup</v>
          </cell>
          <cell r="N146" t="str">
            <v>Encours</v>
          </cell>
          <cell r="O146" t="str">
            <v>-</v>
          </cell>
          <cell r="P146" t="str">
            <v>-</v>
          </cell>
          <cell r="Q146">
            <v>0</v>
          </cell>
          <cell r="R146">
            <v>6</v>
          </cell>
          <cell r="S146" t="str">
            <v>NON</v>
          </cell>
          <cell r="T146">
            <v>0</v>
          </cell>
          <cell r="U146" t="str">
            <v>Projet ingénierie</v>
          </cell>
          <cell r="V146">
            <v>0</v>
          </cell>
        </row>
        <row r="147">
          <cell r="A147">
            <v>59821965</v>
          </cell>
          <cell r="B147">
            <v>46093.621331018519</v>
          </cell>
          <cell r="C147">
            <v>60033589</v>
          </cell>
          <cell r="D147">
            <v>46098.424780092595</v>
          </cell>
          <cell r="E147" t="str">
            <v>Responsable Zone: Coordination etude et travaux</v>
          </cell>
          <cell r="F147" t="str">
            <v>IFM</v>
          </cell>
          <cell r="G147">
            <v>101383885</v>
          </cell>
          <cell r="H147" t="str">
            <v>PLATEAU</v>
          </cell>
          <cell r="I147" t="str">
            <v>-</v>
          </cell>
          <cell r="J147" t="str">
            <v>SYTRAN</v>
          </cell>
          <cell r="K147" t="str">
            <v>fo</v>
          </cell>
          <cell r="L147" t="str">
            <v>LSI</v>
          </cell>
          <cell r="M147" t="str">
            <v>Temporaire</v>
          </cell>
          <cell r="N147" t="str">
            <v>Offert</v>
          </cell>
          <cell r="O147" t="str">
            <v>-</v>
          </cell>
          <cell r="P147" t="str">
            <v>-</v>
          </cell>
          <cell r="Q147">
            <v>3000000</v>
          </cell>
          <cell r="R147">
            <v>6</v>
          </cell>
          <cell r="S147" t="str">
            <v>Non</v>
          </cell>
          <cell r="T147" t="str">
            <v>NON</v>
          </cell>
          <cell r="U147" t="str">
            <v>EVENT REGUL</v>
          </cell>
          <cell r="V147">
            <v>0</v>
          </cell>
        </row>
        <row r="148">
          <cell r="A148">
            <v>59824550</v>
          </cell>
          <cell r="B148">
            <v>46093.6405787037</v>
          </cell>
          <cell r="C148">
            <v>59859139</v>
          </cell>
          <cell r="D148">
            <v>46094.429143518515</v>
          </cell>
          <cell r="E148" t="str">
            <v>Prestataire : Etude</v>
          </cell>
          <cell r="F148" t="str">
            <v>SECO TREICHVILLE (BACKUP DU SYTHD230357 )</v>
          </cell>
          <cell r="G148">
            <v>506727287</v>
          </cell>
          <cell r="H148" t="str">
            <v>SECO TREICHVILLE</v>
          </cell>
          <cell r="I148" t="str">
            <v>-</v>
          </cell>
          <cell r="J148" t="str">
            <v>SYTRAN</v>
          </cell>
          <cell r="K148" t="str">
            <v>fo</v>
          </cell>
          <cell r="L148" t="str">
            <v>LSI</v>
          </cell>
          <cell r="M148" t="str">
            <v>Backup</v>
          </cell>
          <cell r="N148" t="str">
            <v>Offert</v>
          </cell>
          <cell r="O148" t="str">
            <v>-</v>
          </cell>
          <cell r="P148" t="str">
            <v>-</v>
          </cell>
          <cell r="Q148">
            <v>0</v>
          </cell>
          <cell r="R148">
            <v>6</v>
          </cell>
          <cell r="S148" t="str">
            <v>NON</v>
          </cell>
          <cell r="T148">
            <v>0</v>
          </cell>
          <cell r="U148" t="str">
            <v>Projet ingénierie</v>
          </cell>
          <cell r="V148">
            <v>0</v>
          </cell>
        </row>
        <row r="149">
          <cell r="A149">
            <v>59834036</v>
          </cell>
          <cell r="B149">
            <v>46093.713761574072</v>
          </cell>
          <cell r="C149">
            <v>60133383</v>
          </cell>
          <cell r="D149">
            <v>46099.680173611108</v>
          </cell>
          <cell r="E149" t="str">
            <v>Cordonnateur Prestatataire: Affectation Technicien</v>
          </cell>
          <cell r="F149" t="str">
            <v>SYNELIA GROUP AFRIQUE</v>
          </cell>
          <cell r="G149">
            <v>787309090</v>
          </cell>
          <cell r="H149" t="str">
            <v>COCODY</v>
          </cell>
          <cell r="I149" t="str">
            <v>-</v>
          </cell>
          <cell r="J149" t="str">
            <v>T0</v>
          </cell>
          <cell r="K149" t="str">
            <v>fo_virage</v>
          </cell>
          <cell r="L149" t="str">
            <v>numerique</v>
          </cell>
          <cell r="M149" t="str">
            <v>Nominale</v>
          </cell>
          <cell r="N149" t="str">
            <v>Encours</v>
          </cell>
          <cell r="O149" t="str">
            <v>XXXXXXXXXXXX</v>
          </cell>
          <cell r="P149" t="str">
            <v>-</v>
          </cell>
          <cell r="Q149" t="str">
            <v>-</v>
          </cell>
          <cell r="R149">
            <v>6</v>
          </cell>
          <cell r="S149" t="str">
            <v>Non</v>
          </cell>
          <cell r="T149" t="str">
            <v>NON</v>
          </cell>
          <cell r="U149">
            <v>0</v>
          </cell>
          <cell r="V149">
            <v>0</v>
          </cell>
        </row>
        <row r="150">
          <cell r="A150">
            <v>59888143</v>
          </cell>
          <cell r="B150">
            <v>46094.646597222221</v>
          </cell>
          <cell r="C150">
            <v>60162137</v>
          </cell>
          <cell r="D150">
            <v>46100.409004629626</v>
          </cell>
          <cell r="E150" t="str">
            <v>Prestataire : Travaux</v>
          </cell>
          <cell r="F150" t="str">
            <v>STE DGTCP</v>
          </cell>
          <cell r="G150">
            <v>708858866</v>
          </cell>
          <cell r="H150" t="str">
            <v>PLATEAU EN FACE DU PALAIS DE JUSTICE</v>
          </cell>
          <cell r="I150" t="str">
            <v>-</v>
          </cell>
          <cell r="J150" t="str">
            <v>T0</v>
          </cell>
          <cell r="K150" t="str">
            <v>fo_virage</v>
          </cell>
          <cell r="L150" t="str">
            <v>numerique</v>
          </cell>
          <cell r="M150" t="str">
            <v>Nominale</v>
          </cell>
          <cell r="N150" t="str">
            <v>Offert</v>
          </cell>
          <cell r="O150" t="str">
            <v>XXXXXXXXX</v>
          </cell>
          <cell r="P150" t="str">
            <v>-</v>
          </cell>
          <cell r="Q150" t="str">
            <v>-</v>
          </cell>
          <cell r="R150">
            <v>5</v>
          </cell>
          <cell r="S150" t="e">
            <v>#N/A</v>
          </cell>
          <cell r="T150" t="e">
            <v>#N/A</v>
          </cell>
          <cell r="U150" t="e">
            <v>#N/A</v>
          </cell>
          <cell r="V150" t="e">
            <v>#N/A</v>
          </cell>
        </row>
        <row r="151">
          <cell r="A151">
            <v>59889656</v>
          </cell>
          <cell r="B151">
            <v>46094.657060185185</v>
          </cell>
          <cell r="C151">
            <v>60199357</v>
          </cell>
          <cell r="D151">
            <v>46100.685902777775</v>
          </cell>
          <cell r="E151" t="str">
            <v>Support IP: Correction</v>
          </cell>
          <cell r="F151" t="str">
            <v>AMOAMAN &amp; ASSOCIES</v>
          </cell>
          <cell r="G151">
            <v>709813123</v>
          </cell>
          <cell r="H151" t="str">
            <v>COCODY RIVIEA 3</v>
          </cell>
          <cell r="I151" t="str">
            <v>-</v>
          </cell>
          <cell r="J151" t="str">
            <v>LSI Gold</v>
          </cell>
          <cell r="K151" t="str">
            <v>fo</v>
          </cell>
          <cell r="L151" t="str">
            <v>LSI</v>
          </cell>
          <cell r="M151" t="str">
            <v>Nominale</v>
          </cell>
          <cell r="N151" t="str">
            <v>Offert</v>
          </cell>
          <cell r="O151" t="str">
            <v>XXXXXXXXX</v>
          </cell>
          <cell r="P151" t="str">
            <v>-</v>
          </cell>
          <cell r="Q151">
            <v>600000</v>
          </cell>
          <cell r="R151">
            <v>5</v>
          </cell>
          <cell r="S151" t="e">
            <v>#N/A</v>
          </cell>
          <cell r="T151" t="e">
            <v>#N/A</v>
          </cell>
          <cell r="U151" t="e">
            <v>#N/A</v>
          </cell>
          <cell r="V151" t="e">
            <v>#N/A</v>
          </cell>
        </row>
        <row r="152">
          <cell r="A152">
            <v>59894743</v>
          </cell>
          <cell r="B152">
            <v>46094.687673611108</v>
          </cell>
          <cell r="C152">
            <v>60193377</v>
          </cell>
          <cell r="D152">
            <v>46100.641863425924</v>
          </cell>
          <cell r="E152" t="str">
            <v>BBF : Validation Etude</v>
          </cell>
          <cell r="F152" t="str">
            <v>MAXAM CI</v>
          </cell>
          <cell r="G152">
            <v>759668146</v>
          </cell>
          <cell r="H152" t="str">
            <v>COCODY</v>
          </cell>
          <cell r="I152" t="str">
            <v>-</v>
          </cell>
          <cell r="J152" t="str">
            <v>SYTRAN</v>
          </cell>
          <cell r="K152" t="str">
            <v>fo</v>
          </cell>
          <cell r="L152" t="str">
            <v>LSI</v>
          </cell>
          <cell r="M152" t="str">
            <v>Backup</v>
          </cell>
          <cell r="N152" t="str">
            <v>Offert</v>
          </cell>
          <cell r="O152" t="str">
            <v>XXXXXXXXXX</v>
          </cell>
          <cell r="P152" t="str">
            <v>-</v>
          </cell>
          <cell r="Q152" t="str">
            <v>-</v>
          </cell>
          <cell r="R152">
            <v>5</v>
          </cell>
          <cell r="S152" t="e">
            <v>#N/A</v>
          </cell>
          <cell r="T152" t="e">
            <v>#N/A</v>
          </cell>
          <cell r="U152" t="e">
            <v>#N/A</v>
          </cell>
          <cell r="V152" t="e">
            <v>#N/A</v>
          </cell>
        </row>
        <row r="153">
          <cell r="A153">
            <v>59894758</v>
          </cell>
          <cell r="B153">
            <v>46094.687719907408</v>
          </cell>
          <cell r="C153">
            <v>60202861</v>
          </cell>
          <cell r="D153">
            <v>46100.711192129631</v>
          </cell>
          <cell r="E153" t="str">
            <v>Prestataire : Etude</v>
          </cell>
          <cell r="F153" t="str">
            <v>MAXAM CI</v>
          </cell>
          <cell r="G153">
            <v>759668146</v>
          </cell>
          <cell r="H153" t="str">
            <v>ABIDJAN-COCODY//VOIE INCONNUE/M.ME SARA LOBOGNON</v>
          </cell>
          <cell r="I153">
            <v>1849216</v>
          </cell>
          <cell r="J153" t="str">
            <v>LIAISON SPECIALISEE</v>
          </cell>
          <cell r="K153" t="str">
            <v>fo</v>
          </cell>
          <cell r="L153" t="str">
            <v>LSI</v>
          </cell>
          <cell r="M153" t="str">
            <v>Principale (avec backup)</v>
          </cell>
          <cell r="N153" t="str">
            <v>Offert</v>
          </cell>
          <cell r="O153" t="str">
            <v>XXXXXXXXXXX</v>
          </cell>
          <cell r="P153" t="str">
            <v>-</v>
          </cell>
          <cell r="Q153">
            <v>1000000</v>
          </cell>
          <cell r="R153">
            <v>5</v>
          </cell>
          <cell r="S153" t="e">
            <v>#N/A</v>
          </cell>
          <cell r="T153" t="e">
            <v>#N/A</v>
          </cell>
          <cell r="U153" t="e">
            <v>#N/A</v>
          </cell>
          <cell r="V153" t="e">
            <v>#N/A</v>
          </cell>
        </row>
        <row r="154">
          <cell r="A154">
            <v>60025705</v>
          </cell>
          <cell r="B154">
            <v>46098.34920138889</v>
          </cell>
          <cell r="C154">
            <v>60165414</v>
          </cell>
          <cell r="D154">
            <v>46100.437986111108</v>
          </cell>
          <cell r="E154" t="str">
            <v>Responsable Zone: Validation pour intervention</v>
          </cell>
          <cell r="F154" t="str">
            <v>SOGENA COTE D'IVOIRE</v>
          </cell>
          <cell r="G154">
            <v>704080021</v>
          </cell>
          <cell r="H154" t="str">
            <v>ABIDJAN-MARCORY//VOIE INCONNUE/ZONE 4</v>
          </cell>
          <cell r="I154">
            <v>1849206</v>
          </cell>
          <cell r="J154" t="str">
            <v>IP Connect LL</v>
          </cell>
          <cell r="K154" t="str">
            <v>radio_lte</v>
          </cell>
          <cell r="L154" t="str">
            <v>LS</v>
          </cell>
          <cell r="M154" t="str">
            <v>BCK</v>
          </cell>
          <cell r="N154" t="str">
            <v>Offert</v>
          </cell>
          <cell r="O154" t="str">
            <v>BUVPN260059</v>
          </cell>
          <cell r="P154" t="str">
            <v>-</v>
          </cell>
          <cell r="Q154">
            <v>0</v>
          </cell>
          <cell r="R154">
            <v>3</v>
          </cell>
          <cell r="S154" t="e">
            <v>#N/A</v>
          </cell>
          <cell r="T154" t="e">
            <v>#N/A</v>
          </cell>
          <cell r="U154" t="e">
            <v>#N/A</v>
          </cell>
          <cell r="V154" t="e">
            <v>#N/A</v>
          </cell>
        </row>
        <row r="155">
          <cell r="A155">
            <v>60026486</v>
          </cell>
          <cell r="B155">
            <v>46098.36173611111</v>
          </cell>
          <cell r="C155">
            <v>60121930</v>
          </cell>
          <cell r="D155">
            <v>46099.594039351854</v>
          </cell>
          <cell r="E155" t="str">
            <v>Responsable Zone: Coordination etude et travaux</v>
          </cell>
          <cell r="F155" t="str">
            <v>OFI OLAM IVOIRE</v>
          </cell>
          <cell r="G155">
            <v>506727287</v>
          </cell>
          <cell r="H155" t="str">
            <v>BOUAKE</v>
          </cell>
          <cell r="I155" t="str">
            <v>-</v>
          </cell>
          <cell r="J155" t="str">
            <v>SYTRAN</v>
          </cell>
          <cell r="K155" t="str">
            <v>radio_fh</v>
          </cell>
          <cell r="L155" t="str">
            <v>LSI</v>
          </cell>
          <cell r="M155" t="str">
            <v>Backup</v>
          </cell>
          <cell r="N155" t="str">
            <v>Offert</v>
          </cell>
          <cell r="O155" t="str">
            <v>-</v>
          </cell>
          <cell r="P155" t="str">
            <v>-</v>
          </cell>
          <cell r="Q155">
            <v>0</v>
          </cell>
          <cell r="R155">
            <v>3</v>
          </cell>
          <cell r="S155" t="e">
            <v>#N/A</v>
          </cell>
          <cell r="T155" t="e">
            <v>#N/A</v>
          </cell>
          <cell r="U155" t="e">
            <v>#N/A</v>
          </cell>
          <cell r="V155" t="e">
            <v>#N/A</v>
          </cell>
        </row>
        <row r="156">
          <cell r="A156">
            <v>60084243</v>
          </cell>
          <cell r="B156">
            <v>46098.817627314813</v>
          </cell>
          <cell r="C156">
            <v>60105219</v>
          </cell>
          <cell r="D156">
            <v>46099.462893518517</v>
          </cell>
          <cell r="E156" t="str">
            <v>Responsable Zone: Coordination etude et travaux</v>
          </cell>
          <cell r="F156" t="str">
            <v>SOCIETE GEZA EXPERTISE</v>
          </cell>
          <cell r="G156">
            <v>707708502</v>
          </cell>
          <cell r="H156" t="str">
            <v>COCODY</v>
          </cell>
          <cell r="I156">
            <v>0</v>
          </cell>
          <cell r="J156" t="str">
            <v>T0</v>
          </cell>
          <cell r="K156" t="str">
            <v>fo_virage</v>
          </cell>
          <cell r="L156" t="str">
            <v>numerique</v>
          </cell>
          <cell r="M156" t="str">
            <v>Nominale</v>
          </cell>
          <cell r="N156" t="str">
            <v>Encours</v>
          </cell>
          <cell r="O156" t="str">
            <v>-</v>
          </cell>
          <cell r="P156" t="str">
            <v>-</v>
          </cell>
          <cell r="Q156" t="str">
            <v>-</v>
          </cell>
          <cell r="R156">
            <v>3</v>
          </cell>
          <cell r="S156" t="e">
            <v>#N/A</v>
          </cell>
          <cell r="T156" t="e">
            <v>#N/A</v>
          </cell>
          <cell r="U156" t="e">
            <v>#N/A</v>
          </cell>
          <cell r="V156" t="e">
            <v>#N/A</v>
          </cell>
        </row>
        <row r="157">
          <cell r="A157">
            <v>60154802</v>
          </cell>
          <cell r="B157">
            <v>46100.305405092593</v>
          </cell>
          <cell r="C157">
            <v>60191170</v>
          </cell>
          <cell r="D157">
            <v>46100.626759259256</v>
          </cell>
          <cell r="E157" t="str">
            <v>Prestataire : Etude</v>
          </cell>
          <cell r="F157" t="str">
            <v>DGTCP</v>
          </cell>
          <cell r="G157">
            <v>707225975</v>
          </cell>
          <cell r="H157" t="str">
            <v>COCODY</v>
          </cell>
          <cell r="I157" t="str">
            <v>-</v>
          </cell>
          <cell r="J157" t="str">
            <v>T0</v>
          </cell>
          <cell r="K157" t="str">
            <v>fo_virage</v>
          </cell>
          <cell r="L157" t="str">
            <v>numerique</v>
          </cell>
          <cell r="M157" t="str">
            <v>Nominale</v>
          </cell>
          <cell r="N157" t="str">
            <v>Offert</v>
          </cell>
          <cell r="O157" t="str">
            <v>XXXXXXXXXXXXXXX</v>
          </cell>
          <cell r="P157" t="str">
            <v>-</v>
          </cell>
          <cell r="Q157" t="str">
            <v>-</v>
          </cell>
          <cell r="R157">
            <v>1</v>
          </cell>
          <cell r="S157" t="e">
            <v>#N/A</v>
          </cell>
          <cell r="T157" t="e">
            <v>#N/A</v>
          </cell>
          <cell r="U157" t="e">
            <v>#N/A</v>
          </cell>
          <cell r="V157" t="e">
            <v>#N/A</v>
          </cell>
        </row>
        <row r="158">
          <cell r="A158">
            <v>60162087</v>
          </cell>
          <cell r="B158">
            <v>46100.408645833333</v>
          </cell>
          <cell r="C158">
            <v>60164327</v>
          </cell>
          <cell r="D158">
            <v>46100.428159722222</v>
          </cell>
          <cell r="E158" t="str">
            <v>IP Delivery: Validation information</v>
          </cell>
          <cell r="F158" t="str">
            <v>ROYAL INVESTISSEMENT INTERNATIONAL</v>
          </cell>
          <cell r="G158">
            <v>757271671</v>
          </cell>
          <cell r="H158" t="str">
            <v>TREICHVILLE</v>
          </cell>
          <cell r="I158" t="str">
            <v>-</v>
          </cell>
          <cell r="J158" t="str">
            <v>SYTRAN</v>
          </cell>
          <cell r="K158" t="str">
            <v>fo</v>
          </cell>
          <cell r="L158" t="str">
            <v>LSI</v>
          </cell>
          <cell r="M158" t="str">
            <v>Temporaire</v>
          </cell>
          <cell r="N158" t="str">
            <v>Offert</v>
          </cell>
          <cell r="O158" t="str">
            <v>-</v>
          </cell>
          <cell r="P158" t="str">
            <v>-</v>
          </cell>
          <cell r="Q158">
            <v>400000</v>
          </cell>
          <cell r="R158">
            <v>1</v>
          </cell>
          <cell r="S158" t="e">
            <v>#N/A</v>
          </cell>
          <cell r="T158" t="e">
            <v>#N/A</v>
          </cell>
          <cell r="U158" t="e">
            <v>#N/A</v>
          </cell>
          <cell r="V158" t="e">
            <v>#N/A</v>
          </cell>
        </row>
        <row r="159">
          <cell r="A159">
            <v>60190035</v>
          </cell>
          <cell r="B159">
            <v>46100.619201388887</v>
          </cell>
          <cell r="C159">
            <v>60194911</v>
          </cell>
          <cell r="D159">
            <v>46100.650335648148</v>
          </cell>
          <cell r="E159" t="str">
            <v>IP Delivery: Validation information</v>
          </cell>
          <cell r="F159" t="str">
            <v>INSTITUT CARDIOLOGIE BOUAKE</v>
          </cell>
          <cell r="G159">
            <v>708142290</v>
          </cell>
          <cell r="H159" t="str">
            <v>BOUAKE</v>
          </cell>
          <cell r="I159" t="str">
            <v>-</v>
          </cell>
          <cell r="J159" t="str">
            <v>T2</v>
          </cell>
          <cell r="K159" t="str">
            <v>fo_virage</v>
          </cell>
          <cell r="L159" t="str">
            <v>numerique</v>
          </cell>
          <cell r="M159" t="str">
            <v>Nominale</v>
          </cell>
          <cell r="N159" t="str">
            <v>Offert</v>
          </cell>
          <cell r="O159" t="str">
            <v>-</v>
          </cell>
          <cell r="P159" t="str">
            <v>-</v>
          </cell>
          <cell r="Q159" t="str">
            <v>-</v>
          </cell>
          <cell r="R159">
            <v>1</v>
          </cell>
          <cell r="S159" t="e">
            <v>#N/A</v>
          </cell>
          <cell r="T159" t="e">
            <v>#N/A</v>
          </cell>
          <cell r="U159" t="e">
            <v>#N/A</v>
          </cell>
          <cell r="V159" t="e">
            <v>#N/A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41"/>
  <sheetViews>
    <sheetView tabSelected="1" workbookViewId="0">
      <pane xSplit="6" ySplit="1" topLeftCell="G3" activePane="bottomRight" state="frozen"/>
      <selection pane="topRight" activeCell="G1" sqref="G1"/>
      <selection pane="bottomLeft" activeCell="A2" sqref="A2"/>
      <selection pane="bottomRight" activeCell="Y140" sqref="Y140"/>
    </sheetView>
  </sheetViews>
  <sheetFormatPr baseColWidth="10" defaultRowHeight="14.5" x14ac:dyDescent="0.35"/>
  <cols>
    <col min="1" max="1" width="11" bestFit="1" customWidth="1"/>
    <col min="2" max="2" width="12.453125" bestFit="1" customWidth="1"/>
    <col min="3" max="3" width="11" hidden="1" customWidth="1"/>
    <col min="4" max="4" width="12.453125" hidden="1" customWidth="1"/>
    <col min="7" max="7" width="11" bestFit="1" customWidth="1"/>
    <col min="9" max="9" width="11" bestFit="1" customWidth="1"/>
    <col min="15" max="15" width="11" bestFit="1" customWidth="1"/>
    <col min="17" max="17" width="11" bestFit="1" customWidth="1"/>
    <col min="21" max="21" width="23.26953125" customWidth="1"/>
  </cols>
  <sheetData>
    <row r="1" spans="1:22" ht="24.5" customHeight="1" x14ac:dyDescent="0.35">
      <c r="A1" s="1" t="s">
        <v>286</v>
      </c>
      <c r="B1" s="2" t="s">
        <v>287</v>
      </c>
      <c r="C1" s="1" t="s">
        <v>288</v>
      </c>
      <c r="D1" s="2" t="s">
        <v>289</v>
      </c>
      <c r="E1" s="1" t="s">
        <v>290</v>
      </c>
      <c r="F1" s="1" t="s">
        <v>291</v>
      </c>
      <c r="G1" s="1" t="s">
        <v>292</v>
      </c>
      <c r="H1" s="1" t="s">
        <v>293</v>
      </c>
      <c r="I1" s="1" t="s">
        <v>294</v>
      </c>
      <c r="J1" s="1" t="s">
        <v>295</v>
      </c>
      <c r="K1" s="1" t="s">
        <v>296</v>
      </c>
      <c r="L1" s="1" t="s">
        <v>297</v>
      </c>
      <c r="M1" s="1" t="s">
        <v>298</v>
      </c>
      <c r="N1" s="1" t="s">
        <v>299</v>
      </c>
      <c r="O1" s="1" t="s">
        <v>300</v>
      </c>
      <c r="P1" s="1" t="s">
        <v>301</v>
      </c>
      <c r="Q1" s="1" t="s">
        <v>302</v>
      </c>
      <c r="R1" s="6" t="s">
        <v>303</v>
      </c>
      <c r="S1" s="7" t="s">
        <v>304</v>
      </c>
      <c r="T1" s="7" t="s">
        <v>305</v>
      </c>
      <c r="U1" s="7" t="s">
        <v>306</v>
      </c>
      <c r="V1" s="7" t="s">
        <v>307</v>
      </c>
    </row>
    <row r="2" spans="1:22" ht="48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  <c r="R2" s="8">
        <f ca="1">NETWORKDAYS(B2,TODAY())</f>
        <v>229</v>
      </c>
      <c r="S2" s="8" t="str">
        <f>VLOOKUP(A2,[1]Feuil1!$A:$V,19,FALSE)</f>
        <v>Oui</v>
      </c>
      <c r="T2" s="8" t="str">
        <f>VLOOKUP(A2,[1]Feuil1!$A:$V,20,FALSE)</f>
        <v xml:space="preserve">CLIENT </v>
      </c>
      <c r="U2" s="8" t="str">
        <f>VLOOKUP(A2,[1]Feuil1!$A:$V,21,FALSE)</f>
        <v>Frais en cours de paiement</v>
      </c>
      <c r="V2" s="8" t="str">
        <f>VLOOKUP(A2,[1]Feuil1!$A:$V,22,FALSE)</f>
        <v>Hors Projet</v>
      </c>
    </row>
    <row r="3" spans="1:22" ht="87" customHeight="1" x14ac:dyDescent="0.35">
      <c r="A3" s="3">
        <v>48847621</v>
      </c>
      <c r="B3" s="4">
        <v>45882.483449074076</v>
      </c>
      <c r="C3" s="3">
        <v>60094807</v>
      </c>
      <c r="D3" s="4">
        <v>46099.377268518518</v>
      </c>
      <c r="E3" s="3" t="s">
        <v>15</v>
      </c>
      <c r="F3" s="3" t="s">
        <v>8</v>
      </c>
      <c r="G3" s="3">
        <v>749194205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6</v>
      </c>
      <c r="N3" s="3" t="s">
        <v>13</v>
      </c>
      <c r="O3" s="3" t="s">
        <v>14</v>
      </c>
      <c r="P3" s="3" t="s">
        <v>2</v>
      </c>
      <c r="Q3" s="3" t="s">
        <v>2</v>
      </c>
      <c r="R3" s="8">
        <f t="shared" ref="R3:R65" ca="1" si="0">NETWORKDAYS(B3,TODAY())</f>
        <v>169</v>
      </c>
      <c r="S3" s="8" t="s">
        <v>320</v>
      </c>
      <c r="T3" s="8" t="s">
        <v>173</v>
      </c>
      <c r="U3" s="8" t="s">
        <v>321</v>
      </c>
      <c r="V3" s="8" t="s">
        <v>333</v>
      </c>
    </row>
    <row r="4" spans="1:22" ht="60" x14ac:dyDescent="0.35">
      <c r="A4" s="3">
        <v>51760632</v>
      </c>
      <c r="B4" s="4">
        <v>45938.521469907406</v>
      </c>
      <c r="C4" s="3">
        <v>59332667</v>
      </c>
      <c r="D4" s="4">
        <v>46085.453263888892</v>
      </c>
      <c r="E4" s="3" t="s">
        <v>22</v>
      </c>
      <c r="F4" s="3" t="s">
        <v>16</v>
      </c>
      <c r="G4" s="3">
        <v>556999292</v>
      </c>
      <c r="H4" s="3" t="s">
        <v>17</v>
      </c>
      <c r="I4" s="3" t="s">
        <v>2</v>
      </c>
      <c r="J4" s="3" t="s">
        <v>18</v>
      </c>
      <c r="K4" s="3" t="s">
        <v>19</v>
      </c>
      <c r="L4" s="3" t="s">
        <v>12</v>
      </c>
      <c r="M4" s="3" t="s">
        <v>20</v>
      </c>
      <c r="N4" s="3" t="s">
        <v>13</v>
      </c>
      <c r="O4" s="3" t="s">
        <v>21</v>
      </c>
      <c r="P4" s="3" t="s">
        <v>2</v>
      </c>
      <c r="Q4" s="3" t="s">
        <v>2</v>
      </c>
      <c r="R4" s="8">
        <f t="shared" ca="1" si="0"/>
        <v>129</v>
      </c>
      <c r="S4" s="8" t="str">
        <f>VLOOKUP(A4,[1]Feuil1!$A:$V,19,FALSE)</f>
        <v>Non</v>
      </c>
      <c r="T4" s="8" t="str">
        <f>VLOOKUP(A4,[1]Feuil1!$A:$V,20,FALSE)</f>
        <v>OCI</v>
      </c>
      <c r="U4" s="8" t="str">
        <f>VLOOKUP(A4,[1]Feuil1!$A:$V,21,FALSE)</f>
        <v>Modification de l'architecture</v>
      </c>
      <c r="V4" s="8" t="str">
        <f>VLOOKUP(A4,[1]Feuil1!$A:$V,22,FALSE)</f>
        <v>Hors Projet</v>
      </c>
    </row>
    <row r="5" spans="1:22" ht="24" x14ac:dyDescent="0.35">
      <c r="A5" s="3">
        <v>52448985</v>
      </c>
      <c r="B5" s="4">
        <v>45952.656354166669</v>
      </c>
      <c r="C5" s="3">
        <v>60421537</v>
      </c>
      <c r="D5" s="4">
        <v>46105.662175925929</v>
      </c>
      <c r="E5" s="3" t="s">
        <v>27</v>
      </c>
      <c r="F5" s="3" t="s">
        <v>23</v>
      </c>
      <c r="G5" s="3">
        <v>708086759</v>
      </c>
      <c r="H5" s="3" t="s">
        <v>24</v>
      </c>
      <c r="I5" s="3" t="s">
        <v>2</v>
      </c>
      <c r="J5" s="3" t="s">
        <v>18</v>
      </c>
      <c r="K5" s="3" t="s">
        <v>25</v>
      </c>
      <c r="L5" s="3" t="s">
        <v>12</v>
      </c>
      <c r="M5" s="3" t="s">
        <v>20</v>
      </c>
      <c r="N5" s="3" t="s">
        <v>13</v>
      </c>
      <c r="O5" s="3" t="s">
        <v>26</v>
      </c>
      <c r="P5" s="3" t="s">
        <v>2</v>
      </c>
      <c r="Q5" s="3" t="s">
        <v>2</v>
      </c>
      <c r="R5" s="8">
        <f t="shared" ca="1" si="0"/>
        <v>119</v>
      </c>
      <c r="S5" s="8" t="str">
        <f>VLOOKUP(A5,[1]Feuil1!$A:$V,19,FALSE)</f>
        <v>Oui</v>
      </c>
      <c r="T5" s="8" t="s">
        <v>173</v>
      </c>
      <c r="U5" s="8" t="s">
        <v>308</v>
      </c>
      <c r="V5" s="8" t="str">
        <f>VLOOKUP(A5,[1]Feuil1!$A:$V,22,FALSE)</f>
        <v>Projet</v>
      </c>
    </row>
    <row r="6" spans="1:22" ht="24" x14ac:dyDescent="0.35">
      <c r="A6" s="3">
        <v>52561777</v>
      </c>
      <c r="B6" s="4">
        <v>45954.649918981479</v>
      </c>
      <c r="C6" s="3">
        <v>60867347</v>
      </c>
      <c r="D6" s="4">
        <v>46113.425798611112</v>
      </c>
      <c r="E6" s="3" t="s">
        <v>27</v>
      </c>
      <c r="F6" s="3" t="s">
        <v>28</v>
      </c>
      <c r="G6" s="3">
        <v>708086759</v>
      </c>
      <c r="H6" s="3" t="s">
        <v>29</v>
      </c>
      <c r="I6" s="3" t="s">
        <v>2</v>
      </c>
      <c r="J6" s="3" t="s">
        <v>10</v>
      </c>
      <c r="K6" s="3" t="s">
        <v>25</v>
      </c>
      <c r="L6" s="3" t="s">
        <v>30</v>
      </c>
      <c r="M6" s="3" t="s">
        <v>20</v>
      </c>
      <c r="N6" s="3" t="s">
        <v>13</v>
      </c>
      <c r="O6" s="3" t="s">
        <v>21</v>
      </c>
      <c r="P6" s="3" t="s">
        <v>2</v>
      </c>
      <c r="Q6" s="3" t="s">
        <v>2</v>
      </c>
      <c r="R6" s="8">
        <f t="shared" ca="1" si="0"/>
        <v>117</v>
      </c>
      <c r="S6" s="8" t="str">
        <f>VLOOKUP(A6,[1]Feuil1!$A:$V,19,FALSE)</f>
        <v>Oui</v>
      </c>
      <c r="T6" s="8" t="s">
        <v>173</v>
      </c>
      <c r="U6" s="8" t="s">
        <v>308</v>
      </c>
      <c r="V6" s="8" t="str">
        <f>VLOOKUP(A6,[1]Feuil1!$A:$V,22,FALSE)</f>
        <v>Projet</v>
      </c>
    </row>
    <row r="7" spans="1:22" ht="24" x14ac:dyDescent="0.35">
      <c r="A7" s="3">
        <v>52691553</v>
      </c>
      <c r="B7" s="4">
        <v>45958.456122685187</v>
      </c>
      <c r="C7" s="3">
        <v>59242377</v>
      </c>
      <c r="D7" s="4">
        <v>46083.722071759257</v>
      </c>
      <c r="E7" s="3" t="s">
        <v>34</v>
      </c>
      <c r="F7" s="3" t="s">
        <v>31</v>
      </c>
      <c r="G7" s="3">
        <v>708473548</v>
      </c>
      <c r="H7" s="3" t="s">
        <v>32</v>
      </c>
      <c r="I7" s="3" t="s">
        <v>2</v>
      </c>
      <c r="J7" s="3" t="s">
        <v>10</v>
      </c>
      <c r="K7" s="3" t="s">
        <v>19</v>
      </c>
      <c r="L7" s="3" t="s">
        <v>30</v>
      </c>
      <c r="M7" s="3" t="s">
        <v>20</v>
      </c>
      <c r="N7" s="3" t="s">
        <v>13</v>
      </c>
      <c r="O7" s="3" t="s">
        <v>33</v>
      </c>
      <c r="P7" s="3" t="s">
        <v>2</v>
      </c>
      <c r="Q7" s="5">
        <v>1000000</v>
      </c>
      <c r="R7" s="8">
        <f t="shared" ca="1" si="0"/>
        <v>115</v>
      </c>
      <c r="S7" s="8" t="str">
        <f>VLOOKUP(A7,[1]Feuil1!$A:$V,19,FALSE)</f>
        <v>Non</v>
      </c>
      <c r="T7" s="8" t="str">
        <f>VLOOKUP(A7,[1]Feuil1!$A:$V,20,FALSE)</f>
        <v xml:space="preserve">CLIENT </v>
      </c>
      <c r="U7" s="8" t="str">
        <f>VLOOKUP(A7,[1]Feuil1!$A:$V,21,FALSE)</f>
        <v>Attente Autorisation Client</v>
      </c>
      <c r="V7" s="8" t="str">
        <f>VLOOKUP(A7,[1]Feuil1!$A:$V,22,FALSE)</f>
        <v>Hors Projet</v>
      </c>
    </row>
    <row r="8" spans="1:22" ht="36" x14ac:dyDescent="0.35">
      <c r="A8" s="3">
        <v>52778382</v>
      </c>
      <c r="B8" s="4">
        <v>45959.67696759259</v>
      </c>
      <c r="C8" s="3">
        <v>55073470</v>
      </c>
      <c r="D8" s="4">
        <v>46003.678194444445</v>
      </c>
      <c r="E8" s="3" t="s">
        <v>34</v>
      </c>
      <c r="F8" s="3" t="s">
        <v>35</v>
      </c>
      <c r="G8" s="3">
        <v>708086759</v>
      </c>
      <c r="H8" s="3" t="s">
        <v>36</v>
      </c>
      <c r="I8" s="3">
        <v>2788625</v>
      </c>
      <c r="J8" s="3" t="s">
        <v>37</v>
      </c>
      <c r="K8" s="3" t="s">
        <v>25</v>
      </c>
      <c r="L8" s="3" t="s">
        <v>12</v>
      </c>
      <c r="M8" s="3" t="s">
        <v>38</v>
      </c>
      <c r="N8" s="3" t="s">
        <v>13</v>
      </c>
      <c r="O8" s="3" t="s">
        <v>39</v>
      </c>
      <c r="P8" s="3" t="s">
        <v>2</v>
      </c>
      <c r="Q8" s="3" t="s">
        <v>2</v>
      </c>
      <c r="R8" s="8">
        <f t="shared" ca="1" si="0"/>
        <v>114</v>
      </c>
      <c r="S8" s="8" t="str">
        <f>VLOOKUP(A8,[1]Feuil1!$A:$V,19,FALSE)</f>
        <v>Non</v>
      </c>
      <c r="T8" s="8" t="str">
        <f>VLOOKUP(A8,[1]Feuil1!$A:$V,20,FALSE)</f>
        <v xml:space="preserve">CLIENT </v>
      </c>
      <c r="U8" s="8" t="s">
        <v>309</v>
      </c>
      <c r="V8" s="8" t="str">
        <f>VLOOKUP(A8,[1]Feuil1!$A:$V,22,FALSE)</f>
        <v>Projet</v>
      </c>
    </row>
    <row r="9" spans="1:22" ht="60" x14ac:dyDescent="0.35">
      <c r="A9" s="3">
        <v>52808171</v>
      </c>
      <c r="B9" s="4">
        <v>45960.452361111114</v>
      </c>
      <c r="C9" s="3">
        <v>59829408</v>
      </c>
      <c r="D9" s="4">
        <v>46093.677152777775</v>
      </c>
      <c r="E9" s="3" t="s">
        <v>34</v>
      </c>
      <c r="F9" s="3" t="s">
        <v>40</v>
      </c>
      <c r="G9" s="3">
        <v>709738605</v>
      </c>
      <c r="H9" s="3" t="s">
        <v>41</v>
      </c>
      <c r="I9" s="3">
        <v>2793645</v>
      </c>
      <c r="J9" s="3" t="s">
        <v>37</v>
      </c>
      <c r="K9" s="3" t="s">
        <v>25</v>
      </c>
      <c r="L9" s="3" t="s">
        <v>12</v>
      </c>
      <c r="M9" s="3" t="s">
        <v>20</v>
      </c>
      <c r="N9" s="3" t="s">
        <v>13</v>
      </c>
      <c r="O9" s="3" t="s">
        <v>42</v>
      </c>
      <c r="P9" s="3" t="s">
        <v>2</v>
      </c>
      <c r="Q9" s="3" t="s">
        <v>2</v>
      </c>
      <c r="R9" s="8">
        <f t="shared" ca="1" si="0"/>
        <v>113</v>
      </c>
      <c r="S9" s="8" t="str">
        <f>VLOOKUP(A9,[1]Feuil1!$A:$V,19,FALSE)</f>
        <v>Non</v>
      </c>
      <c r="T9" s="8" t="str">
        <f>VLOOKUP(A9,[1]Feuil1!$A:$V,20,FALSE)</f>
        <v xml:space="preserve">CLIENT </v>
      </c>
      <c r="U9" t="s">
        <v>310</v>
      </c>
      <c r="V9" s="8" t="str">
        <f>VLOOKUP(A9,[1]Feuil1!$A:$V,22,FALSE)</f>
        <v>Projet</v>
      </c>
    </row>
    <row r="10" spans="1:22" ht="48" x14ac:dyDescent="0.35">
      <c r="A10" s="3">
        <v>53702282</v>
      </c>
      <c r="B10" s="4">
        <v>45978.671550925923</v>
      </c>
      <c r="C10" s="3">
        <v>54614316</v>
      </c>
      <c r="D10" s="4">
        <v>45995.632673611108</v>
      </c>
      <c r="E10" s="3" t="s">
        <v>34</v>
      </c>
      <c r="F10" s="3" t="s">
        <v>43</v>
      </c>
      <c r="G10" s="3">
        <v>778036533</v>
      </c>
      <c r="H10" s="3" t="s">
        <v>44</v>
      </c>
      <c r="I10" s="3" t="s">
        <v>2</v>
      </c>
      <c r="J10" s="3" t="s">
        <v>3</v>
      </c>
      <c r="K10" s="3" t="s">
        <v>4</v>
      </c>
      <c r="L10" s="3" t="s">
        <v>5</v>
      </c>
      <c r="M10" s="3" t="s">
        <v>6</v>
      </c>
      <c r="N10" s="3" t="s">
        <v>13</v>
      </c>
      <c r="O10" s="3" t="s">
        <v>45</v>
      </c>
      <c r="P10" s="3" t="s">
        <v>2</v>
      </c>
      <c r="Q10" s="3" t="s">
        <v>2</v>
      </c>
      <c r="R10" s="8">
        <f t="shared" ca="1" si="0"/>
        <v>101</v>
      </c>
      <c r="S10" s="8" t="str">
        <f>VLOOKUP(A10,[1]Feuil1!$A:$V,19,FALSE)</f>
        <v>Non</v>
      </c>
      <c r="T10" s="8" t="str">
        <f>VLOOKUP(A10,[1]Feuil1!$A:$V,20,FALSE)</f>
        <v>OCI</v>
      </c>
      <c r="U10" s="8" t="str">
        <f>VLOOKUP(A10,[1]Feuil1!$A:$V,21,FALSE)</f>
        <v>MAIRIE DU PLATEAU</v>
      </c>
      <c r="V10" s="8" t="str">
        <f>VLOOKUP(A10,[1]Feuil1!$A:$V,22,FALSE)</f>
        <v>Hors Projet</v>
      </c>
    </row>
    <row r="11" spans="1:22" ht="24" x14ac:dyDescent="0.35">
      <c r="A11" s="3">
        <v>53749839</v>
      </c>
      <c r="B11" s="4">
        <v>45979.600694444445</v>
      </c>
      <c r="C11" s="3">
        <v>60873508</v>
      </c>
      <c r="D11" s="4">
        <v>46113.473923611113</v>
      </c>
      <c r="E11" s="3" t="s">
        <v>27</v>
      </c>
      <c r="F11" s="3" t="s">
        <v>46</v>
      </c>
      <c r="G11" s="3">
        <v>703333988</v>
      </c>
      <c r="H11" s="3" t="s">
        <v>47</v>
      </c>
      <c r="I11" s="3" t="s">
        <v>2</v>
      </c>
      <c r="J11" s="3" t="s">
        <v>10</v>
      </c>
      <c r="K11" s="3" t="s">
        <v>25</v>
      </c>
      <c r="L11" s="3" t="s">
        <v>30</v>
      </c>
      <c r="M11" s="3" t="s">
        <v>6</v>
      </c>
      <c r="N11" s="3" t="s">
        <v>13</v>
      </c>
      <c r="O11" s="3" t="s">
        <v>21</v>
      </c>
      <c r="P11" s="3" t="s">
        <v>2</v>
      </c>
      <c r="Q11" s="5">
        <v>10000000</v>
      </c>
      <c r="R11" s="8">
        <f t="shared" ca="1" si="0"/>
        <v>100</v>
      </c>
      <c r="S11" s="8" t="str">
        <f>VLOOKUP(A11,[1]Feuil1!$A:$V,19,FALSE)</f>
        <v>Oui</v>
      </c>
      <c r="T11" s="8" t="str">
        <f>VLOOKUP(A11,[1]Feuil1!$A:$V,20,FALSE)</f>
        <v>N/A</v>
      </c>
      <c r="U11" s="8" t="s">
        <v>311</v>
      </c>
      <c r="V11" s="8" t="str">
        <f>VLOOKUP(A11,[1]Feuil1!$A:$V,22,FALSE)</f>
        <v>Hors Projet</v>
      </c>
    </row>
    <row r="12" spans="1:22" ht="24" x14ac:dyDescent="0.35">
      <c r="A12" s="3">
        <v>53790357</v>
      </c>
      <c r="B12" s="4">
        <v>45980.438298611109</v>
      </c>
      <c r="C12" s="3">
        <v>60457171</v>
      </c>
      <c r="D12" s="4">
        <v>46106.402766203704</v>
      </c>
      <c r="E12" s="3" t="s">
        <v>34</v>
      </c>
      <c r="F12" s="3" t="s">
        <v>48</v>
      </c>
      <c r="G12" s="3">
        <v>708336404</v>
      </c>
      <c r="H12" s="3" t="s">
        <v>49</v>
      </c>
      <c r="I12" s="3" t="s">
        <v>2</v>
      </c>
      <c r="J12" s="3" t="s">
        <v>10</v>
      </c>
      <c r="K12" s="3" t="s">
        <v>19</v>
      </c>
      <c r="L12" s="3" t="s">
        <v>30</v>
      </c>
      <c r="M12" s="3" t="s">
        <v>6</v>
      </c>
      <c r="N12" s="3" t="s">
        <v>13</v>
      </c>
      <c r="O12" s="3" t="s">
        <v>50</v>
      </c>
      <c r="P12" s="3" t="s">
        <v>2</v>
      </c>
      <c r="Q12" s="5">
        <v>4430307</v>
      </c>
      <c r="R12" s="8">
        <f t="shared" ca="1" si="0"/>
        <v>99</v>
      </c>
      <c r="S12" s="8" t="str">
        <f>VLOOKUP(A12,[1]Feuil1!$A:$V,19,FALSE)</f>
        <v>Oui</v>
      </c>
      <c r="T12" s="8" t="str">
        <f>VLOOKUP(A12,[1]Feuil1!$A:$V,20,FALSE)</f>
        <v xml:space="preserve">CLIENT </v>
      </c>
      <c r="U12" t="s">
        <v>312</v>
      </c>
      <c r="V12" s="8" t="str">
        <f>VLOOKUP(A12,[1]Feuil1!$A:$V,22,FALSE)</f>
        <v>Hors Projet</v>
      </c>
    </row>
    <row r="13" spans="1:22" ht="36" x14ac:dyDescent="0.35">
      <c r="A13" s="3">
        <v>53899369</v>
      </c>
      <c r="B13" s="4">
        <v>45981.827430555553</v>
      </c>
      <c r="C13" s="3">
        <v>55146678</v>
      </c>
      <c r="D13" s="4">
        <v>46005.762916666667</v>
      </c>
      <c r="E13" s="3" t="s">
        <v>34</v>
      </c>
      <c r="F13" s="3" t="s">
        <v>51</v>
      </c>
      <c r="G13" s="3">
        <v>707003126</v>
      </c>
      <c r="H13" s="3" t="s">
        <v>52</v>
      </c>
      <c r="I13" s="3" t="s">
        <v>2</v>
      </c>
      <c r="J13" s="3" t="s">
        <v>10</v>
      </c>
      <c r="K13" s="3" t="s">
        <v>25</v>
      </c>
      <c r="L13" s="3" t="s">
        <v>30</v>
      </c>
      <c r="M13" s="3" t="s">
        <v>20</v>
      </c>
      <c r="N13" s="3" t="s">
        <v>13</v>
      </c>
      <c r="O13" s="3" t="s">
        <v>53</v>
      </c>
      <c r="P13" s="3" t="s">
        <v>2</v>
      </c>
      <c r="Q13" s="3">
        <v>0</v>
      </c>
      <c r="R13" s="8">
        <f t="shared" ca="1" si="0"/>
        <v>98</v>
      </c>
      <c r="S13" s="8" t="str">
        <f>VLOOKUP(A13,[1]Feuil1!$A:$V,19,FALSE)</f>
        <v>Non</v>
      </c>
      <c r="T13" s="8" t="str">
        <f>VLOOKUP(A13,[1]Feuil1!$A:$V,20,FALSE)</f>
        <v>OCI</v>
      </c>
      <c r="U13" t="s">
        <v>313</v>
      </c>
      <c r="V13" s="8" t="str">
        <f>VLOOKUP(A13,[1]Feuil1!$A:$V,22,FALSE)</f>
        <v>Hors Projet</v>
      </c>
    </row>
    <row r="14" spans="1:22" ht="216" x14ac:dyDescent="0.35">
      <c r="A14" s="3">
        <v>54178346</v>
      </c>
      <c r="B14" s="4">
        <v>45987.646099537036</v>
      </c>
      <c r="C14" s="3">
        <v>59755436</v>
      </c>
      <c r="D14" s="4">
        <v>46092.631111111114</v>
      </c>
      <c r="E14" s="3" t="s">
        <v>15</v>
      </c>
      <c r="F14" s="3" t="s">
        <v>54</v>
      </c>
      <c r="G14" s="3">
        <v>757323203</v>
      </c>
      <c r="H14" s="3" t="s">
        <v>55</v>
      </c>
      <c r="I14" s="3" t="s">
        <v>2</v>
      </c>
      <c r="J14" s="3" t="s">
        <v>56</v>
      </c>
      <c r="K14" s="3" t="s">
        <v>25</v>
      </c>
      <c r="L14" s="3" t="s">
        <v>12</v>
      </c>
      <c r="M14" s="3" t="s">
        <v>6</v>
      </c>
      <c r="N14" s="3" t="s">
        <v>13</v>
      </c>
      <c r="O14" s="3" t="s">
        <v>57</v>
      </c>
      <c r="P14" s="3" t="s">
        <v>2</v>
      </c>
      <c r="Q14" s="3" t="s">
        <v>2</v>
      </c>
      <c r="R14" s="8">
        <f t="shared" ca="1" si="0"/>
        <v>94</v>
      </c>
      <c r="S14" s="8" t="str">
        <f>VLOOKUP(A14,[1]Feuil1!$A:$V,19,FALSE)</f>
        <v>Non</v>
      </c>
      <c r="T14" s="8" t="str">
        <f>VLOOKUP(A14,[1]Feuil1!$A:$V,20,FALSE)</f>
        <v>N/A</v>
      </c>
      <c r="U14" s="9" t="s">
        <v>314</v>
      </c>
      <c r="V14" s="8" t="str">
        <f>VLOOKUP(A14,[1]Feuil1!$A:$V,22,FALSE)</f>
        <v>Projet</v>
      </c>
    </row>
    <row r="15" spans="1:22" ht="24" x14ac:dyDescent="0.35">
      <c r="A15" s="3">
        <v>54449048</v>
      </c>
      <c r="B15" s="4">
        <v>45992.706157407411</v>
      </c>
      <c r="C15" s="3">
        <v>56341749</v>
      </c>
      <c r="D15" s="4">
        <v>46029.685115740744</v>
      </c>
      <c r="E15" s="3" t="s">
        <v>34</v>
      </c>
      <c r="F15" s="3" t="s">
        <v>58</v>
      </c>
      <c r="G15" s="3">
        <v>708086759</v>
      </c>
      <c r="H15" s="3" t="s">
        <v>59</v>
      </c>
      <c r="I15" s="3" t="s">
        <v>2</v>
      </c>
      <c r="J15" s="3" t="s">
        <v>18</v>
      </c>
      <c r="K15" s="3" t="s">
        <v>25</v>
      </c>
      <c r="L15" s="3" t="s">
        <v>12</v>
      </c>
      <c r="M15" s="3" t="s">
        <v>20</v>
      </c>
      <c r="N15" s="3" t="s">
        <v>13</v>
      </c>
      <c r="O15" s="3" t="s">
        <v>60</v>
      </c>
      <c r="P15" s="3" t="s">
        <v>2</v>
      </c>
      <c r="Q15" s="3" t="s">
        <v>2</v>
      </c>
      <c r="R15" s="8">
        <f t="shared" ca="1" si="0"/>
        <v>91</v>
      </c>
      <c r="S15" s="8" t="str">
        <f>VLOOKUP(A15,[1]Feuil1!$A:$V,19,FALSE)</f>
        <v>Oui</v>
      </c>
      <c r="T15" s="8" t="str">
        <f>VLOOKUP(A15,[1]Feuil1!$A:$V,20,FALSE)</f>
        <v>OCI</v>
      </c>
      <c r="U15" s="8" t="str">
        <f>VLOOKUP(A15,[1]Feuil1!$A:$V,21,FALSE)</f>
        <v>AGEROUTE</v>
      </c>
      <c r="V15" s="8" t="str">
        <f>VLOOKUP(A15,[1]Feuil1!$A:$V,22,FALSE)</f>
        <v>Projet</v>
      </c>
    </row>
    <row r="16" spans="1:22" ht="72" x14ac:dyDescent="0.35">
      <c r="A16" s="3">
        <v>54793554</v>
      </c>
      <c r="B16" s="4">
        <v>45999.637916666667</v>
      </c>
      <c r="C16" s="3">
        <v>59895786</v>
      </c>
      <c r="D16" s="4">
        <v>46094.6953125</v>
      </c>
      <c r="E16" s="3" t="s">
        <v>63</v>
      </c>
      <c r="F16" s="3" t="s">
        <v>54</v>
      </c>
      <c r="G16" s="3">
        <v>757323203</v>
      </c>
      <c r="H16" s="3" t="s">
        <v>61</v>
      </c>
      <c r="I16" s="3" t="s">
        <v>2</v>
      </c>
      <c r="J16" s="3" t="s">
        <v>56</v>
      </c>
      <c r="K16" s="3" t="s">
        <v>25</v>
      </c>
      <c r="L16" s="3" t="s">
        <v>12</v>
      </c>
      <c r="M16" s="3" t="s">
        <v>6</v>
      </c>
      <c r="N16" s="3" t="s">
        <v>13</v>
      </c>
      <c r="O16" s="3" t="s">
        <v>62</v>
      </c>
      <c r="P16" s="3" t="s">
        <v>2</v>
      </c>
      <c r="Q16" s="3" t="s">
        <v>2</v>
      </c>
      <c r="R16" s="8">
        <f t="shared" ca="1" si="0"/>
        <v>86</v>
      </c>
      <c r="S16" s="8" t="str">
        <f>VLOOKUP(A16,[1]Feuil1!$A:$V,19,FALSE)</f>
        <v>Non</v>
      </c>
      <c r="T16" s="8" t="str">
        <f>VLOOKUP(A16,[1]Feuil1!$A:$V,20,FALSE)</f>
        <v xml:space="preserve">CLIENT </v>
      </c>
      <c r="U16" s="9" t="s">
        <v>314</v>
      </c>
      <c r="V16" s="8" t="str">
        <f>VLOOKUP(A16,[1]Feuil1!$A:$V,22,FALSE)</f>
        <v>Projet</v>
      </c>
    </row>
    <row r="17" spans="1:22" ht="48" x14ac:dyDescent="0.35">
      <c r="A17" s="3">
        <v>54967903</v>
      </c>
      <c r="B17" s="4">
        <v>46002.459837962961</v>
      </c>
      <c r="C17" s="3">
        <v>59197300</v>
      </c>
      <c r="D17" s="4">
        <v>46083.390844907408</v>
      </c>
      <c r="E17" s="3" t="s">
        <v>15</v>
      </c>
      <c r="F17" s="3" t="s">
        <v>64</v>
      </c>
      <c r="G17" s="3">
        <v>504033918</v>
      </c>
      <c r="H17" s="3" t="s">
        <v>65</v>
      </c>
      <c r="I17" s="3">
        <v>1814616</v>
      </c>
      <c r="J17" s="3" t="s">
        <v>66</v>
      </c>
      <c r="K17" s="3" t="s">
        <v>25</v>
      </c>
      <c r="L17" s="3" t="s">
        <v>12</v>
      </c>
      <c r="M17" s="3" t="s">
        <v>67</v>
      </c>
      <c r="N17" s="3" t="s">
        <v>13</v>
      </c>
      <c r="O17" s="3" t="s">
        <v>68</v>
      </c>
      <c r="P17" s="3" t="s">
        <v>2</v>
      </c>
      <c r="Q17" s="5">
        <v>1000000</v>
      </c>
      <c r="R17" s="8">
        <f t="shared" ca="1" si="0"/>
        <v>83</v>
      </c>
      <c r="S17" s="8" t="str">
        <f>VLOOKUP(A17,[1]Feuil1!$A:$V,19,FALSE)</f>
        <v>Oui</v>
      </c>
      <c r="T17" s="8" t="str">
        <f>VLOOKUP(A17,[1]Feuil1!$A:$V,20,FALSE)</f>
        <v>N/A</v>
      </c>
      <c r="V17" s="8" t="str">
        <f>VLOOKUP(A17,[1]Feuil1!$A:$V,22,FALSE)</f>
        <v>Projet</v>
      </c>
    </row>
    <row r="18" spans="1:22" ht="72" x14ac:dyDescent="0.35">
      <c r="A18" s="3">
        <v>54970719</v>
      </c>
      <c r="B18" s="4">
        <v>46002.47859953704</v>
      </c>
      <c r="C18" s="3">
        <v>56201571</v>
      </c>
      <c r="D18" s="4">
        <v>46027.649004629631</v>
      </c>
      <c r="E18" s="3" t="s">
        <v>15</v>
      </c>
      <c r="F18" s="3" t="s">
        <v>64</v>
      </c>
      <c r="G18" s="3">
        <v>504033918</v>
      </c>
      <c r="H18" s="3" t="s">
        <v>69</v>
      </c>
      <c r="I18" s="3">
        <v>2843545</v>
      </c>
      <c r="J18" s="3" t="s">
        <v>66</v>
      </c>
      <c r="K18" s="3" t="s">
        <v>19</v>
      </c>
      <c r="L18" s="3" t="s">
        <v>12</v>
      </c>
      <c r="M18" s="3" t="s">
        <v>67</v>
      </c>
      <c r="N18" s="3" t="s">
        <v>13</v>
      </c>
      <c r="O18" s="3" t="s">
        <v>70</v>
      </c>
      <c r="P18" s="3" t="s">
        <v>2</v>
      </c>
      <c r="Q18" s="5">
        <v>1000000</v>
      </c>
      <c r="R18" s="8">
        <f t="shared" ca="1" si="0"/>
        <v>83</v>
      </c>
      <c r="S18" s="8" t="str">
        <f>VLOOKUP(A18,[1]Feuil1!$A:$V,19,FALSE)</f>
        <v>Non</v>
      </c>
      <c r="T18" s="8" t="str">
        <f>VLOOKUP(A18,[1]Feuil1!$A:$V,20,FALSE)</f>
        <v>N/A</v>
      </c>
      <c r="U18" s="10" t="s">
        <v>317</v>
      </c>
      <c r="V18" s="8" t="str">
        <f>VLOOKUP(A18,[1]Feuil1!$A:$V,22,FALSE)</f>
        <v>Projet</v>
      </c>
    </row>
    <row r="19" spans="1:22" ht="48" x14ac:dyDescent="0.35">
      <c r="A19" s="3">
        <v>54973689</v>
      </c>
      <c r="B19" s="4">
        <v>46002.496215277781</v>
      </c>
      <c r="C19" s="3">
        <v>60864730</v>
      </c>
      <c r="D19" s="4">
        <v>46113.397777777776</v>
      </c>
      <c r="E19" s="3" t="s">
        <v>75</v>
      </c>
      <c r="F19" s="3" t="s">
        <v>71</v>
      </c>
      <c r="G19" s="3">
        <v>789916125</v>
      </c>
      <c r="H19" s="3" t="s">
        <v>72</v>
      </c>
      <c r="I19" s="3" t="s">
        <v>2</v>
      </c>
      <c r="J19" s="3" t="s">
        <v>10</v>
      </c>
      <c r="K19" s="3" t="s">
        <v>25</v>
      </c>
      <c r="L19" s="3" t="s">
        <v>30</v>
      </c>
      <c r="M19" s="3" t="s">
        <v>6</v>
      </c>
      <c r="N19" s="3" t="s">
        <v>73</v>
      </c>
      <c r="O19" s="3" t="s">
        <v>74</v>
      </c>
      <c r="P19" s="3" t="s">
        <v>2</v>
      </c>
      <c r="Q19" s="3">
        <v>0</v>
      </c>
      <c r="R19" s="8">
        <f t="shared" ca="1" si="0"/>
        <v>83</v>
      </c>
      <c r="S19" s="8" t="str">
        <f>VLOOKUP(A19,[1]Feuil1!$A:$V,19,FALSE)</f>
        <v>Non</v>
      </c>
      <c r="T19" s="8" t="str">
        <f>VLOOKUP(A19,[1]Feuil1!$A:$V,20,FALSE)</f>
        <v>OCI</v>
      </c>
      <c r="U19" s="8" t="s">
        <v>315</v>
      </c>
      <c r="V19" s="8" t="str">
        <f>VLOOKUP(A19,[1]Feuil1!$A:$V,22,FALSE)</f>
        <v>Hors Projet</v>
      </c>
    </row>
    <row r="20" spans="1:22" ht="24" x14ac:dyDescent="0.35">
      <c r="A20" s="3">
        <v>55104019</v>
      </c>
      <c r="B20" s="4">
        <v>46004.469606481478</v>
      </c>
      <c r="C20" s="3">
        <v>56566265</v>
      </c>
      <c r="D20" s="4">
        <v>46034.582673611112</v>
      </c>
      <c r="E20" s="3" t="s">
        <v>34</v>
      </c>
      <c r="F20" s="3" t="s">
        <v>76</v>
      </c>
      <c r="G20" s="3">
        <v>504033918</v>
      </c>
      <c r="H20" s="3" t="s">
        <v>77</v>
      </c>
      <c r="I20" s="3" t="s">
        <v>2</v>
      </c>
      <c r="J20" s="3" t="s">
        <v>18</v>
      </c>
      <c r="K20" s="3" t="s">
        <v>25</v>
      </c>
      <c r="L20" s="3" t="s">
        <v>12</v>
      </c>
      <c r="M20" s="3" t="s">
        <v>6</v>
      </c>
      <c r="N20" s="3" t="s">
        <v>13</v>
      </c>
      <c r="O20" s="3" t="s">
        <v>78</v>
      </c>
      <c r="P20" s="3" t="s">
        <v>2</v>
      </c>
      <c r="Q20" s="5">
        <v>4000000</v>
      </c>
      <c r="R20" s="8">
        <f t="shared" ca="1" si="0"/>
        <v>81</v>
      </c>
      <c r="S20" s="8" t="str">
        <f>VLOOKUP(A20,[1]Feuil1!$A:$V,19,FALSE)</f>
        <v>Oui</v>
      </c>
      <c r="T20" s="8" t="str">
        <f>VLOOKUP(A20,[1]Feuil1!$A:$V,20,FALSE)</f>
        <v>OCI</v>
      </c>
      <c r="U20" s="8" t="str">
        <f>VLOOKUP(A20,[1]Feuil1!$A:$V,21,FALSE)</f>
        <v>DDPE</v>
      </c>
      <c r="V20" s="8" t="str">
        <f>VLOOKUP(A20,[1]Feuil1!$A:$V,22,FALSE)</f>
        <v>Projet</v>
      </c>
    </row>
    <row r="21" spans="1:22" ht="15.5" x14ac:dyDescent="0.35">
      <c r="A21" s="3">
        <v>55105103</v>
      </c>
      <c r="B21" s="4">
        <v>46004.481180555558</v>
      </c>
      <c r="C21" s="3">
        <v>56940307</v>
      </c>
      <c r="D21" s="4">
        <v>46041.803784722222</v>
      </c>
      <c r="E21" s="3" t="s">
        <v>15</v>
      </c>
      <c r="F21" s="3" t="s">
        <v>76</v>
      </c>
      <c r="G21" s="3">
        <v>504033918</v>
      </c>
      <c r="H21" s="3" t="s">
        <v>79</v>
      </c>
      <c r="I21" s="3" t="s">
        <v>2</v>
      </c>
      <c r="J21" s="3" t="s">
        <v>18</v>
      </c>
      <c r="K21" s="3" t="s">
        <v>25</v>
      </c>
      <c r="L21" s="3" t="s">
        <v>12</v>
      </c>
      <c r="M21" s="3" t="s">
        <v>6</v>
      </c>
      <c r="N21" s="3" t="s">
        <v>13</v>
      </c>
      <c r="O21" s="3" t="s">
        <v>21</v>
      </c>
      <c r="P21" s="3" t="s">
        <v>2</v>
      </c>
      <c r="Q21" s="5">
        <v>1500000</v>
      </c>
      <c r="R21" s="8">
        <f t="shared" ca="1" si="0"/>
        <v>81</v>
      </c>
      <c r="S21" s="8" t="str">
        <f>VLOOKUP(A21,[1]Feuil1!$A:$V,19,FALSE)</f>
        <v>Non</v>
      </c>
      <c r="T21" s="8" t="str">
        <f>VLOOKUP(A21,[1]Feuil1!$A:$V,20,FALSE)</f>
        <v>OCI</v>
      </c>
      <c r="U21" s="10" t="s">
        <v>317</v>
      </c>
      <c r="V21" s="8" t="str">
        <f>VLOOKUP(A21,[1]Feuil1!$A:$V,22,FALSE)</f>
        <v>Projet</v>
      </c>
    </row>
    <row r="22" spans="1:22" ht="36" x14ac:dyDescent="0.35">
      <c r="A22" s="3">
        <v>55636282</v>
      </c>
      <c r="B22" s="4">
        <v>46014.435729166667</v>
      </c>
      <c r="C22" s="3">
        <v>57367586</v>
      </c>
      <c r="D22" s="4">
        <v>46049.856261574074</v>
      </c>
      <c r="E22" s="3" t="s">
        <v>22</v>
      </c>
      <c r="F22" s="3" t="s">
        <v>80</v>
      </c>
      <c r="G22" s="3">
        <v>759003900</v>
      </c>
      <c r="H22" s="3" t="s">
        <v>81</v>
      </c>
      <c r="I22" s="3" t="s">
        <v>2</v>
      </c>
      <c r="J22" s="3" t="s">
        <v>10</v>
      </c>
      <c r="K22" s="3" t="s">
        <v>25</v>
      </c>
      <c r="L22" s="3" t="s">
        <v>30</v>
      </c>
      <c r="M22" s="3" t="s">
        <v>6</v>
      </c>
      <c r="N22" s="3" t="s">
        <v>13</v>
      </c>
      <c r="O22" s="3" t="s">
        <v>82</v>
      </c>
      <c r="P22" s="3" t="s">
        <v>2</v>
      </c>
      <c r="Q22" s="5">
        <v>918681</v>
      </c>
      <c r="R22" s="8">
        <f t="shared" ca="1" si="0"/>
        <v>75</v>
      </c>
      <c r="S22" s="8" t="str">
        <f>VLOOKUP(A22,[1]Feuil1!$A:$V,19,FALSE)</f>
        <v>Non</v>
      </c>
      <c r="T22" s="8" t="str">
        <f>VLOOKUP(A22,[1]Feuil1!$A:$V,20,FALSE)</f>
        <v xml:space="preserve">CLIENT </v>
      </c>
      <c r="U22" s="8" t="s">
        <v>316</v>
      </c>
      <c r="V22" s="8" t="str">
        <f>VLOOKUP(A22,[1]Feuil1!$A:$V,22,FALSE)</f>
        <v>Hors Projet</v>
      </c>
    </row>
    <row r="23" spans="1:22" ht="48" x14ac:dyDescent="0.35">
      <c r="A23" s="3">
        <v>55686160</v>
      </c>
      <c r="B23" s="4">
        <v>46015.355868055558</v>
      </c>
      <c r="C23" s="3">
        <v>60490199</v>
      </c>
      <c r="D23" s="4">
        <v>46106.680219907408</v>
      </c>
      <c r="E23" s="3" t="s">
        <v>86</v>
      </c>
      <c r="F23" s="3" t="s">
        <v>83</v>
      </c>
      <c r="G23" s="3">
        <v>777765287</v>
      </c>
      <c r="H23" s="3" t="s">
        <v>84</v>
      </c>
      <c r="I23" s="3" t="s">
        <v>2</v>
      </c>
      <c r="J23" s="3" t="s">
        <v>10</v>
      </c>
      <c r="K23" s="3" t="s">
        <v>25</v>
      </c>
      <c r="L23" s="3" t="s">
        <v>30</v>
      </c>
      <c r="M23" s="3" t="s">
        <v>6</v>
      </c>
      <c r="N23" s="3" t="s">
        <v>13</v>
      </c>
      <c r="O23" s="3" t="s">
        <v>85</v>
      </c>
      <c r="P23" s="3" t="s">
        <v>2</v>
      </c>
      <c r="Q23" s="5">
        <v>850887</v>
      </c>
      <c r="R23" s="8">
        <f t="shared" ca="1" si="0"/>
        <v>74</v>
      </c>
      <c r="S23" s="8" t="str">
        <f>VLOOKUP(A23,[1]Feuil1!$A:$V,19,FALSE)</f>
        <v>Non</v>
      </c>
      <c r="T23" s="8" t="str">
        <f>VLOOKUP(A23,[1]Feuil1!$A:$V,20,FALSE)</f>
        <v xml:space="preserve">CLIENT </v>
      </c>
      <c r="U23" t="s">
        <v>318</v>
      </c>
      <c r="V23" s="8" t="str">
        <f>VLOOKUP(A23,[1]Feuil1!$A:$V,22,FALSE)</f>
        <v>Hors Projet</v>
      </c>
    </row>
    <row r="24" spans="1:22" ht="36" x14ac:dyDescent="0.35">
      <c r="A24" s="3">
        <v>55694485</v>
      </c>
      <c r="B24" s="4">
        <v>46015.420092592591</v>
      </c>
      <c r="C24" s="3">
        <v>56752240</v>
      </c>
      <c r="D24" s="4">
        <v>46037.705520833333</v>
      </c>
      <c r="E24" s="3" t="s">
        <v>34</v>
      </c>
      <c r="F24" s="3" t="s">
        <v>87</v>
      </c>
      <c r="G24" s="3">
        <v>749338073</v>
      </c>
      <c r="H24" s="3" t="s">
        <v>88</v>
      </c>
      <c r="I24" s="3" t="s">
        <v>2</v>
      </c>
      <c r="J24" s="3" t="s">
        <v>10</v>
      </c>
      <c r="K24" s="3" t="s">
        <v>25</v>
      </c>
      <c r="L24" s="3" t="s">
        <v>30</v>
      </c>
      <c r="M24" s="3" t="s">
        <v>6</v>
      </c>
      <c r="N24" s="3" t="s">
        <v>13</v>
      </c>
      <c r="O24" s="3" t="s">
        <v>82</v>
      </c>
      <c r="P24" s="3" t="s">
        <v>2</v>
      </c>
      <c r="Q24" s="5">
        <v>638462</v>
      </c>
      <c r="R24" s="8">
        <f t="shared" ca="1" si="0"/>
        <v>74</v>
      </c>
      <c r="S24" s="8" t="str">
        <f>VLOOKUP(A24,[1]Feuil1!$A:$V,19,FALSE)</f>
        <v>Non</v>
      </c>
      <c r="T24" s="8" t="str">
        <f>VLOOKUP(A24,[1]Feuil1!$A:$V,20,FALSE)</f>
        <v xml:space="preserve">CLIENT </v>
      </c>
      <c r="U24" t="s">
        <v>319</v>
      </c>
      <c r="V24" s="8" t="str">
        <f>VLOOKUP(A24,[1]Feuil1!$A:$V,22,FALSE)</f>
        <v>Hors Projet</v>
      </c>
    </row>
    <row r="25" spans="1:22" ht="48" x14ac:dyDescent="0.35">
      <c r="A25" s="3">
        <v>56181778</v>
      </c>
      <c r="B25" s="4">
        <v>46027.499212962961</v>
      </c>
      <c r="C25" s="3">
        <v>59210339</v>
      </c>
      <c r="D25" s="4">
        <v>46083.492881944447</v>
      </c>
      <c r="E25" s="3" t="s">
        <v>22</v>
      </c>
      <c r="F25" s="3" t="s">
        <v>89</v>
      </c>
      <c r="G25" s="3">
        <v>585990976</v>
      </c>
      <c r="H25" s="3" t="s">
        <v>90</v>
      </c>
      <c r="I25" s="3">
        <v>1765416</v>
      </c>
      <c r="J25" s="3" t="s">
        <v>66</v>
      </c>
      <c r="K25" s="3" t="s">
        <v>25</v>
      </c>
      <c r="L25" s="3" t="s">
        <v>30</v>
      </c>
      <c r="M25" s="3" t="s">
        <v>6</v>
      </c>
      <c r="N25" s="3" t="s">
        <v>13</v>
      </c>
      <c r="O25" s="3" t="s">
        <v>91</v>
      </c>
      <c r="P25" s="3" t="s">
        <v>2</v>
      </c>
      <c r="Q25" s="5">
        <v>3000000</v>
      </c>
      <c r="R25" s="8">
        <f t="shared" ca="1" si="0"/>
        <v>66</v>
      </c>
      <c r="S25" s="8" t="str">
        <f>VLOOKUP(A25,[1]Feuil1!$A:$V,19,FALSE)</f>
        <v>Non</v>
      </c>
      <c r="T25" s="8" t="str">
        <f>VLOOKUP(A25,[1]Feuil1!$A:$V,20,FALSE)</f>
        <v>OCI</v>
      </c>
      <c r="U25" s="8" t="str">
        <f>VLOOKUP(A25,[1]Feuil1!$A:$V,21,FALSE)</f>
        <v>Congection dans la zone</v>
      </c>
      <c r="V25" s="8" t="str">
        <f>VLOOKUP(A25,[1]Feuil1!$A:$V,22,FALSE)</f>
        <v>Hors Projet</v>
      </c>
    </row>
    <row r="26" spans="1:22" ht="24" x14ac:dyDescent="0.35">
      <c r="A26" s="3">
        <v>56601982</v>
      </c>
      <c r="B26" s="4">
        <v>46035.393611111111</v>
      </c>
      <c r="C26" s="3">
        <v>60341610</v>
      </c>
      <c r="D26" s="4">
        <v>46104.501319444447</v>
      </c>
      <c r="E26" s="3" t="s">
        <v>34</v>
      </c>
      <c r="F26" s="3" t="s">
        <v>51</v>
      </c>
      <c r="G26" s="3">
        <v>707003126</v>
      </c>
      <c r="H26" s="3" t="s">
        <v>92</v>
      </c>
      <c r="I26" s="3" t="s">
        <v>2</v>
      </c>
      <c r="J26" s="3" t="s">
        <v>18</v>
      </c>
      <c r="K26" s="3" t="s">
        <v>25</v>
      </c>
      <c r="L26" s="3" t="s">
        <v>12</v>
      </c>
      <c r="M26" s="3" t="s">
        <v>6</v>
      </c>
      <c r="N26" s="3" t="s">
        <v>13</v>
      </c>
      <c r="O26" s="3" t="s">
        <v>93</v>
      </c>
      <c r="P26" s="3" t="s">
        <v>2</v>
      </c>
      <c r="Q26" s="5">
        <v>7103410</v>
      </c>
      <c r="R26" s="8">
        <f t="shared" ca="1" si="0"/>
        <v>60</v>
      </c>
      <c r="S26" s="8" t="str">
        <f>VLOOKUP(A26,[1]Feuil1!$A:$V,19,FALSE)</f>
        <v>Non</v>
      </c>
      <c r="T26" s="8" t="str">
        <f>VLOOKUP(A26,[1]Feuil1!$A:$V,20,FALSE)</f>
        <v xml:space="preserve">CLIENT </v>
      </c>
      <c r="U26" s="8"/>
      <c r="V26" s="8" t="str">
        <f>VLOOKUP(A26,[1]Feuil1!$A:$V,22,FALSE)</f>
        <v>Hors Projet</v>
      </c>
    </row>
    <row r="27" spans="1:22" ht="24" x14ac:dyDescent="0.35">
      <c r="A27" s="3">
        <v>56603495</v>
      </c>
      <c r="B27" s="4">
        <v>46035.408518518518</v>
      </c>
      <c r="C27" s="3">
        <v>60907737</v>
      </c>
      <c r="D27" s="4">
        <v>46113.726909722223</v>
      </c>
      <c r="E27" s="3" t="s">
        <v>27</v>
      </c>
      <c r="F27" s="3" t="s">
        <v>51</v>
      </c>
      <c r="G27" s="3">
        <v>707003126</v>
      </c>
      <c r="H27" s="3" t="s">
        <v>94</v>
      </c>
      <c r="I27" s="3" t="s">
        <v>2</v>
      </c>
      <c r="J27" s="3" t="s">
        <v>18</v>
      </c>
      <c r="K27" s="3" t="s">
        <v>25</v>
      </c>
      <c r="L27" s="3" t="s">
        <v>12</v>
      </c>
      <c r="M27" s="3" t="s">
        <v>6</v>
      </c>
      <c r="N27" s="3" t="s">
        <v>13</v>
      </c>
      <c r="O27" s="3" t="s">
        <v>93</v>
      </c>
      <c r="P27" s="3" t="s">
        <v>2</v>
      </c>
      <c r="Q27" s="5">
        <v>7103410</v>
      </c>
      <c r="R27" s="8">
        <f t="shared" ca="1" si="0"/>
        <v>60</v>
      </c>
      <c r="S27" s="8" t="str">
        <f>VLOOKUP(A27,[1]Feuil1!$A:$V,19,FALSE)</f>
        <v>Non</v>
      </c>
      <c r="T27" s="8" t="str">
        <f>VLOOKUP(A27,[1]Feuil1!$A:$V,20,FALSE)</f>
        <v>OCI</v>
      </c>
      <c r="U27" s="8"/>
      <c r="V27" s="8" t="str">
        <f>VLOOKUP(A27,[1]Feuil1!$A:$V,22,FALSE)</f>
        <v>Projet</v>
      </c>
    </row>
    <row r="28" spans="1:22" ht="24" x14ac:dyDescent="0.35">
      <c r="A28" s="3">
        <v>56606469</v>
      </c>
      <c r="B28" s="4">
        <v>46035.43072916667</v>
      </c>
      <c r="C28" s="3">
        <v>60100048</v>
      </c>
      <c r="D28" s="4">
        <v>46099.427060185182</v>
      </c>
      <c r="E28" s="3" t="s">
        <v>97</v>
      </c>
      <c r="F28" s="3" t="s">
        <v>95</v>
      </c>
      <c r="G28" s="3">
        <v>504041812</v>
      </c>
      <c r="H28" s="3" t="s">
        <v>96</v>
      </c>
      <c r="I28" s="3" t="s">
        <v>2</v>
      </c>
      <c r="J28" s="3" t="s">
        <v>18</v>
      </c>
      <c r="K28" s="3" t="s">
        <v>25</v>
      </c>
      <c r="L28" s="3" t="s">
        <v>12</v>
      </c>
      <c r="M28" s="3" t="s">
        <v>6</v>
      </c>
      <c r="N28" s="3" t="s">
        <v>13</v>
      </c>
      <c r="O28" s="3" t="s">
        <v>50</v>
      </c>
      <c r="P28" s="3" t="s">
        <v>2</v>
      </c>
      <c r="Q28" s="5">
        <v>1000000</v>
      </c>
      <c r="R28" s="8">
        <f t="shared" ca="1" si="0"/>
        <v>60</v>
      </c>
      <c r="S28" s="8" t="str">
        <f>VLOOKUP(A28,[1]Feuil1!$A:$V,19,FALSE)</f>
        <v>Non</v>
      </c>
      <c r="T28" s="8" t="str">
        <f>VLOOKUP(A28,[1]Feuil1!$A:$V,20,FALSE)</f>
        <v xml:space="preserve">CLIENT </v>
      </c>
      <c r="U28" s="8"/>
      <c r="V28" s="8" t="str">
        <f>VLOOKUP(A28,[1]Feuil1!$A:$V,22,FALSE)</f>
        <v>Projet</v>
      </c>
    </row>
    <row r="29" spans="1:22" ht="24" x14ac:dyDescent="0.35">
      <c r="A29" s="3">
        <v>56607988</v>
      </c>
      <c r="B29" s="4">
        <v>46035.443668981483</v>
      </c>
      <c r="C29" s="3">
        <v>58404447</v>
      </c>
      <c r="D29" s="4">
        <v>46069.522615740738</v>
      </c>
      <c r="E29" s="3" t="s">
        <v>22</v>
      </c>
      <c r="F29" s="3" t="s">
        <v>95</v>
      </c>
      <c r="G29" s="3">
        <v>504041812</v>
      </c>
      <c r="H29" s="3" t="s">
        <v>98</v>
      </c>
      <c r="I29" s="3" t="s">
        <v>2</v>
      </c>
      <c r="J29" s="3" t="s">
        <v>18</v>
      </c>
      <c r="K29" s="3" t="s">
        <v>25</v>
      </c>
      <c r="L29" s="3" t="s">
        <v>12</v>
      </c>
      <c r="M29" s="3" t="s">
        <v>6</v>
      </c>
      <c r="N29" s="3" t="s">
        <v>13</v>
      </c>
      <c r="O29" s="3" t="s">
        <v>82</v>
      </c>
      <c r="P29" s="3" t="s">
        <v>2</v>
      </c>
      <c r="Q29" s="5">
        <v>2000000</v>
      </c>
      <c r="R29" s="8">
        <f t="shared" ca="1" si="0"/>
        <v>60</v>
      </c>
      <c r="S29" s="8" t="str">
        <f>VLOOKUP(A29,[1]Feuil1!$A:$V,19,FALSE)</f>
        <v>Non</v>
      </c>
      <c r="T29" s="8" t="str">
        <f>VLOOKUP(A29,[1]Feuil1!$A:$V,20,FALSE)</f>
        <v>OCI</v>
      </c>
      <c r="U29" s="8"/>
      <c r="V29" s="8" t="str">
        <f>VLOOKUP(A29,[1]Feuil1!$A:$V,22,FALSE)</f>
        <v>Projet</v>
      </c>
    </row>
    <row r="30" spans="1:22" ht="24" x14ac:dyDescent="0.35">
      <c r="A30" s="3">
        <v>56609018</v>
      </c>
      <c r="B30" s="4">
        <v>46035.452465277776</v>
      </c>
      <c r="C30" s="3">
        <v>60165633</v>
      </c>
      <c r="D30" s="4">
        <v>46100.43891203704</v>
      </c>
      <c r="E30" s="3" t="s">
        <v>34</v>
      </c>
      <c r="F30" s="3" t="s">
        <v>95</v>
      </c>
      <c r="G30" s="3">
        <v>504041812</v>
      </c>
      <c r="H30" s="3" t="s">
        <v>99</v>
      </c>
      <c r="I30" s="3" t="s">
        <v>2</v>
      </c>
      <c r="J30" s="3" t="s">
        <v>18</v>
      </c>
      <c r="K30" s="3" t="s">
        <v>25</v>
      </c>
      <c r="L30" s="3" t="s">
        <v>12</v>
      </c>
      <c r="M30" s="3" t="s">
        <v>6</v>
      </c>
      <c r="N30" s="3" t="s">
        <v>13</v>
      </c>
      <c r="O30" s="3" t="s">
        <v>100</v>
      </c>
      <c r="P30" s="3" t="s">
        <v>2</v>
      </c>
      <c r="Q30" s="5">
        <v>2000000</v>
      </c>
      <c r="R30" s="8">
        <f t="shared" ca="1" si="0"/>
        <v>60</v>
      </c>
      <c r="S30" s="8" t="str">
        <f>VLOOKUP(A30,[1]Feuil1!$A:$V,19,FALSE)</f>
        <v>Non</v>
      </c>
      <c r="T30" s="8" t="str">
        <f>VLOOKUP(A30,[1]Feuil1!$A:$V,20,FALSE)</f>
        <v>OCI</v>
      </c>
      <c r="U30" s="8"/>
      <c r="V30" s="8" t="str">
        <f>VLOOKUP(A30,[1]Feuil1!$A:$V,22,FALSE)</f>
        <v>Projet</v>
      </c>
    </row>
    <row r="31" spans="1:22" ht="36" x14ac:dyDescent="0.35">
      <c r="A31" s="3">
        <v>56611212</v>
      </c>
      <c r="B31" s="4">
        <v>46035.471886574072</v>
      </c>
      <c r="C31" s="3">
        <v>60931440</v>
      </c>
      <c r="D31" s="4">
        <v>46114.40011574074</v>
      </c>
      <c r="E31" s="3" t="s">
        <v>104</v>
      </c>
      <c r="F31" s="3" t="s">
        <v>101</v>
      </c>
      <c r="G31" s="3">
        <v>504041812</v>
      </c>
      <c r="H31" s="3" t="s">
        <v>102</v>
      </c>
      <c r="I31" s="3" t="s">
        <v>2</v>
      </c>
      <c r="J31" s="3" t="s">
        <v>18</v>
      </c>
      <c r="K31" s="3" t="s">
        <v>25</v>
      </c>
      <c r="L31" s="3" t="s">
        <v>12</v>
      </c>
      <c r="M31" s="3" t="s">
        <v>6</v>
      </c>
      <c r="N31" s="3" t="s">
        <v>13</v>
      </c>
      <c r="O31" s="3" t="s">
        <v>103</v>
      </c>
      <c r="P31" s="3" t="s">
        <v>2</v>
      </c>
      <c r="Q31" s="5">
        <v>2000000</v>
      </c>
      <c r="R31" s="8">
        <f t="shared" ca="1" si="0"/>
        <v>60</v>
      </c>
      <c r="S31" s="8" t="str">
        <f>VLOOKUP(A31,[1]Feuil1!$A:$V,19,FALSE)</f>
        <v>Non</v>
      </c>
      <c r="T31" s="8" t="str">
        <f>VLOOKUP(A31,[1]Feuil1!$A:$V,20,FALSE)</f>
        <v>OCI</v>
      </c>
      <c r="U31" s="8"/>
      <c r="V31" s="8" t="str">
        <f>VLOOKUP(A31,[1]Feuil1!$A:$V,22,FALSE)</f>
        <v>Projet</v>
      </c>
    </row>
    <row r="32" spans="1:22" ht="24" x14ac:dyDescent="0.35">
      <c r="A32" s="3">
        <v>56612479</v>
      </c>
      <c r="B32" s="4">
        <v>46035.481446759259</v>
      </c>
      <c r="C32" s="3">
        <v>60101226</v>
      </c>
      <c r="D32" s="4">
        <v>46099.43613425926</v>
      </c>
      <c r="E32" s="3" t="s">
        <v>22</v>
      </c>
      <c r="F32" s="3" t="s">
        <v>101</v>
      </c>
      <c r="G32" s="3">
        <v>504041812</v>
      </c>
      <c r="H32" s="3" t="s">
        <v>105</v>
      </c>
      <c r="I32" s="3" t="s">
        <v>2</v>
      </c>
      <c r="J32" s="3" t="s">
        <v>18</v>
      </c>
      <c r="K32" s="3" t="s">
        <v>25</v>
      </c>
      <c r="L32" s="3" t="s">
        <v>12</v>
      </c>
      <c r="M32" s="3" t="s">
        <v>6</v>
      </c>
      <c r="N32" s="3" t="s">
        <v>13</v>
      </c>
      <c r="O32" s="3" t="s">
        <v>106</v>
      </c>
      <c r="P32" s="3" t="s">
        <v>2</v>
      </c>
      <c r="Q32" s="5">
        <v>2000000</v>
      </c>
      <c r="R32" s="8">
        <f t="shared" ca="1" si="0"/>
        <v>60</v>
      </c>
      <c r="S32" s="8" t="str">
        <f>VLOOKUP(A32,[1]Feuil1!$A:$V,19,FALSE)</f>
        <v>Non</v>
      </c>
      <c r="T32" s="8" t="str">
        <f>VLOOKUP(A32,[1]Feuil1!$A:$V,20,FALSE)</f>
        <v>OCI</v>
      </c>
      <c r="U32" s="8"/>
      <c r="V32" s="8" t="str">
        <f>VLOOKUP(A32,[1]Feuil1!$A:$V,22,FALSE)</f>
        <v>Projet</v>
      </c>
    </row>
    <row r="33" spans="1:22" ht="36" x14ac:dyDescent="0.35">
      <c r="A33" s="3">
        <v>56613961</v>
      </c>
      <c r="B33" s="4">
        <v>46035.492175925923</v>
      </c>
      <c r="C33" s="3">
        <v>60928533</v>
      </c>
      <c r="D33" s="4">
        <v>46114.371481481481</v>
      </c>
      <c r="E33" s="3" t="s">
        <v>104</v>
      </c>
      <c r="F33" s="3" t="s">
        <v>101</v>
      </c>
      <c r="G33" s="3">
        <v>504041812</v>
      </c>
      <c r="H33" s="3" t="s">
        <v>107</v>
      </c>
      <c r="I33" s="3" t="s">
        <v>2</v>
      </c>
      <c r="J33" s="3" t="s">
        <v>18</v>
      </c>
      <c r="K33" s="3" t="s">
        <v>25</v>
      </c>
      <c r="L33" s="3" t="s">
        <v>12</v>
      </c>
      <c r="M33" s="3" t="s">
        <v>6</v>
      </c>
      <c r="N33" s="3" t="s">
        <v>13</v>
      </c>
      <c r="O33" s="3" t="s">
        <v>108</v>
      </c>
      <c r="P33" s="3" t="s">
        <v>2</v>
      </c>
      <c r="Q33" s="5">
        <v>2000000</v>
      </c>
      <c r="R33" s="8">
        <f t="shared" ca="1" si="0"/>
        <v>60</v>
      </c>
      <c r="S33" s="8" t="str">
        <f>VLOOKUP(A33,[1]Feuil1!$A:$V,19,FALSE)</f>
        <v>Non</v>
      </c>
      <c r="T33" s="8" t="str">
        <f>VLOOKUP(A33,[1]Feuil1!$A:$V,20,FALSE)</f>
        <v>OCI</v>
      </c>
      <c r="U33" s="8"/>
      <c r="V33" s="8" t="str">
        <f>VLOOKUP(A33,[1]Feuil1!$A:$V,22,FALSE)</f>
        <v>Projet</v>
      </c>
    </row>
    <row r="34" spans="1:22" ht="60" x14ac:dyDescent="0.35">
      <c r="A34" s="3">
        <v>56618123</v>
      </c>
      <c r="B34" s="4">
        <v>46035.520821759259</v>
      </c>
      <c r="C34" s="3">
        <v>59311833</v>
      </c>
      <c r="D34" s="4">
        <v>46084.811782407407</v>
      </c>
      <c r="E34" s="3" t="s">
        <v>22</v>
      </c>
      <c r="F34" s="3" t="s">
        <v>109</v>
      </c>
      <c r="G34" s="3">
        <v>504041812</v>
      </c>
      <c r="H34" s="3" t="s">
        <v>110</v>
      </c>
      <c r="I34" s="3">
        <v>1775236</v>
      </c>
      <c r="J34" s="3" t="s">
        <v>37</v>
      </c>
      <c r="K34" s="3" t="s">
        <v>25</v>
      </c>
      <c r="L34" s="3" t="s">
        <v>12</v>
      </c>
      <c r="M34" s="3" t="s">
        <v>6</v>
      </c>
      <c r="N34" s="3" t="s">
        <v>13</v>
      </c>
      <c r="O34" s="3" t="s">
        <v>111</v>
      </c>
      <c r="P34" s="3" t="s">
        <v>2</v>
      </c>
      <c r="Q34" s="5">
        <v>2000000</v>
      </c>
      <c r="R34" s="8">
        <f t="shared" ca="1" si="0"/>
        <v>60</v>
      </c>
      <c r="S34" s="8" t="str">
        <f>VLOOKUP(A34,[1]Feuil1!$A:$V,19,FALSE)</f>
        <v>Non</v>
      </c>
      <c r="T34" s="8" t="str">
        <f>VLOOKUP(A34,[1]Feuil1!$A:$V,20,FALSE)</f>
        <v>OCI</v>
      </c>
      <c r="U34" s="8"/>
      <c r="V34" s="8" t="str">
        <f>VLOOKUP(A34,[1]Feuil1!$A:$V,22,FALSE)</f>
        <v>Projet</v>
      </c>
    </row>
    <row r="35" spans="1:22" ht="36" x14ac:dyDescent="0.35">
      <c r="A35" s="3">
        <v>56675050</v>
      </c>
      <c r="B35" s="4">
        <v>46036.516423611109</v>
      </c>
      <c r="C35" s="3">
        <v>60876713</v>
      </c>
      <c r="D35" s="4">
        <v>46113.498240740744</v>
      </c>
      <c r="E35" s="3" t="s">
        <v>27</v>
      </c>
      <c r="F35" s="3" t="s">
        <v>112</v>
      </c>
      <c r="G35" s="3">
        <v>748512613</v>
      </c>
      <c r="H35" s="3" t="s">
        <v>113</v>
      </c>
      <c r="I35" s="3" t="s">
        <v>2</v>
      </c>
      <c r="J35" s="3" t="s">
        <v>10</v>
      </c>
      <c r="K35" s="3" t="s">
        <v>25</v>
      </c>
      <c r="L35" s="3" t="s">
        <v>30</v>
      </c>
      <c r="M35" s="3" t="s">
        <v>6</v>
      </c>
      <c r="N35" s="3" t="s">
        <v>13</v>
      </c>
      <c r="O35" s="3" t="s">
        <v>93</v>
      </c>
      <c r="P35" s="3" t="s">
        <v>2</v>
      </c>
      <c r="Q35" s="5">
        <v>4362401</v>
      </c>
      <c r="R35" s="8">
        <f t="shared" ca="1" si="0"/>
        <v>59</v>
      </c>
      <c r="S35" s="8" t="str">
        <f>VLOOKUP(A35,[1]Feuil1!$A:$V,19,FALSE)</f>
        <v>Non</v>
      </c>
      <c r="T35" s="8" t="str">
        <f>VLOOKUP(A35,[1]Feuil1!$A:$V,20,FALSE)</f>
        <v xml:space="preserve">CLIENT </v>
      </c>
      <c r="U35" s="8"/>
      <c r="V35" s="8" t="s">
        <v>332</v>
      </c>
    </row>
    <row r="36" spans="1:22" ht="60" x14ac:dyDescent="0.35">
      <c r="A36" s="3">
        <v>56970346</v>
      </c>
      <c r="B36" s="4">
        <v>46042.557280092595</v>
      </c>
      <c r="C36" s="3">
        <v>59242054</v>
      </c>
      <c r="D36" s="4">
        <v>46083.719525462962</v>
      </c>
      <c r="E36" s="3" t="s">
        <v>34</v>
      </c>
      <c r="F36" s="3" t="s">
        <v>114</v>
      </c>
      <c r="G36" s="3">
        <v>708667658</v>
      </c>
      <c r="H36" s="3" t="s">
        <v>115</v>
      </c>
      <c r="I36" s="3" t="s">
        <v>2</v>
      </c>
      <c r="J36" s="3" t="s">
        <v>10</v>
      </c>
      <c r="K36" s="3" t="s">
        <v>25</v>
      </c>
      <c r="L36" s="3" t="s">
        <v>30</v>
      </c>
      <c r="M36" s="3" t="s">
        <v>6</v>
      </c>
      <c r="N36" s="3" t="s">
        <v>13</v>
      </c>
      <c r="O36" s="3" t="s">
        <v>50</v>
      </c>
      <c r="P36" s="3" t="s">
        <v>2</v>
      </c>
      <c r="Q36" s="5">
        <v>2871414</v>
      </c>
      <c r="R36" s="8">
        <f t="shared" ca="1" si="0"/>
        <v>55</v>
      </c>
      <c r="S36" s="8" t="str">
        <f>VLOOKUP(A36,[1]Feuil1!$A:$V,19,FALSE)</f>
        <v>Oui</v>
      </c>
      <c r="T36" s="8" t="str">
        <f>VLOOKUP(A36,[1]Feuil1!$A:$V,20,FALSE)</f>
        <v>OCI</v>
      </c>
      <c r="U36" s="8" t="str">
        <f>VLOOKUP(A36,[1]Feuil1!$A:$V,21,FALSE)</f>
        <v>MAIRIE DU PLATEAU + AGEROUTE</v>
      </c>
      <c r="V36" s="8" t="s">
        <v>332</v>
      </c>
    </row>
    <row r="37" spans="1:22" ht="24" x14ac:dyDescent="0.35">
      <c r="A37" s="3">
        <v>57398181</v>
      </c>
      <c r="B37" s="4">
        <v>46050.584374999999</v>
      </c>
      <c r="C37" s="3">
        <v>60344342</v>
      </c>
      <c r="D37" s="4">
        <v>46104.528900462959</v>
      </c>
      <c r="E37" s="3" t="s">
        <v>34</v>
      </c>
      <c r="F37" s="3" t="s">
        <v>116</v>
      </c>
      <c r="G37" s="3">
        <v>720631500</v>
      </c>
      <c r="H37" s="3" t="s">
        <v>117</v>
      </c>
      <c r="I37" s="3" t="s">
        <v>2</v>
      </c>
      <c r="J37" s="3" t="s">
        <v>10</v>
      </c>
      <c r="K37" s="3" t="s">
        <v>25</v>
      </c>
      <c r="L37" s="3" t="s">
        <v>30</v>
      </c>
      <c r="M37" s="3" t="s">
        <v>6</v>
      </c>
      <c r="N37" s="3" t="s">
        <v>13</v>
      </c>
      <c r="O37" s="3" t="s">
        <v>118</v>
      </c>
      <c r="P37" s="3" t="s">
        <v>2</v>
      </c>
      <c r="Q37" s="5">
        <v>4406780</v>
      </c>
      <c r="R37" s="8">
        <f t="shared" ca="1" si="0"/>
        <v>49</v>
      </c>
      <c r="S37" s="8" t="str">
        <f>VLOOKUP(A37,[1]Feuil1!$A:$V,19,FALSE)</f>
        <v>Non</v>
      </c>
      <c r="T37" s="8" t="str">
        <f>VLOOKUP(A37,[1]Feuil1!$A:$V,20,FALSE)</f>
        <v>OCI</v>
      </c>
      <c r="U37" s="8"/>
      <c r="V37" s="8" t="s">
        <v>332</v>
      </c>
    </row>
    <row r="38" spans="1:22" ht="24" x14ac:dyDescent="0.35">
      <c r="A38" s="3">
        <v>57651441</v>
      </c>
      <c r="B38" s="4">
        <v>46055.58011574074</v>
      </c>
      <c r="C38" s="3">
        <v>58955875</v>
      </c>
      <c r="D38" s="4">
        <v>46078.639594907407</v>
      </c>
      <c r="E38" s="3" t="s">
        <v>22</v>
      </c>
      <c r="F38" s="3" t="s">
        <v>119</v>
      </c>
      <c r="G38" s="3">
        <v>707079088</v>
      </c>
      <c r="H38" s="3" t="s">
        <v>120</v>
      </c>
      <c r="I38" s="3" t="s">
        <v>2</v>
      </c>
      <c r="J38" s="3" t="s">
        <v>18</v>
      </c>
      <c r="K38" s="3" t="s">
        <v>25</v>
      </c>
      <c r="L38" s="3" t="s">
        <v>12</v>
      </c>
      <c r="M38" s="3" t="s">
        <v>6</v>
      </c>
      <c r="N38" s="3" t="s">
        <v>13</v>
      </c>
      <c r="O38" s="3" t="s">
        <v>50</v>
      </c>
      <c r="P38" s="3" t="s">
        <v>2</v>
      </c>
      <c r="Q38" s="3" t="s">
        <v>121</v>
      </c>
      <c r="R38" s="8">
        <f t="shared" ca="1" si="0"/>
        <v>46</v>
      </c>
      <c r="S38" s="8" t="str">
        <f>VLOOKUP(A38,[1]Feuil1!$A:$V,19,FALSE)</f>
        <v>Non</v>
      </c>
      <c r="T38" s="8" t="str">
        <f>VLOOKUP(A38,[1]Feuil1!$A:$V,20,FALSE)</f>
        <v>OCI</v>
      </c>
      <c r="U38" s="8"/>
      <c r="V38" s="8" t="s">
        <v>332</v>
      </c>
    </row>
    <row r="39" spans="1:22" ht="48" x14ac:dyDescent="0.35">
      <c r="A39" s="3">
        <v>57672103</v>
      </c>
      <c r="B39" s="4">
        <v>46055.712083333332</v>
      </c>
      <c r="C39" s="3">
        <v>58477217</v>
      </c>
      <c r="D39" s="4">
        <v>46070.620787037034</v>
      </c>
      <c r="E39" s="3" t="s">
        <v>22</v>
      </c>
      <c r="F39" s="3" t="s">
        <v>122</v>
      </c>
      <c r="G39" s="3">
        <v>707079088</v>
      </c>
      <c r="H39" s="3" t="s">
        <v>123</v>
      </c>
      <c r="I39" s="3" t="s">
        <v>2</v>
      </c>
      <c r="J39" s="3" t="s">
        <v>18</v>
      </c>
      <c r="K39" s="3" t="s">
        <v>25</v>
      </c>
      <c r="L39" s="3" t="s">
        <v>12</v>
      </c>
      <c r="M39" s="3" t="s">
        <v>6</v>
      </c>
      <c r="N39" s="3" t="s">
        <v>13</v>
      </c>
      <c r="O39" s="3" t="s">
        <v>45</v>
      </c>
      <c r="P39" s="3" t="s">
        <v>2</v>
      </c>
      <c r="Q39" s="5">
        <v>1426700</v>
      </c>
      <c r="R39" s="8">
        <f t="shared" ca="1" si="0"/>
        <v>46</v>
      </c>
      <c r="S39" s="8" t="str">
        <f>VLOOKUP(A39,[1]Feuil1!$A:$V,19,FALSE)</f>
        <v>Non</v>
      </c>
      <c r="T39" s="8" t="str">
        <f>VLOOKUP(A39,[1]Feuil1!$A:$V,20,FALSE)</f>
        <v>OCI</v>
      </c>
      <c r="U39" s="8"/>
      <c r="V39" s="8" t="s">
        <v>332</v>
      </c>
    </row>
    <row r="40" spans="1:22" ht="84" x14ac:dyDescent="0.35">
      <c r="A40" s="3">
        <v>57692887</v>
      </c>
      <c r="B40" s="4">
        <v>46056.394780092596</v>
      </c>
      <c r="C40" s="3">
        <v>60516591</v>
      </c>
      <c r="D40" s="4">
        <v>46107.377708333333</v>
      </c>
      <c r="E40" s="3" t="s">
        <v>15</v>
      </c>
      <c r="F40" s="3" t="s">
        <v>124</v>
      </c>
      <c r="G40" s="3">
        <v>707109668</v>
      </c>
      <c r="H40" s="3" t="s">
        <v>125</v>
      </c>
      <c r="I40" s="3">
        <v>1798816</v>
      </c>
      <c r="J40" s="3" t="s">
        <v>66</v>
      </c>
      <c r="K40" s="3" t="s">
        <v>25</v>
      </c>
      <c r="L40" s="3" t="s">
        <v>12</v>
      </c>
      <c r="M40" s="3" t="s">
        <v>20</v>
      </c>
      <c r="N40" s="3" t="s">
        <v>13</v>
      </c>
      <c r="O40" s="3" t="s">
        <v>126</v>
      </c>
      <c r="P40" s="3" t="s">
        <v>2</v>
      </c>
      <c r="Q40" s="3" t="s">
        <v>2</v>
      </c>
      <c r="R40" s="8">
        <f t="shared" ca="1" si="0"/>
        <v>45</v>
      </c>
      <c r="S40" s="8" t="str">
        <f>VLOOKUP(A40,[1]Feuil1!$A:$V,19,FALSE)</f>
        <v>Non</v>
      </c>
      <c r="T40" s="8" t="str">
        <f>VLOOKUP(A40,[1]Feuil1!$A:$V,20,FALSE)</f>
        <v xml:space="preserve">CLIENT </v>
      </c>
      <c r="U40" s="8"/>
      <c r="V40" s="8" t="s">
        <v>332</v>
      </c>
    </row>
    <row r="41" spans="1:22" ht="24" x14ac:dyDescent="0.35">
      <c r="A41" s="3">
        <v>57706849</v>
      </c>
      <c r="B41" s="4">
        <v>46056.499166666668</v>
      </c>
      <c r="C41" s="3">
        <v>59767932</v>
      </c>
      <c r="D41" s="4">
        <v>46092.721273148149</v>
      </c>
      <c r="E41" s="3" t="s">
        <v>34</v>
      </c>
      <c r="F41" s="3" t="s">
        <v>127</v>
      </c>
      <c r="G41" s="3">
        <v>708086472</v>
      </c>
      <c r="H41" s="3" t="s">
        <v>128</v>
      </c>
      <c r="I41" s="3" t="s">
        <v>2</v>
      </c>
      <c r="J41" s="3" t="s">
        <v>10</v>
      </c>
      <c r="K41" s="3" t="s">
        <v>25</v>
      </c>
      <c r="L41" s="3" t="s">
        <v>30</v>
      </c>
      <c r="M41" s="3" t="s">
        <v>20</v>
      </c>
      <c r="N41" s="3" t="s">
        <v>13</v>
      </c>
      <c r="O41" s="3" t="s">
        <v>45</v>
      </c>
      <c r="P41" s="3" t="s">
        <v>2</v>
      </c>
      <c r="Q41" s="3">
        <v>0</v>
      </c>
      <c r="R41" s="8">
        <f t="shared" ca="1" si="0"/>
        <v>45</v>
      </c>
      <c r="S41" s="8" t="str">
        <f>VLOOKUP(A41,[1]Feuil1!$A:$V,19,FALSE)</f>
        <v>Oui</v>
      </c>
      <c r="T41" s="8" t="str">
        <f>VLOOKUP(A41,[1]Feuil1!$A:$V,20,FALSE)</f>
        <v>OCI</v>
      </c>
      <c r="U41" s="8"/>
      <c r="V41" s="8" t="s">
        <v>331</v>
      </c>
    </row>
    <row r="42" spans="1:22" ht="24" x14ac:dyDescent="0.35">
      <c r="A42" s="3">
        <v>57849095</v>
      </c>
      <c r="B42" s="4">
        <v>46058.603668981479</v>
      </c>
      <c r="C42" s="3">
        <v>60388868</v>
      </c>
      <c r="D42" s="4">
        <v>46105.385023148148</v>
      </c>
      <c r="E42" s="3" t="s">
        <v>15</v>
      </c>
      <c r="F42" s="3" t="s">
        <v>124</v>
      </c>
      <c r="G42" s="3">
        <v>707109668</v>
      </c>
      <c r="H42" s="3" t="s">
        <v>129</v>
      </c>
      <c r="I42" s="3" t="s">
        <v>2</v>
      </c>
      <c r="J42" s="3" t="s">
        <v>56</v>
      </c>
      <c r="K42" s="3" t="s">
        <v>25</v>
      </c>
      <c r="L42" s="3" t="s">
        <v>12</v>
      </c>
      <c r="M42" s="3" t="s">
        <v>6</v>
      </c>
      <c r="N42" s="3" t="s">
        <v>13</v>
      </c>
      <c r="O42" s="3" t="s">
        <v>130</v>
      </c>
      <c r="P42" s="3" t="s">
        <v>2</v>
      </c>
      <c r="Q42" s="3" t="s">
        <v>2</v>
      </c>
      <c r="R42" s="8">
        <f t="shared" ca="1" si="0"/>
        <v>43</v>
      </c>
      <c r="S42" s="8" t="str">
        <f>VLOOKUP(A42,[1]Feuil1!$A:$V,19,FALSE)</f>
        <v>Non</v>
      </c>
      <c r="T42" s="8" t="str">
        <f>VLOOKUP(A42,[1]Feuil1!$A:$V,20,FALSE)</f>
        <v xml:space="preserve">CLIENT </v>
      </c>
      <c r="U42" s="8"/>
      <c r="V42" s="8" t="s">
        <v>333</v>
      </c>
    </row>
    <row r="43" spans="1:22" ht="48" x14ac:dyDescent="0.35">
      <c r="A43" s="3">
        <v>57899728</v>
      </c>
      <c r="B43" s="4">
        <v>46059.503668981481</v>
      </c>
      <c r="C43" s="3">
        <v>60865967</v>
      </c>
      <c r="D43" s="4">
        <v>46113.411192129628</v>
      </c>
      <c r="E43" s="3" t="s">
        <v>15</v>
      </c>
      <c r="F43" s="3" t="s">
        <v>131</v>
      </c>
      <c r="G43" s="3">
        <v>505980067</v>
      </c>
      <c r="H43" s="3" t="s">
        <v>132</v>
      </c>
      <c r="I43" s="3" t="s">
        <v>2</v>
      </c>
      <c r="J43" s="3" t="s">
        <v>10</v>
      </c>
      <c r="K43" s="3" t="s">
        <v>25</v>
      </c>
      <c r="L43" s="3" t="s">
        <v>12</v>
      </c>
      <c r="M43" s="3" t="s">
        <v>6</v>
      </c>
      <c r="N43" s="3" t="s">
        <v>13</v>
      </c>
      <c r="O43" s="3" t="s">
        <v>133</v>
      </c>
      <c r="P43" s="3" t="s">
        <v>2</v>
      </c>
      <c r="Q43" s="5">
        <v>1002937</v>
      </c>
      <c r="R43" s="8">
        <f t="shared" ca="1" si="0"/>
        <v>42</v>
      </c>
      <c r="S43" s="8" t="str">
        <f>VLOOKUP(A43,[1]Feuil1!$A:$V,19,FALSE)</f>
        <v>Non</v>
      </c>
      <c r="T43" s="8" t="str">
        <f>VLOOKUP(A43,[1]Feuil1!$A:$V,20,FALSE)</f>
        <v xml:space="preserve">CLIENT </v>
      </c>
      <c r="U43" s="8" t="str">
        <f>VLOOKUP(A43,[1]Feuil1!$A:$V,21,FALSE)</f>
        <v>Local en chantier</v>
      </c>
      <c r="V43" s="8" t="s">
        <v>332</v>
      </c>
    </row>
    <row r="44" spans="1:22" ht="24" x14ac:dyDescent="0.35">
      <c r="A44" s="3">
        <v>58055656</v>
      </c>
      <c r="B44" s="4">
        <v>46062.760023148148</v>
      </c>
      <c r="C44" s="3">
        <v>60940290</v>
      </c>
      <c r="D44" s="4">
        <v>46114.473726851851</v>
      </c>
      <c r="E44" s="3" t="s">
        <v>27</v>
      </c>
      <c r="F44" s="3" t="s">
        <v>134</v>
      </c>
      <c r="G44" s="3">
        <v>758224257</v>
      </c>
      <c r="H44" s="3" t="s">
        <v>135</v>
      </c>
      <c r="I44" s="3" t="s">
        <v>2</v>
      </c>
      <c r="J44" s="3" t="s">
        <v>10</v>
      </c>
      <c r="K44" s="3" t="s">
        <v>25</v>
      </c>
      <c r="L44" s="3" t="s">
        <v>30</v>
      </c>
      <c r="M44" s="3" t="s">
        <v>6</v>
      </c>
      <c r="N44" s="3" t="s">
        <v>13</v>
      </c>
      <c r="O44" s="3" t="s">
        <v>26</v>
      </c>
      <c r="P44" s="3" t="s">
        <v>2</v>
      </c>
      <c r="Q44" s="5">
        <v>1800000</v>
      </c>
      <c r="R44" s="8">
        <f t="shared" ca="1" si="0"/>
        <v>41</v>
      </c>
      <c r="S44" s="8" t="str">
        <f>VLOOKUP(A44,[1]Feuil1!$A:$V,19,FALSE)</f>
        <v>Non</v>
      </c>
      <c r="T44" s="8" t="str">
        <f>VLOOKUP(A44,[1]Feuil1!$A:$V,20,FALSE)</f>
        <v>OCI</v>
      </c>
      <c r="U44" s="8"/>
      <c r="V44" s="8" t="s">
        <v>332</v>
      </c>
    </row>
    <row r="45" spans="1:22" x14ac:dyDescent="0.35">
      <c r="A45" s="3">
        <v>58093827</v>
      </c>
      <c r="B45" s="4">
        <v>46063.583402777775</v>
      </c>
      <c r="C45" s="3">
        <v>59486282</v>
      </c>
      <c r="D45" s="4">
        <v>46087.591932870368</v>
      </c>
      <c r="E45" s="3" t="s">
        <v>15</v>
      </c>
      <c r="F45" s="3" t="s">
        <v>35</v>
      </c>
      <c r="G45" s="3">
        <v>708086759</v>
      </c>
      <c r="H45" s="3" t="s">
        <v>136</v>
      </c>
      <c r="I45" s="3" t="s">
        <v>2</v>
      </c>
      <c r="J45" s="3" t="s">
        <v>10</v>
      </c>
      <c r="K45" s="3" t="s">
        <v>25</v>
      </c>
      <c r="L45" s="3" t="s">
        <v>30</v>
      </c>
      <c r="M45" s="3" t="s">
        <v>20</v>
      </c>
      <c r="N45" s="3" t="s">
        <v>13</v>
      </c>
      <c r="O45" s="3" t="s">
        <v>137</v>
      </c>
      <c r="P45" s="3" t="s">
        <v>2</v>
      </c>
      <c r="Q45" s="3" t="s">
        <v>2</v>
      </c>
      <c r="R45" s="8">
        <f t="shared" ca="1" si="0"/>
        <v>40</v>
      </c>
      <c r="S45" s="8" t="str">
        <f>VLOOKUP(A45,[1]Feuil1!$A:$V,19,FALSE)</f>
        <v>Non</v>
      </c>
      <c r="T45" s="8" t="str">
        <f>VLOOKUP(A45,[1]Feuil1!$A:$V,20,FALSE)</f>
        <v>N/A</v>
      </c>
      <c r="U45" s="8" t="str">
        <f>VLOOKUP(A45,[1]Feuil1!$A:$V,21,FALSE)</f>
        <v>Demande à annuler</v>
      </c>
      <c r="V45" s="8" t="str">
        <f>VLOOKUP(A45,[1]Feuil1!$A:$V,22,FALSE)</f>
        <v>Projet</v>
      </c>
    </row>
    <row r="46" spans="1:22" ht="24" x14ac:dyDescent="0.35">
      <c r="A46" s="3">
        <v>58093843</v>
      </c>
      <c r="B46" s="4">
        <v>46063.583460648151</v>
      </c>
      <c r="C46" s="3">
        <v>58667700</v>
      </c>
      <c r="D46" s="4">
        <v>46073.611655092594</v>
      </c>
      <c r="E46" s="3" t="s">
        <v>15</v>
      </c>
      <c r="F46" s="3" t="s">
        <v>35</v>
      </c>
      <c r="G46" s="3">
        <v>708086759</v>
      </c>
      <c r="H46" s="3" t="s">
        <v>136</v>
      </c>
      <c r="I46" s="3" t="s">
        <v>2</v>
      </c>
      <c r="J46" s="3" t="s">
        <v>10</v>
      </c>
      <c r="K46" s="3" t="s">
        <v>25</v>
      </c>
      <c r="L46" s="3" t="s">
        <v>30</v>
      </c>
      <c r="M46" s="3" t="s">
        <v>138</v>
      </c>
      <c r="N46" s="3" t="s">
        <v>13</v>
      </c>
      <c r="O46" s="3" t="s">
        <v>139</v>
      </c>
      <c r="P46" s="3" t="s">
        <v>2</v>
      </c>
      <c r="Q46" s="3">
        <v>0</v>
      </c>
      <c r="R46" s="8">
        <f t="shared" ca="1" si="0"/>
        <v>40</v>
      </c>
      <c r="S46" s="8" t="str">
        <f>VLOOKUP(A46,[1]Feuil1!$A:$V,19,FALSE)</f>
        <v>Non</v>
      </c>
      <c r="T46" s="8" t="str">
        <f>VLOOKUP(A46,[1]Feuil1!$A:$V,20,FALSE)</f>
        <v>N/A</v>
      </c>
      <c r="U46" s="8" t="str">
        <f>VLOOKUP(A46,[1]Feuil1!$A:$V,21,FALSE)</f>
        <v>Demande à annuler</v>
      </c>
      <c r="V46" s="8" t="str">
        <f>VLOOKUP(A46,[1]Feuil1!$A:$V,22,FALSE)</f>
        <v>Projet</v>
      </c>
    </row>
    <row r="47" spans="1:22" ht="24" x14ac:dyDescent="0.35">
      <c r="A47" s="3">
        <v>58096775</v>
      </c>
      <c r="B47" s="4">
        <v>46063.603263888886</v>
      </c>
      <c r="C47" s="3">
        <v>58655959</v>
      </c>
      <c r="D47" s="4">
        <v>46073.525740740741</v>
      </c>
      <c r="E47" s="3" t="s">
        <v>15</v>
      </c>
      <c r="F47" s="3" t="s">
        <v>35</v>
      </c>
      <c r="G47" s="3">
        <v>708086759</v>
      </c>
      <c r="H47" s="3" t="s">
        <v>136</v>
      </c>
      <c r="I47" s="3" t="s">
        <v>2</v>
      </c>
      <c r="J47" s="3" t="s">
        <v>18</v>
      </c>
      <c r="K47" s="3" t="s">
        <v>25</v>
      </c>
      <c r="L47" s="3" t="s">
        <v>12</v>
      </c>
      <c r="M47" s="3" t="s">
        <v>138</v>
      </c>
      <c r="N47" s="3" t="s">
        <v>13</v>
      </c>
      <c r="O47" s="3" t="s">
        <v>140</v>
      </c>
      <c r="P47" s="3" t="s">
        <v>2</v>
      </c>
      <c r="Q47" s="3">
        <v>0</v>
      </c>
      <c r="R47" s="8">
        <f t="shared" ca="1" si="0"/>
        <v>40</v>
      </c>
      <c r="S47" s="8" t="str">
        <f>VLOOKUP(A47,[1]Feuil1!$A:$V,19,FALSE)</f>
        <v>Non</v>
      </c>
      <c r="T47" s="8" t="str">
        <f>VLOOKUP(A47,[1]Feuil1!$A:$V,20,FALSE)</f>
        <v>N/A</v>
      </c>
      <c r="U47" s="8" t="str">
        <f>VLOOKUP(A47,[1]Feuil1!$A:$V,21,FALSE)</f>
        <v>E</v>
      </c>
      <c r="V47" s="8" t="str">
        <f>VLOOKUP(A47,[1]Feuil1!$A:$V,22,FALSE)</f>
        <v>Projet</v>
      </c>
    </row>
    <row r="48" spans="1:22" ht="72" x14ac:dyDescent="0.35">
      <c r="A48" s="3">
        <v>58144220</v>
      </c>
      <c r="B48" s="4">
        <v>46064.478425925925</v>
      </c>
      <c r="C48" s="3">
        <v>60839862</v>
      </c>
      <c r="D48" s="4">
        <v>46112.696493055555</v>
      </c>
      <c r="E48" s="3" t="s">
        <v>143</v>
      </c>
      <c r="F48" s="3" t="s">
        <v>141</v>
      </c>
      <c r="G48" s="3">
        <v>2722418166</v>
      </c>
      <c r="H48" s="3" t="s">
        <v>142</v>
      </c>
      <c r="I48" s="3" t="s">
        <v>2</v>
      </c>
      <c r="J48" s="3" t="s">
        <v>18</v>
      </c>
      <c r="K48" s="3" t="s">
        <v>25</v>
      </c>
      <c r="L48" s="3" t="s">
        <v>12</v>
      </c>
      <c r="M48" s="3" t="s">
        <v>20</v>
      </c>
      <c r="N48" s="3" t="s">
        <v>13</v>
      </c>
      <c r="O48" s="3" t="s">
        <v>45</v>
      </c>
      <c r="P48" s="3" t="s">
        <v>2</v>
      </c>
      <c r="Q48" s="3">
        <v>0</v>
      </c>
      <c r="R48" s="8">
        <f t="shared" ca="1" si="0"/>
        <v>39</v>
      </c>
      <c r="S48" s="8" t="str">
        <f>VLOOKUP(A48,[1]Feuil1!$A:$V,19,FALSE)</f>
        <v>Non</v>
      </c>
      <c r="T48" s="8" t="str">
        <f>VLOOKUP(A48,[1]Feuil1!$A:$V,20,FALSE)</f>
        <v>N/A</v>
      </c>
      <c r="U48" s="8"/>
      <c r="V48" s="8" t="s">
        <v>332</v>
      </c>
    </row>
    <row r="49" spans="1:22" ht="36" x14ac:dyDescent="0.35">
      <c r="A49" s="3">
        <v>58151683</v>
      </c>
      <c r="B49" s="4">
        <v>46064.532222222224</v>
      </c>
      <c r="C49" s="3">
        <v>60402173</v>
      </c>
      <c r="D49" s="4">
        <v>46105.501574074071</v>
      </c>
      <c r="E49" s="3" t="s">
        <v>27</v>
      </c>
      <c r="F49" s="3" t="s">
        <v>144</v>
      </c>
      <c r="G49" s="3">
        <v>2721271444</v>
      </c>
      <c r="H49" s="3" t="s">
        <v>145</v>
      </c>
      <c r="I49" s="3" t="s">
        <v>2</v>
      </c>
      <c r="J49" s="3" t="s">
        <v>10</v>
      </c>
      <c r="K49" s="3" t="s">
        <v>25</v>
      </c>
      <c r="L49" s="3" t="s">
        <v>30</v>
      </c>
      <c r="M49" s="3" t="s">
        <v>6</v>
      </c>
      <c r="N49" s="3" t="s">
        <v>13</v>
      </c>
      <c r="O49" s="3" t="s">
        <v>45</v>
      </c>
      <c r="P49" s="3" t="s">
        <v>2</v>
      </c>
      <c r="Q49" s="5">
        <v>1495965</v>
      </c>
      <c r="R49" s="8">
        <f t="shared" ca="1" si="0"/>
        <v>39</v>
      </c>
      <c r="S49" s="8" t="str">
        <f>VLOOKUP(A49,[1]Feuil1!$A:$V,19,FALSE)</f>
        <v>Non</v>
      </c>
      <c r="T49" s="8" t="str">
        <f>VLOOKUP(A49,[1]Feuil1!$A:$V,20,FALSE)</f>
        <v>N/A</v>
      </c>
      <c r="U49" s="8">
        <f>VLOOKUP(A49,[1]Feuil1!$A:$V,21,FALSE)</f>
        <v>0</v>
      </c>
      <c r="V49" s="8" t="s">
        <v>332</v>
      </c>
    </row>
    <row r="50" spans="1:22" ht="24" x14ac:dyDescent="0.35">
      <c r="A50" s="3">
        <v>58166885</v>
      </c>
      <c r="B50" s="4">
        <v>46064.649965277778</v>
      </c>
      <c r="C50" s="3">
        <v>59811530</v>
      </c>
      <c r="D50" s="4">
        <v>46093.540775462963</v>
      </c>
      <c r="E50" s="3" t="s">
        <v>34</v>
      </c>
      <c r="F50" s="3" t="s">
        <v>95</v>
      </c>
      <c r="G50" s="3">
        <v>504041812</v>
      </c>
      <c r="H50" s="3" t="s">
        <v>79</v>
      </c>
      <c r="I50" s="3" t="s">
        <v>2</v>
      </c>
      <c r="J50" s="3" t="s">
        <v>18</v>
      </c>
      <c r="K50" s="3" t="s">
        <v>25</v>
      </c>
      <c r="L50" s="3" t="s">
        <v>12</v>
      </c>
      <c r="M50" s="3" t="s">
        <v>6</v>
      </c>
      <c r="N50" s="3" t="s">
        <v>13</v>
      </c>
      <c r="O50" s="3" t="s">
        <v>21</v>
      </c>
      <c r="P50" s="3" t="s">
        <v>2</v>
      </c>
      <c r="Q50" s="5">
        <v>2000000</v>
      </c>
      <c r="R50" s="8">
        <f t="shared" ca="1" si="0"/>
        <v>39</v>
      </c>
      <c r="S50" s="8" t="str">
        <f>VLOOKUP(A50,[1]Feuil1!$A:$V,19,FALSE)</f>
        <v>Non</v>
      </c>
      <c r="T50" s="8" t="str">
        <f>VLOOKUP(A50,[1]Feuil1!$A:$V,20,FALSE)</f>
        <v>OCI</v>
      </c>
      <c r="U50" s="8"/>
      <c r="V50" s="8" t="str">
        <f>VLOOKUP(A50,[1]Feuil1!$A:$V,22,FALSE)</f>
        <v>Projet</v>
      </c>
    </row>
    <row r="51" spans="1:22" ht="48" x14ac:dyDescent="0.35">
      <c r="A51" s="3">
        <v>58168004</v>
      </c>
      <c r="B51" s="4">
        <v>46064.657037037039</v>
      </c>
      <c r="C51" s="3">
        <v>60360622</v>
      </c>
      <c r="D51" s="4">
        <v>46104.652754629627</v>
      </c>
      <c r="E51" s="3" t="s">
        <v>22</v>
      </c>
      <c r="F51" s="3" t="s">
        <v>95</v>
      </c>
      <c r="G51" s="3">
        <v>504041812</v>
      </c>
      <c r="H51" s="3" t="s">
        <v>146</v>
      </c>
      <c r="I51" s="3">
        <v>1811236</v>
      </c>
      <c r="J51" s="3" t="s">
        <v>37</v>
      </c>
      <c r="K51" s="3" t="s">
        <v>25</v>
      </c>
      <c r="L51" s="3" t="s">
        <v>12</v>
      </c>
      <c r="M51" s="3" t="s">
        <v>6</v>
      </c>
      <c r="N51" s="3" t="s">
        <v>13</v>
      </c>
      <c r="O51" s="3" t="s">
        <v>147</v>
      </c>
      <c r="P51" s="3" t="s">
        <v>2</v>
      </c>
      <c r="Q51" s="5">
        <v>2000000</v>
      </c>
      <c r="R51" s="8">
        <f t="shared" ca="1" si="0"/>
        <v>39</v>
      </c>
      <c r="S51" s="8" t="str">
        <f>VLOOKUP(A51,[1]Feuil1!$A:$V,19,FALSE)</f>
        <v>Non</v>
      </c>
      <c r="T51" s="8" t="str">
        <f>VLOOKUP(A51,[1]Feuil1!$A:$V,20,FALSE)</f>
        <v xml:space="preserve">CLIENT </v>
      </c>
      <c r="U51" s="8"/>
      <c r="V51" s="8" t="str">
        <f>VLOOKUP(A51,[1]Feuil1!$A:$V,22,FALSE)</f>
        <v>Projet</v>
      </c>
    </row>
    <row r="52" spans="1:22" ht="24" x14ac:dyDescent="0.35">
      <c r="A52" s="3">
        <v>58274609</v>
      </c>
      <c r="B52" s="4">
        <v>46066.525011574071</v>
      </c>
      <c r="C52" s="3">
        <v>59264178</v>
      </c>
      <c r="D52" s="4">
        <v>46084.406759259262</v>
      </c>
      <c r="E52" s="3" t="s">
        <v>34</v>
      </c>
      <c r="F52" s="3" t="s">
        <v>148</v>
      </c>
      <c r="G52" s="3">
        <v>2722480700</v>
      </c>
      <c r="H52" s="3" t="s">
        <v>96</v>
      </c>
      <c r="I52" s="3" t="s">
        <v>2</v>
      </c>
      <c r="J52" s="3" t="s">
        <v>10</v>
      </c>
      <c r="K52" s="3" t="s">
        <v>25</v>
      </c>
      <c r="L52" s="3" t="s">
        <v>30</v>
      </c>
      <c r="M52" s="3" t="s">
        <v>6</v>
      </c>
      <c r="N52" s="3" t="s">
        <v>13</v>
      </c>
      <c r="O52" s="3" t="s">
        <v>118</v>
      </c>
      <c r="P52" s="3" t="s">
        <v>2</v>
      </c>
      <c r="Q52" s="5">
        <v>522590</v>
      </c>
      <c r="R52" s="8">
        <f t="shared" ca="1" si="0"/>
        <v>37</v>
      </c>
      <c r="S52" s="8" t="str">
        <f>VLOOKUP(A52,[1]Feuil1!$A:$V,19,FALSE)</f>
        <v>Non</v>
      </c>
      <c r="T52" s="8" t="str">
        <f>VLOOKUP(A52,[1]Feuil1!$A:$V,20,FALSE)</f>
        <v>OCI</v>
      </c>
      <c r="U52" s="8" t="str">
        <f>VLOOKUP(A52,[1]Feuil1!$A:$V,21,FALSE)</f>
        <v>Travaux de GC</v>
      </c>
      <c r="V52" s="8" t="s">
        <v>332</v>
      </c>
    </row>
    <row r="53" spans="1:22" ht="48" x14ac:dyDescent="0.35">
      <c r="A53" s="3">
        <v>58626822</v>
      </c>
      <c r="B53" s="4">
        <v>46072.810324074075</v>
      </c>
      <c r="C53" s="3">
        <v>59811821</v>
      </c>
      <c r="D53" s="4">
        <v>46093.543773148151</v>
      </c>
      <c r="E53" s="3" t="s">
        <v>34</v>
      </c>
      <c r="F53" s="3" t="s">
        <v>149</v>
      </c>
      <c r="G53" s="3">
        <v>709574114</v>
      </c>
      <c r="H53" s="3" t="s">
        <v>150</v>
      </c>
      <c r="I53" s="3" t="s">
        <v>2</v>
      </c>
      <c r="J53" s="3" t="s">
        <v>10</v>
      </c>
      <c r="K53" s="3" t="s">
        <v>25</v>
      </c>
      <c r="L53" s="3" t="s">
        <v>30</v>
      </c>
      <c r="M53" s="3" t="s">
        <v>6</v>
      </c>
      <c r="N53" s="3" t="s">
        <v>13</v>
      </c>
      <c r="O53" s="3" t="s">
        <v>39</v>
      </c>
      <c r="P53" s="3" t="s">
        <v>2</v>
      </c>
      <c r="Q53" s="5">
        <v>445307</v>
      </c>
      <c r="R53" s="8">
        <f t="shared" ca="1" si="0"/>
        <v>33</v>
      </c>
      <c r="S53" s="8" t="str">
        <f>VLOOKUP(A53,[1]Feuil1!$A:$V,19,FALSE)</f>
        <v>Oui</v>
      </c>
      <c r="T53" s="8" t="str">
        <f>VLOOKUP(A53,[1]Feuil1!$A:$V,20,FALSE)</f>
        <v>OCI</v>
      </c>
      <c r="U53" s="8" t="str">
        <f>VLOOKUP(A53,[1]Feuil1!$A:$V,21,FALSE)</f>
        <v xml:space="preserve"> </v>
      </c>
      <c r="V53" s="8" t="s">
        <v>332</v>
      </c>
    </row>
    <row r="54" spans="1:22" ht="48" x14ac:dyDescent="0.35">
      <c r="A54" s="3">
        <v>58635645</v>
      </c>
      <c r="B54" s="4">
        <v>46073.372395833336</v>
      </c>
      <c r="C54" s="3">
        <v>60879144</v>
      </c>
      <c r="D54" s="4">
        <v>46113.513865740744</v>
      </c>
      <c r="E54" s="3" t="s">
        <v>86</v>
      </c>
      <c r="F54" s="3" t="s">
        <v>151</v>
      </c>
      <c r="G54" s="3">
        <v>759250737</v>
      </c>
      <c r="H54" s="3" t="s">
        <v>152</v>
      </c>
      <c r="I54" s="3" t="s">
        <v>2</v>
      </c>
      <c r="J54" s="3" t="s">
        <v>18</v>
      </c>
      <c r="K54" s="3" t="s">
        <v>25</v>
      </c>
      <c r="L54" s="3" t="s">
        <v>12</v>
      </c>
      <c r="M54" s="3" t="s">
        <v>20</v>
      </c>
      <c r="N54" s="3"/>
      <c r="O54" s="3" t="s">
        <v>153</v>
      </c>
      <c r="P54" s="3" t="s">
        <v>2</v>
      </c>
      <c r="Q54" s="3" t="s">
        <v>2</v>
      </c>
      <c r="R54" s="8">
        <f t="shared" ca="1" si="0"/>
        <v>32</v>
      </c>
      <c r="S54" s="8" t="str">
        <f>VLOOKUP(A54,[1]Feuil1!$A:$V,19,FALSE)</f>
        <v>OUI</v>
      </c>
      <c r="T54" s="8" t="str">
        <f>VLOOKUP(A54,[1]Feuil1!$A:$V,20,FALSE)</f>
        <v>OCI</v>
      </c>
      <c r="U54" s="8" t="str">
        <f>VLOOKUP(A54,[1]Feuil1!$A:$V,21,FALSE)</f>
        <v xml:space="preserve"> </v>
      </c>
      <c r="V54" s="8" t="s">
        <v>332</v>
      </c>
    </row>
    <row r="55" spans="1:22" ht="24" x14ac:dyDescent="0.35">
      <c r="A55" s="3">
        <v>58635674</v>
      </c>
      <c r="B55" s="4">
        <v>46073.372488425928</v>
      </c>
      <c r="C55" s="3">
        <v>60996273</v>
      </c>
      <c r="D55" s="4">
        <v>46115.424664351849</v>
      </c>
      <c r="E55" s="3" t="s">
        <v>154</v>
      </c>
      <c r="F55" s="3" t="s">
        <v>151</v>
      </c>
      <c r="G55" s="3">
        <v>759250737</v>
      </c>
      <c r="H55" s="3" t="s">
        <v>152</v>
      </c>
      <c r="I55" s="3" t="s">
        <v>2</v>
      </c>
      <c r="J55" s="3" t="s">
        <v>18</v>
      </c>
      <c r="K55" s="3" t="s">
        <v>19</v>
      </c>
      <c r="L55" s="3" t="s">
        <v>12</v>
      </c>
      <c r="M55" s="3" t="s">
        <v>138</v>
      </c>
      <c r="N55" s="3" t="s">
        <v>13</v>
      </c>
      <c r="O55" s="3" t="s">
        <v>45</v>
      </c>
      <c r="P55" s="3" t="s">
        <v>2</v>
      </c>
      <c r="Q55" s="5">
        <v>500000</v>
      </c>
      <c r="R55" s="8">
        <f t="shared" ca="1" si="0"/>
        <v>32</v>
      </c>
      <c r="S55" s="8" t="str">
        <f>VLOOKUP(A55,[1]Feuil1!$A:$V,19,FALSE)</f>
        <v>Non</v>
      </c>
      <c r="T55" s="8" t="s">
        <v>330</v>
      </c>
      <c r="U55" s="8" t="str">
        <f>VLOOKUP(A55,[1]Feuil1!$A:$V,21,FALSE)</f>
        <v xml:space="preserve"> </v>
      </c>
      <c r="V55" s="8" t="s">
        <v>332</v>
      </c>
    </row>
    <row r="56" spans="1:22" ht="48" x14ac:dyDescent="0.35">
      <c r="A56" s="3">
        <v>58642079</v>
      </c>
      <c r="B56" s="4">
        <v>46073.425034722219</v>
      </c>
      <c r="C56" s="3">
        <v>60890227</v>
      </c>
      <c r="D56" s="4">
        <v>46113.605057870373</v>
      </c>
      <c r="E56" s="3" t="s">
        <v>86</v>
      </c>
      <c r="F56" s="3" t="s">
        <v>151</v>
      </c>
      <c r="G56" s="3">
        <v>759250737</v>
      </c>
      <c r="H56" s="3" t="s">
        <v>152</v>
      </c>
      <c r="I56" s="3" t="s">
        <v>2</v>
      </c>
      <c r="J56" s="3" t="s">
        <v>155</v>
      </c>
      <c r="K56" s="3" t="s">
        <v>4</v>
      </c>
      <c r="L56" s="3" t="s">
        <v>5</v>
      </c>
      <c r="M56" s="3" t="s">
        <v>6</v>
      </c>
      <c r="N56" s="3"/>
      <c r="O56" s="3">
        <v>2720218600</v>
      </c>
      <c r="P56" s="3" t="s">
        <v>2</v>
      </c>
      <c r="Q56" s="3" t="s">
        <v>2</v>
      </c>
      <c r="R56" s="8">
        <f t="shared" ca="1" si="0"/>
        <v>32</v>
      </c>
      <c r="S56" s="8" t="str">
        <f>VLOOKUP(A56,[1]Feuil1!$A:$V,19,FALSE)</f>
        <v>OUI</v>
      </c>
      <c r="T56" s="8" t="str">
        <f>VLOOKUP(A56,[1]Feuil1!$A:$V,20,FALSE)</f>
        <v>OCI</v>
      </c>
      <c r="U56" s="8" t="str">
        <f>VLOOKUP(A56,[1]Feuil1!$A:$V,21,FALSE)</f>
        <v xml:space="preserve"> </v>
      </c>
      <c r="V56" s="8" t="s">
        <v>332</v>
      </c>
    </row>
    <row r="57" spans="1:22" ht="48" x14ac:dyDescent="0.35">
      <c r="A57" s="3">
        <v>58649804</v>
      </c>
      <c r="B57" s="4">
        <v>46073.479305555556</v>
      </c>
      <c r="C57" s="3">
        <v>60886722</v>
      </c>
      <c r="D57" s="4">
        <v>46113.571793981479</v>
      </c>
      <c r="E57" s="3" t="s">
        <v>86</v>
      </c>
      <c r="F57" s="3" t="s">
        <v>156</v>
      </c>
      <c r="G57" s="3">
        <v>759250737</v>
      </c>
      <c r="H57" s="3" t="s">
        <v>152</v>
      </c>
      <c r="I57" s="3" t="s">
        <v>2</v>
      </c>
      <c r="J57" s="3" t="s">
        <v>10</v>
      </c>
      <c r="K57" s="3" t="s">
        <v>25</v>
      </c>
      <c r="L57" s="3" t="s">
        <v>30</v>
      </c>
      <c r="M57" s="3" t="s">
        <v>20</v>
      </c>
      <c r="N57" s="3"/>
      <c r="O57" s="3" t="s">
        <v>157</v>
      </c>
      <c r="P57" s="3" t="s">
        <v>2</v>
      </c>
      <c r="Q57" s="3" t="s">
        <v>2</v>
      </c>
      <c r="R57" s="8">
        <f t="shared" ca="1" si="0"/>
        <v>32</v>
      </c>
      <c r="S57" s="8" t="str">
        <f>VLOOKUP(A57,[1]Feuil1!$A:$V,19,FALSE)</f>
        <v>OUI</v>
      </c>
      <c r="T57" s="8" t="str">
        <f>VLOOKUP(A57,[1]Feuil1!$A:$V,20,FALSE)</f>
        <v>OCI</v>
      </c>
      <c r="U57" s="8" t="str">
        <f>VLOOKUP(A57,[1]Feuil1!$A:$V,21,FALSE)</f>
        <v xml:space="preserve"> </v>
      </c>
      <c r="V57" s="8" t="s">
        <v>332</v>
      </c>
    </row>
    <row r="58" spans="1:22" ht="36" x14ac:dyDescent="0.35">
      <c r="A58" s="3">
        <v>58649837</v>
      </c>
      <c r="B58" s="4">
        <v>46073.479409722226</v>
      </c>
      <c r="C58" s="3">
        <v>60995343</v>
      </c>
      <c r="D58" s="4">
        <v>46115.417141203703</v>
      </c>
      <c r="E58" s="3" t="s">
        <v>154</v>
      </c>
      <c r="F58" s="3" t="s">
        <v>156</v>
      </c>
      <c r="G58" s="3">
        <v>759250737</v>
      </c>
      <c r="H58" s="3" t="s">
        <v>152</v>
      </c>
      <c r="I58" s="3" t="s">
        <v>2</v>
      </c>
      <c r="J58" s="3" t="s">
        <v>10</v>
      </c>
      <c r="K58" s="3" t="s">
        <v>19</v>
      </c>
      <c r="L58" s="3" t="s">
        <v>30</v>
      </c>
      <c r="M58" s="3" t="s">
        <v>138</v>
      </c>
      <c r="N58" s="3" t="s">
        <v>13</v>
      </c>
      <c r="O58" s="3" t="s">
        <v>45</v>
      </c>
      <c r="P58" s="3" t="s">
        <v>2</v>
      </c>
      <c r="Q58" s="5">
        <v>500000</v>
      </c>
      <c r="R58" s="8">
        <f t="shared" ca="1" si="0"/>
        <v>32</v>
      </c>
      <c r="S58" s="8" t="str">
        <f>VLOOKUP(A58,[1]Feuil1!$A:$V,19,FALSE)</f>
        <v>OUI</v>
      </c>
      <c r="T58" s="8" t="str">
        <f>VLOOKUP(A58,[1]Feuil1!$A:$V,20,FALSE)</f>
        <v>OCI</v>
      </c>
      <c r="U58" s="8" t="str">
        <f>VLOOKUP(A58,[1]Feuil1!$A:$V,21,FALSE)</f>
        <v xml:space="preserve"> </v>
      </c>
      <c r="V58" s="8" t="s">
        <v>332</v>
      </c>
    </row>
    <row r="59" spans="1:22" ht="48" x14ac:dyDescent="0.35">
      <c r="A59" s="3">
        <v>58797846</v>
      </c>
      <c r="B59" s="4">
        <v>46076.510104166664</v>
      </c>
      <c r="C59" s="3">
        <v>60937758</v>
      </c>
      <c r="D59" s="4">
        <v>46114.455208333333</v>
      </c>
      <c r="E59" s="3" t="s">
        <v>86</v>
      </c>
      <c r="F59" s="3" t="s">
        <v>158</v>
      </c>
      <c r="G59" s="3">
        <v>102224907</v>
      </c>
      <c r="H59" s="3" t="s">
        <v>159</v>
      </c>
      <c r="I59" s="3" t="s">
        <v>2</v>
      </c>
      <c r="J59" s="3" t="s">
        <v>18</v>
      </c>
      <c r="K59" s="3" t="s">
        <v>19</v>
      </c>
      <c r="L59" s="3" t="s">
        <v>12</v>
      </c>
      <c r="M59" s="3" t="s">
        <v>6</v>
      </c>
      <c r="N59" s="3" t="s">
        <v>73</v>
      </c>
      <c r="O59" s="3" t="s">
        <v>160</v>
      </c>
      <c r="P59" s="3" t="s">
        <v>2</v>
      </c>
      <c r="Q59" s="5">
        <v>2000000</v>
      </c>
      <c r="R59" s="8">
        <f t="shared" ca="1" si="0"/>
        <v>31</v>
      </c>
      <c r="S59" s="8" t="str">
        <f>VLOOKUP(A59,[1]Feuil1!$A:$V,19,FALSE)</f>
        <v>Non</v>
      </c>
      <c r="T59" s="8" t="s">
        <v>330</v>
      </c>
      <c r="U59" s="8" t="str">
        <f>VLOOKUP(A59,[1]Feuil1!$A:$V,21,FALSE)</f>
        <v xml:space="preserve"> </v>
      </c>
      <c r="V59" s="8" t="s">
        <v>332</v>
      </c>
    </row>
    <row r="60" spans="1:22" ht="60" x14ac:dyDescent="0.35">
      <c r="A60" s="3">
        <v>58821537</v>
      </c>
      <c r="B60" s="4">
        <v>46076.664479166669</v>
      </c>
      <c r="C60" s="3">
        <v>60960887</v>
      </c>
      <c r="D60" s="4">
        <v>46114.624756944446</v>
      </c>
      <c r="E60" s="3" t="s">
        <v>163</v>
      </c>
      <c r="F60" s="3" t="s">
        <v>161</v>
      </c>
      <c r="G60" s="3">
        <v>708086472</v>
      </c>
      <c r="H60" s="3" t="s">
        <v>162</v>
      </c>
      <c r="I60" s="3" t="s">
        <v>2</v>
      </c>
      <c r="J60" s="3" t="s">
        <v>18</v>
      </c>
      <c r="K60" s="3" t="s">
        <v>19</v>
      </c>
      <c r="L60" s="3" t="s">
        <v>12</v>
      </c>
      <c r="M60" s="3" t="s">
        <v>20</v>
      </c>
      <c r="N60" s="3" t="s">
        <v>13</v>
      </c>
      <c r="O60" s="3" t="s">
        <v>118</v>
      </c>
      <c r="P60" s="3" t="s">
        <v>2</v>
      </c>
      <c r="Q60" s="3" t="s">
        <v>2</v>
      </c>
      <c r="R60" s="8">
        <f t="shared" ca="1" si="0"/>
        <v>31</v>
      </c>
      <c r="S60" s="8" t="str">
        <f>VLOOKUP(A60,[1]Feuil1!$A:$V,19,FALSE)</f>
        <v>Non</v>
      </c>
      <c r="T60" s="8" t="s">
        <v>330</v>
      </c>
      <c r="U60" s="8" t="str">
        <f>VLOOKUP(A60,[1]Feuil1!$A:$V,21,FALSE)</f>
        <v xml:space="preserve"> </v>
      </c>
      <c r="V60" s="8" t="s">
        <v>332</v>
      </c>
    </row>
    <row r="61" spans="1:22" ht="24" x14ac:dyDescent="0.35">
      <c r="A61" s="3">
        <v>58821553</v>
      </c>
      <c r="B61" s="4">
        <v>46076.664525462962</v>
      </c>
      <c r="C61" s="3">
        <v>59998536</v>
      </c>
      <c r="D61" s="4">
        <v>46097.435590277775</v>
      </c>
      <c r="E61" s="3" t="s">
        <v>22</v>
      </c>
      <c r="F61" s="3" t="s">
        <v>161</v>
      </c>
      <c r="G61" s="3">
        <v>708086472</v>
      </c>
      <c r="H61" s="3" t="s">
        <v>162</v>
      </c>
      <c r="I61" s="3" t="s">
        <v>2</v>
      </c>
      <c r="J61" s="3" t="s">
        <v>18</v>
      </c>
      <c r="K61" s="3" t="s">
        <v>19</v>
      </c>
      <c r="L61" s="3" t="s">
        <v>12</v>
      </c>
      <c r="M61" s="3" t="s">
        <v>138</v>
      </c>
      <c r="N61" s="3" t="s">
        <v>13</v>
      </c>
      <c r="O61" s="3" t="s">
        <v>164</v>
      </c>
      <c r="P61" s="3" t="s">
        <v>2</v>
      </c>
      <c r="Q61" s="5">
        <v>705000</v>
      </c>
      <c r="R61" s="8">
        <f t="shared" ca="1" si="0"/>
        <v>31</v>
      </c>
      <c r="S61" s="8" t="str">
        <f>VLOOKUP(A61,[1]Feuil1!$A:$V,19,FALSE)</f>
        <v>Non</v>
      </c>
      <c r="T61" s="8" t="s">
        <v>330</v>
      </c>
      <c r="U61" s="8" t="str">
        <f>VLOOKUP(A61,[1]Feuil1!$A:$V,21,FALSE)</f>
        <v xml:space="preserve"> </v>
      </c>
      <c r="V61" s="8" t="s">
        <v>331</v>
      </c>
    </row>
    <row r="62" spans="1:22" x14ac:dyDescent="0.35">
      <c r="A62" s="3">
        <v>58822576</v>
      </c>
      <c r="B62" s="4">
        <v>46076.670810185184</v>
      </c>
      <c r="C62" s="3">
        <v>59375318</v>
      </c>
      <c r="D62" s="4">
        <v>46085.763622685183</v>
      </c>
      <c r="E62" s="3" t="s">
        <v>15</v>
      </c>
      <c r="F62" s="3" t="s">
        <v>161</v>
      </c>
      <c r="G62" s="3">
        <v>708086472</v>
      </c>
      <c r="H62" s="3" t="s">
        <v>165</v>
      </c>
      <c r="I62" s="3" t="s">
        <v>2</v>
      </c>
      <c r="J62" s="3" t="s">
        <v>18</v>
      </c>
      <c r="K62" s="3" t="s">
        <v>25</v>
      </c>
      <c r="L62" s="3" t="s">
        <v>12</v>
      </c>
      <c r="M62" s="3" t="s">
        <v>20</v>
      </c>
      <c r="N62" s="3" t="s">
        <v>13</v>
      </c>
      <c r="O62" s="3" t="s">
        <v>39</v>
      </c>
      <c r="P62" s="3" t="s">
        <v>2</v>
      </c>
      <c r="Q62" s="3" t="s">
        <v>2</v>
      </c>
      <c r="R62" s="8">
        <f t="shared" ca="1" si="0"/>
        <v>31</v>
      </c>
      <c r="S62" s="8" t="str">
        <f>VLOOKUP(A62,[1]Feuil1!$A:$V,19,FALSE)</f>
        <v>Non</v>
      </c>
      <c r="T62" s="8" t="s">
        <v>330</v>
      </c>
      <c r="U62" s="8" t="str">
        <f>VLOOKUP(A62,[1]Feuil1!$A:$V,21,FALSE)</f>
        <v xml:space="preserve"> </v>
      </c>
      <c r="V62" s="8" t="s">
        <v>331</v>
      </c>
    </row>
    <row r="63" spans="1:22" ht="24" x14ac:dyDescent="0.35">
      <c r="A63" s="3">
        <v>58822595</v>
      </c>
      <c r="B63" s="4">
        <v>46076.670856481483</v>
      </c>
      <c r="C63" s="3">
        <v>60208557</v>
      </c>
      <c r="D63" s="4">
        <v>46100.764618055553</v>
      </c>
      <c r="E63" s="3" t="s">
        <v>15</v>
      </c>
      <c r="F63" s="3" t="s">
        <v>161</v>
      </c>
      <c r="G63" s="3">
        <v>708086472</v>
      </c>
      <c r="H63" s="3" t="s">
        <v>165</v>
      </c>
      <c r="I63" s="3" t="s">
        <v>2</v>
      </c>
      <c r="J63" s="3" t="s">
        <v>18</v>
      </c>
      <c r="K63" s="3" t="s">
        <v>25</v>
      </c>
      <c r="L63" s="3" t="s">
        <v>12</v>
      </c>
      <c r="M63" s="3" t="s">
        <v>138</v>
      </c>
      <c r="N63" s="3" t="s">
        <v>13</v>
      </c>
      <c r="O63" s="3" t="s">
        <v>78</v>
      </c>
      <c r="P63" s="3" t="s">
        <v>2</v>
      </c>
      <c r="Q63" s="5">
        <v>1150000</v>
      </c>
      <c r="R63" s="8">
        <f t="shared" ca="1" si="0"/>
        <v>31</v>
      </c>
      <c r="S63" s="8" t="str">
        <f>VLOOKUP(A63,[1]Feuil1!$A:$V,19,FALSE)</f>
        <v>Non</v>
      </c>
      <c r="T63" s="8" t="s">
        <v>330</v>
      </c>
      <c r="U63" s="8" t="str">
        <f>VLOOKUP(A63,[1]Feuil1!$A:$V,21,FALSE)</f>
        <v xml:space="preserve"> </v>
      </c>
      <c r="V63" s="8" t="s">
        <v>331</v>
      </c>
    </row>
    <row r="64" spans="1:22" ht="24" x14ac:dyDescent="0.35">
      <c r="A64" s="3">
        <v>58856498</v>
      </c>
      <c r="B64" s="4">
        <v>46077.418171296296</v>
      </c>
      <c r="C64" s="3">
        <v>60800011</v>
      </c>
      <c r="D64" s="4">
        <v>46112.393784722219</v>
      </c>
      <c r="E64" s="3" t="s">
        <v>22</v>
      </c>
      <c r="F64" s="3" t="s">
        <v>166</v>
      </c>
      <c r="G64" s="3">
        <v>748377555</v>
      </c>
      <c r="H64" s="3" t="s">
        <v>167</v>
      </c>
      <c r="I64" s="3" t="s">
        <v>2</v>
      </c>
      <c r="J64" s="3" t="s">
        <v>18</v>
      </c>
      <c r="K64" s="3" t="s">
        <v>25</v>
      </c>
      <c r="L64" s="3" t="s">
        <v>12</v>
      </c>
      <c r="M64" s="3" t="s">
        <v>20</v>
      </c>
      <c r="N64" s="3" t="s">
        <v>13</v>
      </c>
      <c r="O64" s="3" t="s">
        <v>168</v>
      </c>
      <c r="P64" s="3" t="s">
        <v>2</v>
      </c>
      <c r="Q64" s="3" t="s">
        <v>2</v>
      </c>
      <c r="R64" s="8">
        <f t="shared" ca="1" si="0"/>
        <v>30</v>
      </c>
      <c r="S64" s="8" t="str">
        <f>VLOOKUP(A64,[1]Feuil1!$A:$V,19,FALSE)</f>
        <v>non</v>
      </c>
      <c r="T64" s="8" t="str">
        <f>VLOOKUP(A64,[1]Feuil1!$A:$V,20,FALSE)</f>
        <v>OCI</v>
      </c>
      <c r="U64" s="8" t="str">
        <f>VLOOKUP(A64,[1]Feuil1!$A:$V,21,FALSE)</f>
        <v>Problème sur le contact client. Conctact partagé hier 05/03/2026 pour le Survy</v>
      </c>
      <c r="V64" s="8" t="s">
        <v>334</v>
      </c>
    </row>
    <row r="65" spans="1:22" ht="48" x14ac:dyDescent="0.35">
      <c r="A65" s="3">
        <v>58860531</v>
      </c>
      <c r="B65" s="4">
        <v>46077.446631944447</v>
      </c>
      <c r="C65" s="3">
        <v>60749153</v>
      </c>
      <c r="D65" s="4">
        <v>46111.514351851853</v>
      </c>
      <c r="E65" s="3" t="s">
        <v>34</v>
      </c>
      <c r="F65" s="3" t="s">
        <v>169</v>
      </c>
      <c r="G65" s="3">
        <v>748377555</v>
      </c>
      <c r="H65" s="3" t="s">
        <v>170</v>
      </c>
      <c r="I65" s="3" t="s">
        <v>2</v>
      </c>
      <c r="J65" s="3" t="s">
        <v>56</v>
      </c>
      <c r="K65" s="3" t="s">
        <v>25</v>
      </c>
      <c r="L65" s="3" t="s">
        <v>12</v>
      </c>
      <c r="M65" s="3" t="s">
        <v>20</v>
      </c>
      <c r="N65" s="3" t="s">
        <v>13</v>
      </c>
      <c r="O65" s="3" t="s">
        <v>39</v>
      </c>
      <c r="P65" s="3" t="s">
        <v>2</v>
      </c>
      <c r="Q65" s="3" t="s">
        <v>2</v>
      </c>
      <c r="R65" s="8">
        <f t="shared" ca="1" si="0"/>
        <v>30</v>
      </c>
      <c r="S65" s="8" t="str">
        <f>VLOOKUP(A65,[1]Feuil1!$A:$V,19,FALSE)</f>
        <v>non</v>
      </c>
      <c r="T65" s="8" t="str">
        <f>VLOOKUP(A65,[1]Feuil1!$A:$V,20,FALSE)</f>
        <v>OCI</v>
      </c>
      <c r="U65" s="8" t="str">
        <f>VLOOKUP(A65,[1]Feuil1!$A:$V,21,FALSE)</f>
        <v>Problème sur le contact client. Conctact partagé hier 05/03/2026 pour le Survy</v>
      </c>
      <c r="V65" s="8" t="s">
        <v>334</v>
      </c>
    </row>
    <row r="66" spans="1:22" ht="48" x14ac:dyDescent="0.35">
      <c r="A66" s="3">
        <v>58860538</v>
      </c>
      <c r="B66" s="4">
        <v>46077.446666666663</v>
      </c>
      <c r="C66" s="3">
        <v>60749284</v>
      </c>
      <c r="D66" s="4">
        <v>46111.515370370369</v>
      </c>
      <c r="E66" s="3" t="s">
        <v>34</v>
      </c>
      <c r="F66" s="3" t="s">
        <v>169</v>
      </c>
      <c r="G66" s="3">
        <v>748377555</v>
      </c>
      <c r="H66" s="3" t="s">
        <v>170</v>
      </c>
      <c r="I66" s="3" t="s">
        <v>2</v>
      </c>
      <c r="J66" s="3" t="s">
        <v>56</v>
      </c>
      <c r="K66" s="3" t="s">
        <v>25</v>
      </c>
      <c r="L66" s="3" t="s">
        <v>12</v>
      </c>
      <c r="M66" s="3" t="s">
        <v>138</v>
      </c>
      <c r="N66" s="3" t="s">
        <v>13</v>
      </c>
      <c r="O66" s="3" t="s">
        <v>45</v>
      </c>
      <c r="P66" s="3" t="s">
        <v>2</v>
      </c>
      <c r="Q66" s="5">
        <v>5324000</v>
      </c>
      <c r="R66" s="8">
        <f t="shared" ref="R66:R129" ca="1" si="1">NETWORKDAYS(B66,TODAY())</f>
        <v>30</v>
      </c>
      <c r="S66" s="8" t="str">
        <f>VLOOKUP(A66,[1]Feuil1!$A:$V,19,FALSE)</f>
        <v>non</v>
      </c>
      <c r="T66" s="8" t="str">
        <f>VLOOKUP(A66,[1]Feuil1!$A:$V,20,FALSE)</f>
        <v>OCI</v>
      </c>
      <c r="U66" s="8" t="str">
        <f>VLOOKUP(A66,[1]Feuil1!$A:$V,21,FALSE)</f>
        <v>Problème sur le contact client. Conctact partagé hier 05/03/2026 pour le Survy</v>
      </c>
      <c r="V66" s="8" t="s">
        <v>334</v>
      </c>
    </row>
    <row r="67" spans="1:22" ht="60" x14ac:dyDescent="0.35">
      <c r="A67" s="3">
        <v>58862661</v>
      </c>
      <c r="B67" s="4">
        <v>46077.461805555555</v>
      </c>
      <c r="C67" s="3">
        <v>60042646</v>
      </c>
      <c r="D67" s="4">
        <v>46098.494629629633</v>
      </c>
      <c r="E67" s="3" t="s">
        <v>34</v>
      </c>
      <c r="F67" s="3" t="s">
        <v>171</v>
      </c>
      <c r="G67" s="3">
        <v>748377555</v>
      </c>
      <c r="H67" s="3" t="s">
        <v>172</v>
      </c>
      <c r="I67" s="3" t="s">
        <v>2</v>
      </c>
      <c r="J67" s="3" t="s">
        <v>18</v>
      </c>
      <c r="K67" s="3" t="s">
        <v>25</v>
      </c>
      <c r="L67" s="3" t="s">
        <v>12</v>
      </c>
      <c r="M67" s="3" t="s">
        <v>20</v>
      </c>
      <c r="N67" s="3" t="s">
        <v>13</v>
      </c>
      <c r="O67" s="3" t="s">
        <v>39</v>
      </c>
      <c r="P67" s="3" t="s">
        <v>2</v>
      </c>
      <c r="Q67" s="3" t="s">
        <v>2</v>
      </c>
      <c r="R67" s="8">
        <f t="shared" ca="1" si="1"/>
        <v>30</v>
      </c>
      <c r="S67" s="8" t="str">
        <f>VLOOKUP(A67,[1]Feuil1!$A:$V,19,FALSE)</f>
        <v>non</v>
      </c>
      <c r="T67" s="8" t="str">
        <f>VLOOKUP(A67,[1]Feuil1!$A:$V,20,FALSE)</f>
        <v>OCI</v>
      </c>
      <c r="U67" s="8" t="str">
        <f>VLOOKUP(A67,[1]Feuil1!$A:$V,21,FALSE)</f>
        <v>Problème sur le contact client. Conctact partagé hier 05/03/2026 pour le Survy</v>
      </c>
      <c r="V67" s="8" t="s">
        <v>334</v>
      </c>
    </row>
    <row r="68" spans="1:22" ht="60" x14ac:dyDescent="0.35">
      <c r="A68" s="3">
        <v>58862680</v>
      </c>
      <c r="B68" s="4">
        <v>46077.461828703701</v>
      </c>
      <c r="C68" s="3">
        <v>60043590</v>
      </c>
      <c r="D68" s="4">
        <v>46098.501527777778</v>
      </c>
      <c r="E68" s="3" t="s">
        <v>34</v>
      </c>
      <c r="F68" s="3" t="s">
        <v>171</v>
      </c>
      <c r="G68" s="3">
        <v>748377555</v>
      </c>
      <c r="H68" s="3" t="s">
        <v>172</v>
      </c>
      <c r="I68" s="3" t="s">
        <v>2</v>
      </c>
      <c r="J68" s="3" t="s">
        <v>18</v>
      </c>
      <c r="K68" s="3" t="s">
        <v>25</v>
      </c>
      <c r="L68" s="3" t="s">
        <v>12</v>
      </c>
      <c r="M68" s="3" t="s">
        <v>138</v>
      </c>
      <c r="N68" s="3" t="s">
        <v>13</v>
      </c>
      <c r="O68" s="3" t="s">
        <v>53</v>
      </c>
      <c r="P68" s="3" t="s">
        <v>2</v>
      </c>
      <c r="Q68" s="5">
        <v>5324000</v>
      </c>
      <c r="R68" s="8">
        <f t="shared" ca="1" si="1"/>
        <v>30</v>
      </c>
      <c r="S68" s="8" t="str">
        <f>VLOOKUP(A68,[1]Feuil1!$A:$V,19,FALSE)</f>
        <v>non</v>
      </c>
      <c r="T68" s="8" t="str">
        <f>VLOOKUP(A68,[1]Feuil1!$A:$V,20,FALSE)</f>
        <v>OCI</v>
      </c>
      <c r="U68" s="8" t="str">
        <f>VLOOKUP(A68,[1]Feuil1!$A:$V,21,FALSE)</f>
        <v>Problème sur le contact client. Conctact partagé hier 05/03/2026 pour le Survy</v>
      </c>
      <c r="V68" s="8" t="s">
        <v>334</v>
      </c>
    </row>
    <row r="69" spans="1:22" ht="60" x14ac:dyDescent="0.35">
      <c r="A69" s="3">
        <v>58868849</v>
      </c>
      <c r="B69" s="4">
        <v>46077.501203703701</v>
      </c>
      <c r="C69" s="3">
        <v>60948043</v>
      </c>
      <c r="D69" s="4">
        <v>46114.524675925924</v>
      </c>
      <c r="E69" s="3" t="s">
        <v>163</v>
      </c>
      <c r="F69" s="3" t="s">
        <v>173</v>
      </c>
      <c r="G69" s="3">
        <v>748377555</v>
      </c>
      <c r="H69" s="3" t="s">
        <v>174</v>
      </c>
      <c r="I69" s="3" t="s">
        <v>2</v>
      </c>
      <c r="J69" s="3" t="s">
        <v>18</v>
      </c>
      <c r="K69" s="3" t="s">
        <v>25</v>
      </c>
      <c r="L69" s="3" t="s">
        <v>12</v>
      </c>
      <c r="M69" s="3" t="s">
        <v>20</v>
      </c>
      <c r="N69" s="3" t="s">
        <v>13</v>
      </c>
      <c r="O69" s="3" t="s">
        <v>62</v>
      </c>
      <c r="P69" s="3" t="s">
        <v>2</v>
      </c>
      <c r="Q69" s="3" t="s">
        <v>2</v>
      </c>
      <c r="R69" s="8">
        <f t="shared" ca="1" si="1"/>
        <v>30</v>
      </c>
      <c r="S69" s="8" t="str">
        <f>VLOOKUP(A69,[1]Feuil1!$A:$V,19,FALSE)</f>
        <v>non</v>
      </c>
      <c r="T69" s="8" t="str">
        <f>VLOOKUP(A69,[1]Feuil1!$A:$V,20,FALSE)</f>
        <v>OCI</v>
      </c>
      <c r="U69" s="8" t="str">
        <f>VLOOKUP(A69,[1]Feuil1!$A:$V,21,FALSE)</f>
        <v>Problème sur le contact client. Conctact partagé hier 05/03/2026 pour le Survy</v>
      </c>
      <c r="V69" s="8" t="s">
        <v>334</v>
      </c>
    </row>
    <row r="70" spans="1:22" ht="48" x14ac:dyDescent="0.35">
      <c r="A70" s="3">
        <v>58868860</v>
      </c>
      <c r="B70" s="4">
        <v>46077.501238425924</v>
      </c>
      <c r="C70" s="3">
        <v>60848881</v>
      </c>
      <c r="D70" s="4">
        <v>46112.775289351855</v>
      </c>
      <c r="E70" s="3" t="s">
        <v>86</v>
      </c>
      <c r="F70" s="3" t="s">
        <v>173</v>
      </c>
      <c r="G70" s="3">
        <v>748377555</v>
      </c>
      <c r="H70" s="3" t="s">
        <v>174</v>
      </c>
      <c r="I70" s="3" t="s">
        <v>2</v>
      </c>
      <c r="J70" s="3" t="s">
        <v>18</v>
      </c>
      <c r="K70" s="3" t="s">
        <v>25</v>
      </c>
      <c r="L70" s="3" t="s">
        <v>12</v>
      </c>
      <c r="M70" s="3" t="s">
        <v>138</v>
      </c>
      <c r="N70" s="3" t="s">
        <v>13</v>
      </c>
      <c r="O70" s="3" t="s">
        <v>175</v>
      </c>
      <c r="P70" s="3" t="s">
        <v>2</v>
      </c>
      <c r="Q70" s="5">
        <v>5324000</v>
      </c>
      <c r="R70" s="8">
        <f t="shared" ca="1" si="1"/>
        <v>30</v>
      </c>
      <c r="S70" s="8" t="str">
        <f>VLOOKUP(A70,[1]Feuil1!$A:$V,19,FALSE)</f>
        <v>non</v>
      </c>
      <c r="T70" s="8" t="str">
        <f>VLOOKUP(A70,[1]Feuil1!$A:$V,20,FALSE)</f>
        <v>OCI</v>
      </c>
      <c r="U70" s="8" t="str">
        <f>VLOOKUP(A70,[1]Feuil1!$A:$V,21,FALSE)</f>
        <v>Problème sur le contact client. Conctact partagé hier 05/03/2026 pour le Survy</v>
      </c>
      <c r="V70" s="8" t="s">
        <v>334</v>
      </c>
    </row>
    <row r="71" spans="1:22" ht="24" x14ac:dyDescent="0.35">
      <c r="A71" s="3">
        <v>58885251</v>
      </c>
      <c r="B71" s="4">
        <v>46077.63863425926</v>
      </c>
      <c r="C71" s="3">
        <v>60408762</v>
      </c>
      <c r="D71" s="4">
        <v>46105.557326388887</v>
      </c>
      <c r="E71" s="3" t="s">
        <v>34</v>
      </c>
      <c r="F71" s="3" t="s">
        <v>173</v>
      </c>
      <c r="G71" s="3">
        <v>748377507</v>
      </c>
      <c r="H71" s="3" t="s">
        <v>176</v>
      </c>
      <c r="I71" s="3" t="s">
        <v>2</v>
      </c>
      <c r="J71" s="3" t="s">
        <v>18</v>
      </c>
      <c r="K71" s="3" t="s">
        <v>25</v>
      </c>
      <c r="L71" s="3" t="s">
        <v>12</v>
      </c>
      <c r="M71" s="3" t="s">
        <v>20</v>
      </c>
      <c r="N71" s="3" t="s">
        <v>13</v>
      </c>
      <c r="O71" s="3" t="s">
        <v>50</v>
      </c>
      <c r="P71" s="3" t="s">
        <v>2</v>
      </c>
      <c r="Q71" s="3" t="s">
        <v>2</v>
      </c>
      <c r="R71" s="8">
        <f t="shared" ca="1" si="1"/>
        <v>30</v>
      </c>
      <c r="S71" s="8" t="str">
        <f>VLOOKUP(A71,[1]Feuil1!$A:$V,19,FALSE)</f>
        <v>non</v>
      </c>
      <c r="T71" s="8" t="str">
        <f>VLOOKUP(A71,[1]Feuil1!$A:$V,20,FALSE)</f>
        <v>OCI</v>
      </c>
      <c r="U71" s="8" t="str">
        <f>VLOOKUP(A71,[1]Feuil1!$A:$V,21,FALSE)</f>
        <v>Problème sur le contact client. Conctact partagé hier 05/03/2026 pour le Survy</v>
      </c>
      <c r="V71" s="8" t="s">
        <v>334</v>
      </c>
    </row>
    <row r="72" spans="1:22" ht="24" x14ac:dyDescent="0.35">
      <c r="A72" s="3">
        <v>58885259</v>
      </c>
      <c r="B72" s="4">
        <v>46077.638657407406</v>
      </c>
      <c r="C72" s="3">
        <v>60373389</v>
      </c>
      <c r="D72" s="4">
        <v>46104.751145833332</v>
      </c>
      <c r="E72" s="3" t="s">
        <v>34</v>
      </c>
      <c r="F72" s="3" t="s">
        <v>173</v>
      </c>
      <c r="G72" s="3">
        <v>748377507</v>
      </c>
      <c r="H72" s="3" t="s">
        <v>176</v>
      </c>
      <c r="I72" s="3" t="s">
        <v>2</v>
      </c>
      <c r="J72" s="3" t="s">
        <v>18</v>
      </c>
      <c r="K72" s="3" t="s">
        <v>25</v>
      </c>
      <c r="L72" s="3" t="s">
        <v>12</v>
      </c>
      <c r="M72" s="3" t="s">
        <v>138</v>
      </c>
      <c r="N72" s="3" t="s">
        <v>13</v>
      </c>
      <c r="O72" s="3" t="s">
        <v>45</v>
      </c>
      <c r="P72" s="3" t="s">
        <v>2</v>
      </c>
      <c r="Q72" s="5">
        <v>5324000</v>
      </c>
      <c r="R72" s="8">
        <f t="shared" ca="1" si="1"/>
        <v>30</v>
      </c>
      <c r="S72" s="8" t="str">
        <f>VLOOKUP(A72,[1]Feuil1!$A:$V,19,FALSE)</f>
        <v>non</v>
      </c>
      <c r="T72" s="8" t="str">
        <f>VLOOKUP(A72,[1]Feuil1!$A:$V,20,FALSE)</f>
        <v>OCI</v>
      </c>
      <c r="U72" s="8" t="str">
        <f>VLOOKUP(A72,[1]Feuil1!$A:$V,21,FALSE)</f>
        <v>Problème sur le contact client. Conctact partagé hier 05/03/2026 pour le Survy</v>
      </c>
      <c r="V72" s="8" t="s">
        <v>334</v>
      </c>
    </row>
    <row r="73" spans="1:22" ht="48" x14ac:dyDescent="0.35">
      <c r="A73" s="3">
        <v>58889872</v>
      </c>
      <c r="B73" s="4">
        <v>46077.670567129629</v>
      </c>
      <c r="C73" s="3">
        <v>60850352</v>
      </c>
      <c r="D73" s="4">
        <v>46112.792870370373</v>
      </c>
      <c r="E73" s="3" t="s">
        <v>86</v>
      </c>
      <c r="F73" s="3" t="s">
        <v>173</v>
      </c>
      <c r="G73" s="3">
        <v>748377555</v>
      </c>
      <c r="H73" s="3" t="s">
        <v>177</v>
      </c>
      <c r="I73" s="3" t="s">
        <v>2</v>
      </c>
      <c r="J73" s="3" t="s">
        <v>18</v>
      </c>
      <c r="K73" s="3" t="s">
        <v>25</v>
      </c>
      <c r="L73" s="3" t="s">
        <v>12</v>
      </c>
      <c r="M73" s="3" t="s">
        <v>20</v>
      </c>
      <c r="N73" s="3" t="s">
        <v>13</v>
      </c>
      <c r="O73" s="3" t="s">
        <v>178</v>
      </c>
      <c r="P73" s="3" t="s">
        <v>2</v>
      </c>
      <c r="Q73" s="3" t="s">
        <v>2</v>
      </c>
      <c r="R73" s="8">
        <f t="shared" ca="1" si="1"/>
        <v>30</v>
      </c>
      <c r="S73" s="8" t="str">
        <f>VLOOKUP(A73,[1]Feuil1!$A:$V,19,FALSE)</f>
        <v>non</v>
      </c>
      <c r="T73" s="8" t="str">
        <f>VLOOKUP(A73,[1]Feuil1!$A:$V,20,FALSE)</f>
        <v>OCI</v>
      </c>
      <c r="U73" s="8" t="str">
        <f>VLOOKUP(A73,[1]Feuil1!$A:$V,21,FALSE)</f>
        <v>Problème sur le contact client. Conctact partagé hier 05/03/2026 pour le Survy</v>
      </c>
      <c r="V73" s="8" t="s">
        <v>334</v>
      </c>
    </row>
    <row r="74" spans="1:22" ht="48" x14ac:dyDescent="0.35">
      <c r="A74" s="3">
        <v>58889883</v>
      </c>
      <c r="B74" s="4">
        <v>46077.670601851853</v>
      </c>
      <c r="C74" s="3">
        <v>60859741</v>
      </c>
      <c r="D74" s="4">
        <v>46113.26666666667</v>
      </c>
      <c r="E74" s="3" t="s">
        <v>86</v>
      </c>
      <c r="F74" s="3" t="s">
        <v>173</v>
      </c>
      <c r="G74" s="3">
        <v>748377555</v>
      </c>
      <c r="H74" s="3" t="s">
        <v>177</v>
      </c>
      <c r="I74" s="3" t="s">
        <v>2</v>
      </c>
      <c r="J74" s="3" t="s">
        <v>18</v>
      </c>
      <c r="K74" s="3" t="s">
        <v>25</v>
      </c>
      <c r="L74" s="3" t="s">
        <v>12</v>
      </c>
      <c r="M74" s="3" t="s">
        <v>138</v>
      </c>
      <c r="N74" s="3" t="s">
        <v>13</v>
      </c>
      <c r="O74" s="3" t="s">
        <v>179</v>
      </c>
      <c r="P74" s="3" t="s">
        <v>2</v>
      </c>
      <c r="Q74" s="5">
        <v>5324000</v>
      </c>
      <c r="R74" s="8">
        <f t="shared" ca="1" si="1"/>
        <v>30</v>
      </c>
      <c r="S74" s="8" t="str">
        <f>VLOOKUP(A74,[1]Feuil1!$A:$V,19,FALSE)</f>
        <v>non</v>
      </c>
      <c r="T74" s="8" t="str">
        <f>VLOOKUP(A74,[1]Feuil1!$A:$V,20,FALSE)</f>
        <v>OCI</v>
      </c>
      <c r="U74" s="8" t="str">
        <f>VLOOKUP(A74,[1]Feuil1!$A:$V,21,FALSE)</f>
        <v>Problème sur le contact client. Conctact partagé hier 05/03/2026 pour le Survy</v>
      </c>
      <c r="V74" s="8" t="s">
        <v>334</v>
      </c>
    </row>
    <row r="75" spans="1:22" ht="24" x14ac:dyDescent="0.35">
      <c r="A75" s="3">
        <v>58892468</v>
      </c>
      <c r="B75" s="4">
        <v>46077.688321759262</v>
      </c>
      <c r="C75" s="3">
        <v>60414369</v>
      </c>
      <c r="D75" s="4">
        <v>46105.607986111114</v>
      </c>
      <c r="E75" s="3" t="s">
        <v>34</v>
      </c>
      <c r="F75" s="3" t="s">
        <v>173</v>
      </c>
      <c r="G75" s="3">
        <v>748377555</v>
      </c>
      <c r="H75" s="3" t="s">
        <v>180</v>
      </c>
      <c r="I75" s="3" t="s">
        <v>2</v>
      </c>
      <c r="J75" s="3" t="s">
        <v>18</v>
      </c>
      <c r="K75" s="3" t="s">
        <v>25</v>
      </c>
      <c r="L75" s="3" t="s">
        <v>12</v>
      </c>
      <c r="M75" s="3" t="s">
        <v>20</v>
      </c>
      <c r="N75" s="3" t="s">
        <v>13</v>
      </c>
      <c r="O75" s="3" t="s">
        <v>50</v>
      </c>
      <c r="P75" s="3" t="s">
        <v>2</v>
      </c>
      <c r="Q75" s="3" t="s">
        <v>2</v>
      </c>
      <c r="R75" s="8">
        <f t="shared" ca="1" si="1"/>
        <v>30</v>
      </c>
      <c r="S75" s="8" t="str">
        <f>VLOOKUP(A75,[1]Feuil1!$A:$V,19,FALSE)</f>
        <v>non</v>
      </c>
      <c r="T75" s="8" t="str">
        <f>VLOOKUP(A75,[1]Feuil1!$A:$V,20,FALSE)</f>
        <v>OCI</v>
      </c>
      <c r="U75" s="8" t="str">
        <f>VLOOKUP(A75,[1]Feuil1!$A:$V,21,FALSE)</f>
        <v>Problème sur le contact client. Conctact partagé hier 05/03/2026 pour le Survy</v>
      </c>
      <c r="V75" s="8" t="s">
        <v>334</v>
      </c>
    </row>
    <row r="76" spans="1:22" ht="24" x14ac:dyDescent="0.35">
      <c r="A76" s="3">
        <v>58892481</v>
      </c>
      <c r="B76" s="4">
        <v>46077.688344907408</v>
      </c>
      <c r="C76" s="3">
        <v>60413667</v>
      </c>
      <c r="D76" s="4">
        <v>46105.602303240739</v>
      </c>
      <c r="E76" s="3" t="s">
        <v>34</v>
      </c>
      <c r="F76" s="3" t="s">
        <v>173</v>
      </c>
      <c r="G76" s="3">
        <v>748377555</v>
      </c>
      <c r="H76" s="3" t="s">
        <v>180</v>
      </c>
      <c r="I76" s="3" t="s">
        <v>2</v>
      </c>
      <c r="J76" s="3" t="s">
        <v>18</v>
      </c>
      <c r="K76" s="3" t="s">
        <v>25</v>
      </c>
      <c r="L76" s="3" t="s">
        <v>12</v>
      </c>
      <c r="M76" s="3" t="s">
        <v>138</v>
      </c>
      <c r="N76" s="3" t="s">
        <v>13</v>
      </c>
      <c r="O76" s="3" t="s">
        <v>181</v>
      </c>
      <c r="P76" s="3" t="s">
        <v>2</v>
      </c>
      <c r="Q76" s="5">
        <v>5324000</v>
      </c>
      <c r="R76" s="8">
        <f t="shared" ca="1" si="1"/>
        <v>30</v>
      </c>
      <c r="S76" s="8" t="str">
        <f>VLOOKUP(A76,[1]Feuil1!$A:$V,19,FALSE)</f>
        <v>non</v>
      </c>
      <c r="T76" s="8" t="str">
        <f>VLOOKUP(A76,[1]Feuil1!$A:$V,20,FALSE)</f>
        <v>OCI</v>
      </c>
      <c r="U76" s="8" t="str">
        <f>VLOOKUP(A76,[1]Feuil1!$A:$V,21,FALSE)</f>
        <v>Problème sur le contact client. Conctact partagé hier 05/03/2026 pour le Survy</v>
      </c>
      <c r="V76" s="8" t="s">
        <v>334</v>
      </c>
    </row>
    <row r="77" spans="1:22" ht="24" x14ac:dyDescent="0.35">
      <c r="A77" s="3">
        <v>58925987</v>
      </c>
      <c r="B77" s="4">
        <v>46078.434814814813</v>
      </c>
      <c r="C77" s="3">
        <v>60163873</v>
      </c>
      <c r="D77" s="4">
        <v>46100.423101851855</v>
      </c>
      <c r="E77" s="3" t="s">
        <v>34</v>
      </c>
      <c r="F77" s="3" t="s">
        <v>182</v>
      </c>
      <c r="G77" s="3">
        <v>708641473</v>
      </c>
      <c r="H77" s="3" t="s">
        <v>182</v>
      </c>
      <c r="I77" s="3" t="s">
        <v>2</v>
      </c>
      <c r="J77" s="3" t="s">
        <v>3</v>
      </c>
      <c r="K77" s="3" t="s">
        <v>4</v>
      </c>
      <c r="L77" s="3" t="s">
        <v>5</v>
      </c>
      <c r="M77" s="3" t="s">
        <v>6</v>
      </c>
      <c r="N77" s="3" t="s">
        <v>13</v>
      </c>
      <c r="O77" s="3" t="s">
        <v>183</v>
      </c>
      <c r="P77" s="3" t="s">
        <v>2</v>
      </c>
      <c r="Q77" s="3" t="s">
        <v>2</v>
      </c>
      <c r="R77" s="8">
        <f t="shared" ca="1" si="1"/>
        <v>29</v>
      </c>
      <c r="S77" s="8" t="str">
        <f>VLOOKUP(A77,[1]Feuil1!$A:$V,19,FALSE)</f>
        <v>Non</v>
      </c>
      <c r="T77" s="8" t="str">
        <f>VLOOKUP(A77,[1]Feuil1!$A:$V,20,FALSE)</f>
        <v>OCI</v>
      </c>
      <c r="U77" s="8" t="str">
        <f>VLOOKUP(A77,[1]Feuil1!$A:$V,21,FALSE)</f>
        <v xml:space="preserve"> </v>
      </c>
      <c r="V77" s="8" t="s">
        <v>332</v>
      </c>
    </row>
    <row r="78" spans="1:22" ht="24" x14ac:dyDescent="0.35">
      <c r="A78" s="3">
        <v>58959238</v>
      </c>
      <c r="B78" s="4">
        <v>46078.665532407409</v>
      </c>
      <c r="C78" s="3">
        <v>60163938</v>
      </c>
      <c r="D78" s="4">
        <v>46100.423773148148</v>
      </c>
      <c r="E78" s="3" t="s">
        <v>34</v>
      </c>
      <c r="F78" s="3" t="s">
        <v>182</v>
      </c>
      <c r="G78" s="3">
        <v>708641473</v>
      </c>
      <c r="H78" s="3" t="s">
        <v>184</v>
      </c>
      <c r="I78" s="3" t="s">
        <v>2</v>
      </c>
      <c r="J78" s="3" t="s">
        <v>10</v>
      </c>
      <c r="K78" s="3" t="s">
        <v>25</v>
      </c>
      <c r="L78" s="3" t="s">
        <v>30</v>
      </c>
      <c r="M78" s="3" t="s">
        <v>6</v>
      </c>
      <c r="N78" s="3" t="s">
        <v>13</v>
      </c>
      <c r="O78" s="3" t="s">
        <v>45</v>
      </c>
      <c r="P78" s="3" t="s">
        <v>2</v>
      </c>
      <c r="Q78" s="5">
        <v>850000</v>
      </c>
      <c r="R78" s="8">
        <f t="shared" ca="1" si="1"/>
        <v>29</v>
      </c>
      <c r="S78" s="8" t="str">
        <f>VLOOKUP(A78,[1]Feuil1!$A:$V,19,FALSE)</f>
        <v>Non</v>
      </c>
      <c r="T78" s="8" t="str">
        <f>VLOOKUP(A78,[1]Feuil1!$A:$V,20,FALSE)</f>
        <v>OCI</v>
      </c>
      <c r="U78" s="8" t="str">
        <f>VLOOKUP(A78,[1]Feuil1!$A:$V,21,FALSE)</f>
        <v xml:space="preserve"> </v>
      </c>
      <c r="V78" s="8" t="s">
        <v>332</v>
      </c>
    </row>
    <row r="79" spans="1:22" ht="36" x14ac:dyDescent="0.35">
      <c r="A79" s="3">
        <v>58963630</v>
      </c>
      <c r="B79" s="4">
        <v>46078.697002314817</v>
      </c>
      <c r="C79" s="3">
        <v>60167087</v>
      </c>
      <c r="D79" s="4">
        <v>46100.449837962966</v>
      </c>
      <c r="E79" s="3" t="s">
        <v>34</v>
      </c>
      <c r="F79" s="3" t="s">
        <v>185</v>
      </c>
      <c r="G79" s="3">
        <v>747726344</v>
      </c>
      <c r="H79" s="3" t="s">
        <v>186</v>
      </c>
      <c r="I79" s="3" t="s">
        <v>2</v>
      </c>
      <c r="J79" s="3" t="s">
        <v>10</v>
      </c>
      <c r="K79" s="3" t="s">
        <v>25</v>
      </c>
      <c r="L79" s="3" t="s">
        <v>30</v>
      </c>
      <c r="M79" s="3" t="s">
        <v>20</v>
      </c>
      <c r="N79" s="3" t="s">
        <v>13</v>
      </c>
      <c r="O79" s="3" t="s">
        <v>60</v>
      </c>
      <c r="P79" s="3" t="s">
        <v>2</v>
      </c>
      <c r="Q79" s="3" t="s">
        <v>2</v>
      </c>
      <c r="R79" s="8">
        <f t="shared" ca="1" si="1"/>
        <v>29</v>
      </c>
      <c r="S79" s="8" t="str">
        <f>VLOOKUP(A79,[1]Feuil1!$A:$V,19,FALSE)</f>
        <v>Non</v>
      </c>
      <c r="T79" s="8" t="s">
        <v>330</v>
      </c>
      <c r="U79" s="8" t="str">
        <f>VLOOKUP(A79,[1]Feuil1!$A:$V,21,FALSE)</f>
        <v xml:space="preserve"> </v>
      </c>
      <c r="V79" s="8" t="s">
        <v>332</v>
      </c>
    </row>
    <row r="80" spans="1:22" ht="60" x14ac:dyDescent="0.35">
      <c r="A80" s="3">
        <v>58963646</v>
      </c>
      <c r="B80" s="4">
        <v>46078.697048611109</v>
      </c>
      <c r="C80" s="3">
        <v>60841333</v>
      </c>
      <c r="D80" s="4">
        <v>46112.709189814814</v>
      </c>
      <c r="E80" s="3" t="s">
        <v>163</v>
      </c>
      <c r="F80" s="3" t="s">
        <v>185</v>
      </c>
      <c r="G80" s="3">
        <v>747726344</v>
      </c>
      <c r="H80" s="3" t="s">
        <v>186</v>
      </c>
      <c r="I80" s="3" t="s">
        <v>2</v>
      </c>
      <c r="J80" s="3" t="s">
        <v>10</v>
      </c>
      <c r="K80" s="3" t="s">
        <v>19</v>
      </c>
      <c r="L80" s="3" t="s">
        <v>30</v>
      </c>
      <c r="M80" s="3" t="s">
        <v>138</v>
      </c>
      <c r="N80" s="3" t="s">
        <v>13</v>
      </c>
      <c r="O80" s="3" t="s">
        <v>78</v>
      </c>
      <c r="P80" s="3" t="s">
        <v>2</v>
      </c>
      <c r="Q80" s="3">
        <v>0</v>
      </c>
      <c r="R80" s="8">
        <f t="shared" ca="1" si="1"/>
        <v>29</v>
      </c>
      <c r="S80" s="8" t="str">
        <f>VLOOKUP(A80,[1]Feuil1!$A:$V,19,FALSE)</f>
        <v>Non</v>
      </c>
      <c r="T80" s="8" t="s">
        <v>330</v>
      </c>
      <c r="U80" s="8" t="str">
        <f>VLOOKUP(A80,[1]Feuil1!$A:$V,21,FALSE)</f>
        <v xml:space="preserve"> </v>
      </c>
      <c r="V80" s="8" t="s">
        <v>332</v>
      </c>
    </row>
    <row r="81" spans="1:22" ht="60" x14ac:dyDescent="0.35">
      <c r="A81" s="3">
        <v>59301554</v>
      </c>
      <c r="B81" s="4">
        <v>46084.695763888885</v>
      </c>
      <c r="C81" s="3">
        <v>60869616</v>
      </c>
      <c r="D81" s="4">
        <v>46113.44358796296</v>
      </c>
      <c r="E81" s="3" t="s">
        <v>15</v>
      </c>
      <c r="F81" s="3" t="s">
        <v>158</v>
      </c>
      <c r="G81" s="3">
        <v>777654212</v>
      </c>
      <c r="H81" s="3" t="s">
        <v>187</v>
      </c>
      <c r="I81" s="3" t="s">
        <v>2</v>
      </c>
      <c r="J81" s="3" t="s">
        <v>18</v>
      </c>
      <c r="K81" s="3" t="s">
        <v>19</v>
      </c>
      <c r="L81" s="3" t="s">
        <v>12</v>
      </c>
      <c r="M81" s="3" t="s">
        <v>6</v>
      </c>
      <c r="N81" s="3" t="s">
        <v>13</v>
      </c>
      <c r="O81" s="3" t="s">
        <v>188</v>
      </c>
      <c r="P81" s="3" t="s">
        <v>2</v>
      </c>
      <c r="Q81" s="5">
        <v>2000000</v>
      </c>
      <c r="R81" s="8">
        <f t="shared" ca="1" si="1"/>
        <v>25</v>
      </c>
      <c r="S81" s="8" t="str">
        <f>VLOOKUP(A81,[1]Feuil1!$A:$V,19,FALSE)</f>
        <v>Non</v>
      </c>
      <c r="T81" s="8" t="s">
        <v>330</v>
      </c>
      <c r="U81" s="8" t="str">
        <f>VLOOKUP(A81,[1]Feuil1!$A:$V,21,FALSE)</f>
        <v xml:space="preserve"> </v>
      </c>
      <c r="V81" s="8" t="s">
        <v>332</v>
      </c>
    </row>
    <row r="82" spans="1:22" x14ac:dyDescent="0.35">
      <c r="A82" s="3">
        <v>59308240</v>
      </c>
      <c r="B82" s="4">
        <v>46084.755844907406</v>
      </c>
      <c r="C82" s="3">
        <v>60863961</v>
      </c>
      <c r="D82" s="4">
        <v>46113.389143518521</v>
      </c>
      <c r="E82" s="3" t="s">
        <v>15</v>
      </c>
      <c r="F82" s="3" t="s">
        <v>189</v>
      </c>
      <c r="G82" s="3">
        <v>707865499</v>
      </c>
      <c r="H82" s="3" t="s">
        <v>162</v>
      </c>
      <c r="I82" s="3" t="s">
        <v>2</v>
      </c>
      <c r="J82" s="3" t="s">
        <v>18</v>
      </c>
      <c r="K82" s="3" t="s">
        <v>19</v>
      </c>
      <c r="L82" s="3" t="s">
        <v>12</v>
      </c>
      <c r="M82" s="3" t="s">
        <v>6</v>
      </c>
      <c r="N82" s="3" t="s">
        <v>73</v>
      </c>
      <c r="O82" s="3" t="s">
        <v>190</v>
      </c>
      <c r="P82" s="3" t="s">
        <v>2</v>
      </c>
      <c r="Q82" s="5">
        <v>2000000</v>
      </c>
      <c r="R82" s="8">
        <f t="shared" ca="1" si="1"/>
        <v>25</v>
      </c>
      <c r="S82" s="8" t="str">
        <f>VLOOKUP(A82,[1]Feuil1!$A:$V,19,FALSE)</f>
        <v>Non</v>
      </c>
      <c r="T82" s="8" t="str">
        <f>VLOOKUP(A82,[1]Feuil1!$A:$V,20,FALSE)</f>
        <v xml:space="preserve">CLIENT </v>
      </c>
      <c r="U82" s="8" t="str">
        <f>VLOOKUP(A82,[1]Feuil1!$A:$V,21,FALSE)</f>
        <v xml:space="preserve"> </v>
      </c>
      <c r="V82" s="8" t="s">
        <v>332</v>
      </c>
    </row>
    <row r="83" spans="1:22" ht="60" x14ac:dyDescent="0.35">
      <c r="A83" s="3">
        <v>59309764</v>
      </c>
      <c r="B83" s="4">
        <v>46084.777083333334</v>
      </c>
      <c r="C83" s="3">
        <v>60998141</v>
      </c>
      <c r="D83" s="4">
        <v>46115.440995370373</v>
      </c>
      <c r="E83" s="3" t="s">
        <v>154</v>
      </c>
      <c r="F83" s="3" t="s">
        <v>189</v>
      </c>
      <c r="G83" s="3">
        <v>708164102</v>
      </c>
      <c r="H83" s="3" t="s">
        <v>191</v>
      </c>
      <c r="I83" s="3" t="s">
        <v>2</v>
      </c>
      <c r="J83" s="3" t="s">
        <v>18</v>
      </c>
      <c r="K83" s="3" t="s">
        <v>19</v>
      </c>
      <c r="L83" s="3" t="s">
        <v>12</v>
      </c>
      <c r="M83" s="3" t="s">
        <v>6</v>
      </c>
      <c r="N83" s="3" t="s">
        <v>13</v>
      </c>
      <c r="O83" s="3" t="s">
        <v>45</v>
      </c>
      <c r="P83" s="3" t="s">
        <v>2</v>
      </c>
      <c r="Q83" s="5">
        <v>2000000</v>
      </c>
      <c r="R83" s="8">
        <f t="shared" ca="1" si="1"/>
        <v>25</v>
      </c>
      <c r="S83" s="8" t="str">
        <f>VLOOKUP(A83,[1]Feuil1!$A:$V,19,FALSE)</f>
        <v>Non</v>
      </c>
      <c r="T83" s="8" t="s">
        <v>330</v>
      </c>
      <c r="U83" s="8" t="str">
        <f>VLOOKUP(A83,[1]Feuil1!$A:$V,21,FALSE)</f>
        <v xml:space="preserve"> </v>
      </c>
      <c r="V83" s="8" t="s">
        <v>332</v>
      </c>
    </row>
    <row r="84" spans="1:22" ht="72" x14ac:dyDescent="0.35">
      <c r="A84" s="3">
        <v>59374776</v>
      </c>
      <c r="B84" s="4">
        <v>46085.757662037038</v>
      </c>
      <c r="C84" s="3">
        <v>60837598</v>
      </c>
      <c r="D84" s="4">
        <v>46112.678761574076</v>
      </c>
      <c r="E84" s="3" t="s">
        <v>163</v>
      </c>
      <c r="F84" s="3" t="s">
        <v>192</v>
      </c>
      <c r="G84" s="3">
        <v>747726344</v>
      </c>
      <c r="H84" s="3" t="s">
        <v>193</v>
      </c>
      <c r="I84" s="3" t="s">
        <v>2</v>
      </c>
      <c r="J84" s="3" t="s">
        <v>10</v>
      </c>
      <c r="K84" s="3" t="s">
        <v>25</v>
      </c>
      <c r="L84" s="3" t="s">
        <v>30</v>
      </c>
      <c r="M84" s="3" t="s">
        <v>20</v>
      </c>
      <c r="N84" s="3" t="s">
        <v>13</v>
      </c>
      <c r="O84" s="3" t="s">
        <v>183</v>
      </c>
      <c r="P84" s="3" t="s">
        <v>2</v>
      </c>
      <c r="Q84" s="3" t="s">
        <v>2</v>
      </c>
      <c r="R84" s="8">
        <f t="shared" ca="1" si="1"/>
        <v>24</v>
      </c>
      <c r="S84" s="8" t="str">
        <f>VLOOKUP(A84,[1]Feuil1!$A:$V,19,FALSE)</f>
        <v>Non</v>
      </c>
      <c r="T84" s="8" t="s">
        <v>330</v>
      </c>
      <c r="U84" s="8" t="str">
        <f>VLOOKUP(A84,[1]Feuil1!$A:$V,21,FALSE)</f>
        <v xml:space="preserve"> </v>
      </c>
      <c r="V84" s="8" t="s">
        <v>332</v>
      </c>
    </row>
    <row r="85" spans="1:22" ht="24" x14ac:dyDescent="0.35">
      <c r="A85" s="3">
        <v>59406146</v>
      </c>
      <c r="B85" s="4">
        <v>46086.506643518522</v>
      </c>
      <c r="C85" s="3">
        <v>60600544</v>
      </c>
      <c r="D85" s="4">
        <v>46108.458136574074</v>
      </c>
      <c r="E85" s="3" t="s">
        <v>34</v>
      </c>
      <c r="F85" s="3" t="s">
        <v>194</v>
      </c>
      <c r="G85" s="3">
        <v>709136702</v>
      </c>
      <c r="H85" s="3" t="s">
        <v>128</v>
      </c>
      <c r="I85" s="3" t="s">
        <v>2</v>
      </c>
      <c r="J85" s="3" t="s">
        <v>155</v>
      </c>
      <c r="K85" s="3" t="s">
        <v>25</v>
      </c>
      <c r="L85" s="3" t="s">
        <v>5</v>
      </c>
      <c r="M85" s="3" t="s">
        <v>6</v>
      </c>
      <c r="N85" s="3" t="s">
        <v>13</v>
      </c>
      <c r="O85" s="3" t="s">
        <v>195</v>
      </c>
      <c r="P85" s="3" t="s">
        <v>2</v>
      </c>
      <c r="Q85" s="3">
        <v>0</v>
      </c>
      <c r="R85" s="8">
        <f t="shared" ca="1" si="1"/>
        <v>23</v>
      </c>
      <c r="S85" s="8" t="str">
        <f>VLOOKUP(A85,[1]Feuil1!$A:$V,19,FALSE)</f>
        <v>Non</v>
      </c>
      <c r="T85" s="8" t="s">
        <v>330</v>
      </c>
      <c r="U85" s="8" t="str">
        <f>VLOOKUP(A85,[1]Feuil1!$A:$V,21,FALSE)</f>
        <v xml:space="preserve"> </v>
      </c>
      <c r="V85" s="8" t="s">
        <v>332</v>
      </c>
    </row>
    <row r="86" spans="1:22" ht="48" x14ac:dyDescent="0.35">
      <c r="A86" s="3">
        <v>59406937</v>
      </c>
      <c r="B86" s="4">
        <v>46086.512870370374</v>
      </c>
      <c r="C86" s="3">
        <v>60929439</v>
      </c>
      <c r="D86" s="4">
        <v>46114.385150462964</v>
      </c>
      <c r="E86" s="3" t="s">
        <v>86</v>
      </c>
      <c r="F86" s="3" t="s">
        <v>196</v>
      </c>
      <c r="G86" s="3">
        <v>709136702</v>
      </c>
      <c r="H86" s="3" t="s">
        <v>128</v>
      </c>
      <c r="I86" s="3" t="s">
        <v>2</v>
      </c>
      <c r="J86" s="3" t="s">
        <v>155</v>
      </c>
      <c r="K86" s="3" t="s">
        <v>19</v>
      </c>
      <c r="L86" s="3" t="s">
        <v>5</v>
      </c>
      <c r="M86" s="3" t="s">
        <v>6</v>
      </c>
      <c r="N86" s="3" t="s">
        <v>13</v>
      </c>
      <c r="O86" s="3" t="s">
        <v>197</v>
      </c>
      <c r="P86" s="3" t="s">
        <v>2</v>
      </c>
      <c r="Q86" s="3">
        <v>0</v>
      </c>
      <c r="R86" s="8">
        <f t="shared" ca="1" si="1"/>
        <v>23</v>
      </c>
      <c r="S86" s="8" t="str">
        <f>VLOOKUP(A86,[1]Feuil1!$A:$V,19,FALSE)</f>
        <v>Non</v>
      </c>
      <c r="T86" s="8" t="s">
        <v>330</v>
      </c>
      <c r="U86" s="8" t="str">
        <f>VLOOKUP(A86,[1]Feuil1!$A:$V,21,FALSE)</f>
        <v xml:space="preserve"> </v>
      </c>
      <c r="V86" s="8" t="s">
        <v>332</v>
      </c>
    </row>
    <row r="87" spans="1:22" ht="24" x14ac:dyDescent="0.35">
      <c r="A87" s="3">
        <v>59409078</v>
      </c>
      <c r="B87" s="4">
        <v>46086.529247685183</v>
      </c>
      <c r="C87" s="3">
        <v>60600044</v>
      </c>
      <c r="D87" s="4">
        <v>46108.453865740739</v>
      </c>
      <c r="E87" s="3" t="s">
        <v>34</v>
      </c>
      <c r="F87" s="3" t="s">
        <v>198</v>
      </c>
      <c r="G87" s="3">
        <v>709140938</v>
      </c>
      <c r="H87" s="3" t="s">
        <v>128</v>
      </c>
      <c r="I87" s="3" t="s">
        <v>2</v>
      </c>
      <c r="J87" s="3" t="s">
        <v>155</v>
      </c>
      <c r="K87" s="3" t="s">
        <v>4</v>
      </c>
      <c r="L87" s="3" t="s">
        <v>5</v>
      </c>
      <c r="M87" s="3" t="s">
        <v>20</v>
      </c>
      <c r="N87" s="3" t="s">
        <v>13</v>
      </c>
      <c r="O87" s="3" t="s">
        <v>118</v>
      </c>
      <c r="P87" s="3" t="s">
        <v>2</v>
      </c>
      <c r="Q87" s="3" t="s">
        <v>2</v>
      </c>
      <c r="R87" s="8">
        <f t="shared" ca="1" si="1"/>
        <v>23</v>
      </c>
      <c r="S87" s="8" t="str">
        <f>VLOOKUP(A87,[1]Feuil1!$A:$V,19,FALSE)</f>
        <v>Non</v>
      </c>
      <c r="T87" s="8" t="s">
        <v>330</v>
      </c>
      <c r="U87" s="8" t="str">
        <f>VLOOKUP(A87,[1]Feuil1!$A:$V,21,FALSE)</f>
        <v xml:space="preserve"> </v>
      </c>
      <c r="V87" s="8" t="s">
        <v>332</v>
      </c>
    </row>
    <row r="88" spans="1:22" ht="24" x14ac:dyDescent="0.35">
      <c r="A88" s="3">
        <v>59409752</v>
      </c>
      <c r="B88" s="4">
        <v>46086.534502314818</v>
      </c>
      <c r="C88" s="3">
        <v>60600716</v>
      </c>
      <c r="D88" s="4">
        <v>46108.459768518522</v>
      </c>
      <c r="E88" s="3" t="s">
        <v>34</v>
      </c>
      <c r="F88" s="3" t="s">
        <v>199</v>
      </c>
      <c r="G88" s="3">
        <v>758700193</v>
      </c>
      <c r="H88" s="3" t="s">
        <v>128</v>
      </c>
      <c r="I88" s="3" t="s">
        <v>2</v>
      </c>
      <c r="J88" s="3" t="s">
        <v>155</v>
      </c>
      <c r="K88" s="3" t="s">
        <v>4</v>
      </c>
      <c r="L88" s="3" t="s">
        <v>5</v>
      </c>
      <c r="M88" s="3" t="s">
        <v>6</v>
      </c>
      <c r="N88" s="3" t="s">
        <v>13</v>
      </c>
      <c r="O88" s="3" t="s">
        <v>78</v>
      </c>
      <c r="P88" s="3" t="s">
        <v>2</v>
      </c>
      <c r="Q88" s="3" t="s">
        <v>2</v>
      </c>
      <c r="R88" s="8">
        <f t="shared" ca="1" si="1"/>
        <v>23</v>
      </c>
      <c r="S88" s="8" t="str">
        <f>VLOOKUP(A88,[1]Feuil1!$A:$V,19,FALSE)</f>
        <v>Non</v>
      </c>
      <c r="T88" s="8" t="s">
        <v>330</v>
      </c>
      <c r="U88" s="8" t="str">
        <f>VLOOKUP(A88,[1]Feuil1!$A:$V,21,FALSE)</f>
        <v xml:space="preserve"> </v>
      </c>
      <c r="V88" s="8" t="s">
        <v>332</v>
      </c>
    </row>
    <row r="89" spans="1:22" ht="24" x14ac:dyDescent="0.35">
      <c r="A89" s="3">
        <v>59410212</v>
      </c>
      <c r="B89" s="4">
        <v>46086.537708333337</v>
      </c>
      <c r="C89" s="3">
        <v>59835857</v>
      </c>
      <c r="D89" s="4">
        <v>46093.728726851848</v>
      </c>
      <c r="E89" s="3" t="s">
        <v>154</v>
      </c>
      <c r="F89" s="3" t="s">
        <v>200</v>
      </c>
      <c r="G89" s="3">
        <v>789018789</v>
      </c>
      <c r="H89" s="3" t="s">
        <v>128</v>
      </c>
      <c r="I89" s="3" t="s">
        <v>2</v>
      </c>
      <c r="J89" s="3" t="s">
        <v>155</v>
      </c>
      <c r="K89" s="3" t="s">
        <v>201</v>
      </c>
      <c r="L89" s="3" t="s">
        <v>5</v>
      </c>
      <c r="M89" s="3" t="s">
        <v>20</v>
      </c>
      <c r="N89" s="3" t="s">
        <v>13</v>
      </c>
      <c r="O89" s="3" t="s">
        <v>202</v>
      </c>
      <c r="P89" s="3" t="s">
        <v>2</v>
      </c>
      <c r="Q89" s="3" t="s">
        <v>2</v>
      </c>
      <c r="R89" s="8">
        <f t="shared" ca="1" si="1"/>
        <v>23</v>
      </c>
      <c r="S89" s="8" t="str">
        <f>VLOOKUP(A89,[1]Feuil1!$A:$V,19,FALSE)</f>
        <v>Non</v>
      </c>
      <c r="T89" s="8" t="s">
        <v>330</v>
      </c>
      <c r="U89" s="8" t="str">
        <f>VLOOKUP(A89,[1]Feuil1!$A:$V,21,FALSE)</f>
        <v xml:space="preserve"> </v>
      </c>
      <c r="V89" s="8" t="s">
        <v>332</v>
      </c>
    </row>
    <row r="90" spans="1:22" ht="48" x14ac:dyDescent="0.35">
      <c r="A90" s="3">
        <v>59410843</v>
      </c>
      <c r="B90" s="4">
        <v>46086.542870370373</v>
      </c>
      <c r="C90" s="3">
        <v>60526566</v>
      </c>
      <c r="D90" s="4">
        <v>46107.452592592592</v>
      </c>
      <c r="E90" s="3" t="s">
        <v>206</v>
      </c>
      <c r="F90" s="3" t="s">
        <v>203</v>
      </c>
      <c r="G90" s="3">
        <v>758700193</v>
      </c>
      <c r="H90" s="3" t="s">
        <v>204</v>
      </c>
      <c r="I90" s="3" t="s">
        <v>2</v>
      </c>
      <c r="J90" s="3" t="s">
        <v>155</v>
      </c>
      <c r="K90" s="3" t="s">
        <v>4</v>
      </c>
      <c r="L90" s="3" t="s">
        <v>5</v>
      </c>
      <c r="M90" s="3" t="s">
        <v>6</v>
      </c>
      <c r="N90" s="3" t="s">
        <v>13</v>
      </c>
      <c r="O90" s="3" t="s">
        <v>205</v>
      </c>
      <c r="P90" s="3" t="s">
        <v>2</v>
      </c>
      <c r="Q90" s="3" t="s">
        <v>2</v>
      </c>
      <c r="R90" s="8">
        <f t="shared" ca="1" si="1"/>
        <v>23</v>
      </c>
      <c r="S90" s="8" t="str">
        <f>VLOOKUP(A90,[1]Feuil1!$A:$V,19,FALSE)</f>
        <v>Non</v>
      </c>
      <c r="T90" s="8" t="s">
        <v>330</v>
      </c>
      <c r="U90" s="8" t="str">
        <f>VLOOKUP(A90,[1]Feuil1!$A:$V,21,FALSE)</f>
        <v xml:space="preserve"> </v>
      </c>
      <c r="V90" s="8" t="s">
        <v>332</v>
      </c>
    </row>
    <row r="91" spans="1:22" ht="36" x14ac:dyDescent="0.35">
      <c r="A91" s="3">
        <v>59414411</v>
      </c>
      <c r="B91" s="4">
        <v>46086.57104166667</v>
      </c>
      <c r="C91" s="3">
        <v>60601081</v>
      </c>
      <c r="D91" s="4">
        <v>46108.462025462963</v>
      </c>
      <c r="E91" s="3" t="s">
        <v>34</v>
      </c>
      <c r="F91" s="3" t="s">
        <v>207</v>
      </c>
      <c r="G91" s="3">
        <v>566473307</v>
      </c>
      <c r="H91" s="3" t="s">
        <v>208</v>
      </c>
      <c r="I91" s="3" t="s">
        <v>2</v>
      </c>
      <c r="J91" s="3" t="s">
        <v>155</v>
      </c>
      <c r="K91" s="3" t="s">
        <v>4</v>
      </c>
      <c r="L91" s="3" t="s">
        <v>5</v>
      </c>
      <c r="M91" s="3" t="s">
        <v>6</v>
      </c>
      <c r="N91" s="3" t="s">
        <v>13</v>
      </c>
      <c r="O91" s="3" t="s">
        <v>78</v>
      </c>
      <c r="P91" s="3" t="s">
        <v>2</v>
      </c>
      <c r="Q91" s="3">
        <v>0</v>
      </c>
      <c r="R91" s="8">
        <f t="shared" ca="1" si="1"/>
        <v>23</v>
      </c>
      <c r="S91" s="8" t="str">
        <f>VLOOKUP(A91,[1]Feuil1!$A:$V,19,FALSE)</f>
        <v>Non</v>
      </c>
      <c r="T91" s="8" t="s">
        <v>330</v>
      </c>
      <c r="U91" s="8" t="str">
        <f>VLOOKUP(A91,[1]Feuil1!$A:$V,21,FALSE)</f>
        <v xml:space="preserve"> </v>
      </c>
      <c r="V91" s="8" t="s">
        <v>332</v>
      </c>
    </row>
    <row r="92" spans="1:22" ht="48" x14ac:dyDescent="0.35">
      <c r="A92" s="3">
        <v>59417066</v>
      </c>
      <c r="B92" s="4">
        <v>46086.594525462962</v>
      </c>
      <c r="C92" s="3">
        <v>60589286</v>
      </c>
      <c r="D92" s="4">
        <v>46108.367418981485</v>
      </c>
      <c r="E92" s="3" t="s">
        <v>34</v>
      </c>
      <c r="F92" s="3" t="s">
        <v>209</v>
      </c>
      <c r="G92" s="3">
        <v>709565662</v>
      </c>
      <c r="H92" s="3" t="s">
        <v>210</v>
      </c>
      <c r="I92" s="3" t="s">
        <v>2</v>
      </c>
      <c r="J92" s="3" t="s">
        <v>155</v>
      </c>
      <c r="K92" s="3" t="s">
        <v>4</v>
      </c>
      <c r="L92" s="3" t="s">
        <v>5</v>
      </c>
      <c r="M92" s="3" t="s">
        <v>6</v>
      </c>
      <c r="N92" s="3" t="s">
        <v>13</v>
      </c>
      <c r="O92" s="3" t="s">
        <v>202</v>
      </c>
      <c r="P92" s="3" t="s">
        <v>2</v>
      </c>
      <c r="Q92" s="3">
        <v>0</v>
      </c>
      <c r="R92" s="8">
        <f t="shared" ca="1" si="1"/>
        <v>23</v>
      </c>
      <c r="S92" s="8" t="str">
        <f>VLOOKUP(A92,[1]Feuil1!$A:$V,19,FALSE)</f>
        <v>Non</v>
      </c>
      <c r="T92" s="8" t="s">
        <v>330</v>
      </c>
      <c r="U92" s="8" t="str">
        <f>VLOOKUP(A92,[1]Feuil1!$A:$V,21,FALSE)</f>
        <v xml:space="preserve"> </v>
      </c>
      <c r="V92" s="8" t="s">
        <v>332</v>
      </c>
    </row>
    <row r="93" spans="1:22" ht="24" x14ac:dyDescent="0.35">
      <c r="A93" s="3">
        <v>59464660</v>
      </c>
      <c r="B93" s="4">
        <v>46087.421030092592</v>
      </c>
      <c r="C93" s="3">
        <v>60780173</v>
      </c>
      <c r="D93" s="4">
        <v>46111.728275462963</v>
      </c>
      <c r="E93" s="3" t="s">
        <v>154</v>
      </c>
      <c r="F93" s="3" t="s">
        <v>101</v>
      </c>
      <c r="G93" s="3">
        <v>554235979</v>
      </c>
      <c r="H93" s="3" t="s">
        <v>162</v>
      </c>
      <c r="I93" s="3" t="s">
        <v>2</v>
      </c>
      <c r="J93" s="3" t="s">
        <v>10</v>
      </c>
      <c r="K93" s="3" t="s">
        <v>19</v>
      </c>
      <c r="L93" s="3" t="s">
        <v>30</v>
      </c>
      <c r="M93" s="3" t="s">
        <v>20</v>
      </c>
      <c r="N93" s="3" t="s">
        <v>13</v>
      </c>
      <c r="O93" s="3" t="s">
        <v>183</v>
      </c>
      <c r="P93" s="3" t="s">
        <v>2</v>
      </c>
      <c r="Q93" s="3">
        <v>0</v>
      </c>
      <c r="R93" s="8">
        <f t="shared" ca="1" si="1"/>
        <v>22</v>
      </c>
      <c r="S93" s="8" t="str">
        <f>VLOOKUP(A93,[1]Feuil1!$A:$V,19,FALSE)</f>
        <v>NON</v>
      </c>
      <c r="T93" s="8" t="s">
        <v>330</v>
      </c>
      <c r="U93" s="8" t="str">
        <f>VLOOKUP(A93,[1]Feuil1!$A:$V,21,FALSE)</f>
        <v>Projet ingénierie</v>
      </c>
      <c r="V93" s="8" t="str">
        <f>VLOOKUP(A93,[1]Feuil1!$A:$V,22,FALSE)</f>
        <v>Projet</v>
      </c>
    </row>
    <row r="94" spans="1:22" ht="24" x14ac:dyDescent="0.35">
      <c r="A94" s="3">
        <v>59465071</v>
      </c>
      <c r="B94" s="4">
        <v>46087.424062500002</v>
      </c>
      <c r="C94" s="3">
        <v>60531474</v>
      </c>
      <c r="D94" s="4">
        <v>46107.489861111113</v>
      </c>
      <c r="E94" s="3" t="s">
        <v>206</v>
      </c>
      <c r="F94" s="3" t="s">
        <v>101</v>
      </c>
      <c r="G94" s="3">
        <v>554235979</v>
      </c>
      <c r="H94" s="3" t="s">
        <v>211</v>
      </c>
      <c r="I94" s="3" t="s">
        <v>2</v>
      </c>
      <c r="J94" s="3" t="s">
        <v>10</v>
      </c>
      <c r="K94" s="3" t="s">
        <v>25</v>
      </c>
      <c r="L94" s="3" t="s">
        <v>30</v>
      </c>
      <c r="M94" s="3" t="s">
        <v>20</v>
      </c>
      <c r="N94" s="3" t="s">
        <v>13</v>
      </c>
      <c r="O94" s="3" t="s">
        <v>50</v>
      </c>
      <c r="P94" s="3" t="s">
        <v>2</v>
      </c>
      <c r="Q94" s="3">
        <v>0</v>
      </c>
      <c r="R94" s="8">
        <f t="shared" ca="1" si="1"/>
        <v>22</v>
      </c>
      <c r="S94" s="8" t="str">
        <f>VLOOKUP(A94,[1]Feuil1!$A:$V,19,FALSE)</f>
        <v>NON</v>
      </c>
      <c r="T94" s="8" t="s">
        <v>330</v>
      </c>
      <c r="U94" s="8" t="str">
        <f>VLOOKUP(A94,[1]Feuil1!$A:$V,21,FALSE)</f>
        <v>Projet ingénierie</v>
      </c>
      <c r="V94" s="8" t="str">
        <f>VLOOKUP(A94,[1]Feuil1!$A:$V,22,FALSE)</f>
        <v>Projet</v>
      </c>
    </row>
    <row r="95" spans="1:22" ht="24" x14ac:dyDescent="0.35">
      <c r="A95" s="3">
        <v>59466514</v>
      </c>
      <c r="B95" s="4">
        <v>46087.436643518522</v>
      </c>
      <c r="C95" s="3">
        <v>60757517</v>
      </c>
      <c r="D95" s="4">
        <v>46111.579236111109</v>
      </c>
      <c r="E95" s="3" t="s">
        <v>34</v>
      </c>
      <c r="F95" s="3" t="s">
        <v>212</v>
      </c>
      <c r="G95" s="3">
        <v>141679210</v>
      </c>
      <c r="H95" s="3" t="s">
        <v>211</v>
      </c>
      <c r="I95" s="3" t="s">
        <v>2</v>
      </c>
      <c r="J95" s="3" t="s">
        <v>10</v>
      </c>
      <c r="K95" s="3" t="s">
        <v>25</v>
      </c>
      <c r="L95" s="3" t="s">
        <v>30</v>
      </c>
      <c r="M95" s="3" t="s">
        <v>20</v>
      </c>
      <c r="N95" s="3" t="s">
        <v>13</v>
      </c>
      <c r="O95" s="3" t="s">
        <v>62</v>
      </c>
      <c r="P95" s="3" t="s">
        <v>2</v>
      </c>
      <c r="Q95" s="5">
        <v>3213390</v>
      </c>
      <c r="R95" s="8">
        <f t="shared" ca="1" si="1"/>
        <v>22</v>
      </c>
      <c r="S95" s="8" t="str">
        <f>VLOOKUP(A95,[1]Feuil1!$A:$V,19,FALSE)</f>
        <v>Non</v>
      </c>
      <c r="T95" s="8" t="str">
        <f>VLOOKUP(A95,[1]Feuil1!$A:$V,20,FALSE)</f>
        <v xml:space="preserve">CLIENT </v>
      </c>
      <c r="U95" s="8" t="str">
        <f>VLOOKUP(A95,[1]Feuil1!$A:$V,21,FALSE)</f>
        <v>Projet ingénierie</v>
      </c>
      <c r="V95" s="8" t="s">
        <v>332</v>
      </c>
    </row>
    <row r="96" spans="1:22" ht="60" x14ac:dyDescent="0.35">
      <c r="A96" s="3">
        <v>59466778</v>
      </c>
      <c r="B96" s="4">
        <v>46087.438715277778</v>
      </c>
      <c r="C96" s="3">
        <v>60993535</v>
      </c>
      <c r="D96" s="4">
        <v>46115.402511574073</v>
      </c>
      <c r="E96" s="3" t="s">
        <v>163</v>
      </c>
      <c r="F96" s="3" t="s">
        <v>101</v>
      </c>
      <c r="G96" s="3">
        <v>554235979</v>
      </c>
      <c r="H96" s="3" t="s">
        <v>96</v>
      </c>
      <c r="I96" s="3" t="s">
        <v>2</v>
      </c>
      <c r="J96" s="3" t="s">
        <v>155</v>
      </c>
      <c r="K96" s="3" t="s">
        <v>4</v>
      </c>
      <c r="L96" s="3" t="s">
        <v>5</v>
      </c>
      <c r="M96" s="3" t="s">
        <v>20</v>
      </c>
      <c r="N96" s="3" t="s">
        <v>13</v>
      </c>
      <c r="O96" s="3" t="s">
        <v>205</v>
      </c>
      <c r="P96" s="3" t="s">
        <v>2</v>
      </c>
      <c r="Q96" s="3" t="s">
        <v>2</v>
      </c>
      <c r="R96" s="8">
        <f t="shared" ca="1" si="1"/>
        <v>22</v>
      </c>
      <c r="S96" s="8" t="str">
        <f>VLOOKUP(A96,[1]Feuil1!$A:$V,19,FALSE)</f>
        <v>NON</v>
      </c>
      <c r="T96" s="8" t="s">
        <v>330</v>
      </c>
      <c r="U96" s="8" t="str">
        <f>VLOOKUP(A96,[1]Feuil1!$A:$V,21,FALSE)</f>
        <v>Projet ingénierie</v>
      </c>
      <c r="V96" s="8" t="str">
        <f>VLOOKUP(A96,[1]Feuil1!$A:$V,22,FALSE)</f>
        <v>Projet</v>
      </c>
    </row>
    <row r="97" spans="1:22" ht="48" x14ac:dyDescent="0.35">
      <c r="A97" s="3">
        <v>59480507</v>
      </c>
      <c r="B97" s="4">
        <v>46087.544247685182</v>
      </c>
      <c r="C97" s="3">
        <v>60564140</v>
      </c>
      <c r="D97" s="4">
        <v>46107.723194444443</v>
      </c>
      <c r="E97" s="3" t="s">
        <v>215</v>
      </c>
      <c r="F97" s="3" t="s">
        <v>213</v>
      </c>
      <c r="G97" s="3">
        <v>708547070</v>
      </c>
      <c r="H97" s="3" t="s">
        <v>214</v>
      </c>
      <c r="I97" s="3" t="s">
        <v>2</v>
      </c>
      <c r="J97" s="3" t="s">
        <v>3</v>
      </c>
      <c r="K97" s="3" t="s">
        <v>4</v>
      </c>
      <c r="L97" s="3" t="s">
        <v>5</v>
      </c>
      <c r="M97" s="3" t="s">
        <v>6</v>
      </c>
      <c r="N97" s="3" t="s">
        <v>73</v>
      </c>
      <c r="O97" s="3" t="s">
        <v>202</v>
      </c>
      <c r="P97" s="3" t="s">
        <v>2</v>
      </c>
      <c r="Q97" s="3" t="s">
        <v>2</v>
      </c>
      <c r="R97" s="8">
        <f t="shared" ca="1" si="1"/>
        <v>22</v>
      </c>
      <c r="S97" s="8" t="str">
        <f>VLOOKUP(A97,[1]Feuil1!$A:$V,19,FALSE)</f>
        <v>Non</v>
      </c>
      <c r="T97" s="8" t="str">
        <f>VLOOKUP(A97,[1]Feuil1!$A:$V,20,FALSE)</f>
        <v>OCI</v>
      </c>
      <c r="U97" s="8" t="str">
        <f>VLOOKUP(A97,[1]Feuil1!$A:$V,21,FALSE)</f>
        <v>Projet ingénierie</v>
      </c>
      <c r="V97" s="8" t="s">
        <v>332</v>
      </c>
    </row>
    <row r="98" spans="1:22" ht="24" x14ac:dyDescent="0.35">
      <c r="A98" s="3">
        <v>59495473</v>
      </c>
      <c r="B98" s="4">
        <v>46087.653935185182</v>
      </c>
      <c r="C98" s="3">
        <v>60551423</v>
      </c>
      <c r="D98" s="4">
        <v>46107.631689814814</v>
      </c>
      <c r="E98" s="3" t="s">
        <v>27</v>
      </c>
      <c r="F98" s="3" t="s">
        <v>216</v>
      </c>
      <c r="G98" s="3">
        <v>506727287</v>
      </c>
      <c r="H98" s="3" t="s">
        <v>217</v>
      </c>
      <c r="I98" s="3" t="s">
        <v>2</v>
      </c>
      <c r="J98" s="3" t="s">
        <v>10</v>
      </c>
      <c r="K98" s="3" t="s">
        <v>25</v>
      </c>
      <c r="L98" s="3" t="s">
        <v>30</v>
      </c>
      <c r="M98" s="3" t="s">
        <v>20</v>
      </c>
      <c r="N98" s="3" t="s">
        <v>13</v>
      </c>
      <c r="O98" s="3" t="s">
        <v>218</v>
      </c>
      <c r="P98" s="3" t="s">
        <v>2</v>
      </c>
      <c r="Q98" s="3">
        <v>0</v>
      </c>
      <c r="R98" s="8">
        <f t="shared" ca="1" si="1"/>
        <v>22</v>
      </c>
      <c r="S98" s="8" t="str">
        <f>VLOOKUP(A98,[1]Feuil1!$A:$V,19,FALSE)</f>
        <v>NON</v>
      </c>
      <c r="T98" s="8" t="s">
        <v>330</v>
      </c>
      <c r="U98" s="8" t="str">
        <f>VLOOKUP(A98,[1]Feuil1!$A:$V,21,FALSE)</f>
        <v>Projet ingénierie</v>
      </c>
      <c r="V98" s="8" t="str">
        <f>VLOOKUP(A98,[1]Feuil1!$A:$V,22,FALSE)</f>
        <v>Projet</v>
      </c>
    </row>
    <row r="99" spans="1:22" ht="36" x14ac:dyDescent="0.35">
      <c r="A99" s="3">
        <v>59495495</v>
      </c>
      <c r="B99" s="4">
        <v>46087.654039351852</v>
      </c>
      <c r="C99" s="3">
        <v>60865609</v>
      </c>
      <c r="D99" s="4">
        <v>46113.406712962962</v>
      </c>
      <c r="E99" s="3" t="s">
        <v>15</v>
      </c>
      <c r="F99" s="3" t="s">
        <v>219</v>
      </c>
      <c r="G99" s="3">
        <v>757019000</v>
      </c>
      <c r="H99" s="3" t="s">
        <v>128</v>
      </c>
      <c r="I99" s="3" t="s">
        <v>2</v>
      </c>
      <c r="J99" s="3" t="s">
        <v>3</v>
      </c>
      <c r="K99" s="3" t="s">
        <v>220</v>
      </c>
      <c r="L99" s="3" t="s">
        <v>5</v>
      </c>
      <c r="M99" s="3" t="s">
        <v>6</v>
      </c>
      <c r="N99" s="3" t="s">
        <v>13</v>
      </c>
      <c r="O99" s="3">
        <v>2720219740</v>
      </c>
      <c r="P99" s="3" t="s">
        <v>2</v>
      </c>
      <c r="Q99" s="3" t="s">
        <v>2</v>
      </c>
      <c r="R99" s="8">
        <f t="shared" ca="1" si="1"/>
        <v>22</v>
      </c>
      <c r="S99" s="8" t="str">
        <f>VLOOKUP(A99,[1]Feuil1!$A:$V,19,FALSE)</f>
        <v>Non</v>
      </c>
      <c r="T99" s="8" t="str">
        <f>VLOOKUP(A99,[1]Feuil1!$A:$V,20,FALSE)</f>
        <v>OCI</v>
      </c>
      <c r="U99" s="8" t="str">
        <f>VLOOKUP(A99,[1]Feuil1!$A:$V,21,FALSE)</f>
        <v>Projet ingénierie</v>
      </c>
      <c r="V99" s="8" t="s">
        <v>332</v>
      </c>
    </row>
    <row r="100" spans="1:22" ht="60" x14ac:dyDescent="0.35">
      <c r="A100" s="3">
        <v>59498233</v>
      </c>
      <c r="B100" s="4">
        <v>46087.67423611111</v>
      </c>
      <c r="C100" s="3">
        <v>59693004</v>
      </c>
      <c r="D100" s="4">
        <v>46091.627928240741</v>
      </c>
      <c r="E100" s="3" t="s">
        <v>163</v>
      </c>
      <c r="F100" s="3" t="s">
        <v>216</v>
      </c>
      <c r="G100" s="3">
        <v>606727287</v>
      </c>
      <c r="H100" s="3" t="s">
        <v>84</v>
      </c>
      <c r="I100" s="3" t="s">
        <v>2</v>
      </c>
      <c r="J100" s="3" t="s">
        <v>10</v>
      </c>
      <c r="K100" s="3" t="s">
        <v>221</v>
      </c>
      <c r="L100" s="3" t="s">
        <v>30</v>
      </c>
      <c r="M100" s="3" t="s">
        <v>20</v>
      </c>
      <c r="N100" s="3" t="s">
        <v>13</v>
      </c>
      <c r="O100" s="3" t="s">
        <v>2</v>
      </c>
      <c r="P100" s="3" t="s">
        <v>2</v>
      </c>
      <c r="Q100" s="3">
        <v>0</v>
      </c>
      <c r="R100" s="8">
        <f t="shared" ca="1" si="1"/>
        <v>22</v>
      </c>
      <c r="S100" s="8" t="str">
        <f>VLOOKUP(A100,[1]Feuil1!$A:$V,19,FALSE)</f>
        <v>NON</v>
      </c>
      <c r="T100" s="8" t="s">
        <v>330</v>
      </c>
      <c r="U100" s="8" t="str">
        <f>VLOOKUP(A100,[1]Feuil1!$A:$V,21,FALSE)</f>
        <v>Projet ingénierie</v>
      </c>
      <c r="V100" s="8" t="str">
        <f>VLOOKUP(A100,[1]Feuil1!$A:$V,22,FALSE)</f>
        <v>Projet</v>
      </c>
    </row>
    <row r="101" spans="1:22" ht="48" x14ac:dyDescent="0.35">
      <c r="A101" s="3">
        <v>59537755</v>
      </c>
      <c r="B101" s="4">
        <v>46088.586631944447</v>
      </c>
      <c r="C101" s="3">
        <v>59807640</v>
      </c>
      <c r="D101" s="4">
        <v>46093.511296296296</v>
      </c>
      <c r="E101" s="3" t="s">
        <v>154</v>
      </c>
      <c r="F101" s="3" t="s">
        <v>222</v>
      </c>
      <c r="G101" s="3">
        <v>556331131</v>
      </c>
      <c r="H101" s="3" t="s">
        <v>222</v>
      </c>
      <c r="I101" s="3" t="s">
        <v>2</v>
      </c>
      <c r="J101" s="3" t="s">
        <v>10</v>
      </c>
      <c r="K101" s="3" t="s">
        <v>223</v>
      </c>
      <c r="L101" s="3" t="s">
        <v>30</v>
      </c>
      <c r="M101" s="3" t="s">
        <v>20</v>
      </c>
      <c r="N101" s="3" t="s">
        <v>13</v>
      </c>
      <c r="O101" s="3" t="s">
        <v>2</v>
      </c>
      <c r="P101" s="3" t="s">
        <v>2</v>
      </c>
      <c r="Q101" s="3">
        <v>0</v>
      </c>
      <c r="R101" s="8">
        <f t="shared" ca="1" si="1"/>
        <v>21</v>
      </c>
      <c r="S101" s="8" t="str">
        <f>VLOOKUP(A101,[1]Feuil1!$A:$V,19,FALSE)</f>
        <v>NON</v>
      </c>
      <c r="T101" s="8" t="s">
        <v>330</v>
      </c>
      <c r="U101" s="8" t="str">
        <f>VLOOKUP(A101,[1]Feuil1!$A:$V,21,FALSE)</f>
        <v>PROJET LTE</v>
      </c>
      <c r="V101" s="8" t="str">
        <f>VLOOKUP(A101,[1]Feuil1!$A:$V,22,FALSE)</f>
        <v>Projet</v>
      </c>
    </row>
    <row r="102" spans="1:22" ht="24" x14ac:dyDescent="0.35">
      <c r="A102" s="3">
        <v>59538099</v>
      </c>
      <c r="B102" s="4">
        <v>46088.590717592589</v>
      </c>
      <c r="C102" s="3">
        <v>60033812</v>
      </c>
      <c r="D102" s="4">
        <v>46098.426782407405</v>
      </c>
      <c r="E102" s="3" t="s">
        <v>7</v>
      </c>
      <c r="F102" s="3" t="s">
        <v>224</v>
      </c>
      <c r="G102" s="3">
        <v>566473307</v>
      </c>
      <c r="H102" s="3" t="s">
        <v>225</v>
      </c>
      <c r="I102" s="3" t="s">
        <v>2</v>
      </c>
      <c r="J102" s="3" t="s">
        <v>18</v>
      </c>
      <c r="K102" s="3" t="s">
        <v>25</v>
      </c>
      <c r="L102" s="3" t="s">
        <v>12</v>
      </c>
      <c r="M102" s="3" t="s">
        <v>6</v>
      </c>
      <c r="N102" s="3"/>
      <c r="O102" s="3" t="s">
        <v>226</v>
      </c>
      <c r="P102" s="3" t="s">
        <v>2</v>
      </c>
      <c r="Q102" s="3">
        <v>0</v>
      </c>
      <c r="R102" s="8">
        <f t="shared" ca="1" si="1"/>
        <v>21</v>
      </c>
      <c r="S102" s="8" t="str">
        <f>VLOOKUP(A102,[1]Feuil1!$A:$V,19,FALSE)</f>
        <v>non</v>
      </c>
      <c r="T102" s="8" t="s">
        <v>330</v>
      </c>
      <c r="U102" s="8" t="s">
        <v>335</v>
      </c>
      <c r="V102" s="8" t="s">
        <v>332</v>
      </c>
    </row>
    <row r="103" spans="1:22" ht="24" x14ac:dyDescent="0.35">
      <c r="A103" s="3">
        <v>59538597</v>
      </c>
      <c r="B103" s="4">
        <v>46088.598194444443</v>
      </c>
      <c r="C103" s="3">
        <v>60030833</v>
      </c>
      <c r="D103" s="4">
        <v>46098.40320601852</v>
      </c>
      <c r="E103" s="3" t="s">
        <v>7</v>
      </c>
      <c r="F103" s="3" t="s">
        <v>224</v>
      </c>
      <c r="G103" s="3">
        <v>566473307</v>
      </c>
      <c r="H103" s="3" t="s">
        <v>227</v>
      </c>
      <c r="I103" s="3" t="s">
        <v>2</v>
      </c>
      <c r="J103" s="3" t="s">
        <v>18</v>
      </c>
      <c r="K103" s="3" t="s">
        <v>25</v>
      </c>
      <c r="L103" s="3" t="s">
        <v>12</v>
      </c>
      <c r="M103" s="3" t="s">
        <v>6</v>
      </c>
      <c r="N103" s="3"/>
      <c r="O103" s="3" t="s">
        <v>226</v>
      </c>
      <c r="P103" s="3" t="s">
        <v>2</v>
      </c>
      <c r="Q103" s="3">
        <v>0</v>
      </c>
      <c r="R103" s="8">
        <f t="shared" ca="1" si="1"/>
        <v>21</v>
      </c>
      <c r="S103" s="8" t="str">
        <f>VLOOKUP(A103,[1]Feuil1!$A:$V,19,FALSE)</f>
        <v>non</v>
      </c>
      <c r="T103" s="8" t="s">
        <v>330</v>
      </c>
      <c r="U103" s="8" t="s">
        <v>335</v>
      </c>
      <c r="V103" s="8" t="s">
        <v>332</v>
      </c>
    </row>
    <row r="104" spans="1:22" ht="60" x14ac:dyDescent="0.35">
      <c r="A104" s="3">
        <v>59541145</v>
      </c>
      <c r="B104" s="4">
        <v>46088.634837962964</v>
      </c>
      <c r="C104" s="3">
        <v>59799803</v>
      </c>
      <c r="D104" s="4">
        <v>46093.453530092593</v>
      </c>
      <c r="E104" s="3" t="s">
        <v>163</v>
      </c>
      <c r="F104" s="3" t="s">
        <v>228</v>
      </c>
      <c r="G104" s="3">
        <v>546008131</v>
      </c>
      <c r="H104" s="3" t="s">
        <v>229</v>
      </c>
      <c r="I104" s="3" t="s">
        <v>2</v>
      </c>
      <c r="J104" s="3" t="s">
        <v>10</v>
      </c>
      <c r="K104" s="3" t="s">
        <v>223</v>
      </c>
      <c r="L104" s="3" t="s">
        <v>30</v>
      </c>
      <c r="M104" s="3" t="s">
        <v>20</v>
      </c>
      <c r="N104" s="3" t="s">
        <v>13</v>
      </c>
      <c r="O104" s="3" t="s">
        <v>2</v>
      </c>
      <c r="P104" s="3" t="s">
        <v>2</v>
      </c>
      <c r="Q104" s="3">
        <v>0</v>
      </c>
      <c r="R104" s="8">
        <f t="shared" ca="1" si="1"/>
        <v>21</v>
      </c>
      <c r="S104" s="8" t="str">
        <f>VLOOKUP(A104,[1]Feuil1!$A:$V,19,FALSE)</f>
        <v>NON</v>
      </c>
      <c r="T104" s="8" t="s">
        <v>330</v>
      </c>
      <c r="U104" s="8" t="str">
        <f>VLOOKUP(A104,[1]Feuil1!$A:$V,21,FALSE)</f>
        <v>Projet ingénierie</v>
      </c>
      <c r="V104" s="8" t="str">
        <f>VLOOKUP(A104,[1]Feuil1!$A:$V,22,FALSE)</f>
        <v>Projet</v>
      </c>
    </row>
    <row r="105" spans="1:22" ht="60" x14ac:dyDescent="0.35">
      <c r="A105" s="3">
        <v>59606122</v>
      </c>
      <c r="B105" s="4">
        <v>46090.447604166664</v>
      </c>
      <c r="C105" s="3">
        <v>59682305</v>
      </c>
      <c r="D105" s="4">
        <v>46091.541701388887</v>
      </c>
      <c r="E105" s="3" t="s">
        <v>163</v>
      </c>
      <c r="F105" s="3" t="s">
        <v>230</v>
      </c>
      <c r="G105" s="3">
        <v>708454305</v>
      </c>
      <c r="H105" s="3" t="s">
        <v>231</v>
      </c>
      <c r="I105" s="3" t="s">
        <v>2</v>
      </c>
      <c r="J105" s="3" t="s">
        <v>10</v>
      </c>
      <c r="K105" s="3" t="s">
        <v>223</v>
      </c>
      <c r="L105" s="3" t="s">
        <v>30</v>
      </c>
      <c r="M105" s="3" t="s">
        <v>20</v>
      </c>
      <c r="N105" s="3" t="s">
        <v>13</v>
      </c>
      <c r="O105" s="3" t="s">
        <v>2</v>
      </c>
      <c r="P105" s="3" t="s">
        <v>2</v>
      </c>
      <c r="Q105" s="3">
        <v>0</v>
      </c>
      <c r="R105" s="8">
        <f t="shared" ca="1" si="1"/>
        <v>21</v>
      </c>
      <c r="S105" s="8" t="str">
        <f>VLOOKUP(A105,[1]Feuil1!$A:$V,19,FALSE)</f>
        <v>NON</v>
      </c>
      <c r="T105" s="8" t="s">
        <v>330</v>
      </c>
      <c r="U105" s="8" t="str">
        <f>VLOOKUP(A105,[1]Feuil1!$A:$V,21,FALSE)</f>
        <v>Projet ingénierie</v>
      </c>
      <c r="V105" s="8" t="str">
        <f>VLOOKUP(A105,[1]Feuil1!$A:$V,22,FALSE)</f>
        <v>Projet</v>
      </c>
    </row>
    <row r="106" spans="1:22" ht="24" x14ac:dyDescent="0.35">
      <c r="A106" s="3">
        <v>59615935</v>
      </c>
      <c r="B106" s="4">
        <v>46090.512303240743</v>
      </c>
      <c r="C106" s="3">
        <v>60393405</v>
      </c>
      <c r="D106" s="4">
        <v>46105.432800925926</v>
      </c>
      <c r="E106" s="3" t="s">
        <v>34</v>
      </c>
      <c r="F106" s="3" t="s">
        <v>232</v>
      </c>
      <c r="G106" s="3">
        <v>767081456</v>
      </c>
      <c r="H106" s="3" t="s">
        <v>233</v>
      </c>
      <c r="I106" s="3" t="s">
        <v>2</v>
      </c>
      <c r="J106" s="3" t="s">
        <v>10</v>
      </c>
      <c r="K106" s="3" t="s">
        <v>25</v>
      </c>
      <c r="L106" s="3" t="s">
        <v>30</v>
      </c>
      <c r="M106" s="3" t="s">
        <v>6</v>
      </c>
      <c r="N106" s="3" t="s">
        <v>13</v>
      </c>
      <c r="O106" s="3" t="s">
        <v>60</v>
      </c>
      <c r="P106" s="3" t="s">
        <v>2</v>
      </c>
      <c r="Q106" s="3">
        <v>0</v>
      </c>
      <c r="R106" s="8">
        <f t="shared" ca="1" si="1"/>
        <v>21</v>
      </c>
      <c r="S106" s="8" t="str">
        <f>VLOOKUP(A106,[1]Feuil1!$A:$V,19,FALSE)</f>
        <v>Non</v>
      </c>
      <c r="T106" s="8" t="str">
        <f>VLOOKUP(A106,[1]Feuil1!$A:$V,20,FALSE)</f>
        <v>OCI</v>
      </c>
      <c r="U106" s="8" t="str">
        <f>VLOOKUP(A106,[1]Feuil1!$A:$V,21,FALSE)</f>
        <v>Projet ingénierie</v>
      </c>
      <c r="V106" s="8" t="s">
        <v>332</v>
      </c>
    </row>
    <row r="107" spans="1:22" ht="63.5" customHeight="1" x14ac:dyDescent="0.35">
      <c r="A107" s="3">
        <v>59684312</v>
      </c>
      <c r="B107" s="4">
        <v>46091.557453703703</v>
      </c>
      <c r="C107" s="3">
        <v>60999413</v>
      </c>
      <c r="D107" s="4">
        <v>46115.45113425926</v>
      </c>
      <c r="E107" s="3" t="s">
        <v>163</v>
      </c>
      <c r="F107" s="3" t="s">
        <v>234</v>
      </c>
      <c r="G107" s="3">
        <v>3130227350</v>
      </c>
      <c r="H107" s="3" t="s">
        <v>235</v>
      </c>
      <c r="I107" s="3" t="s">
        <v>2</v>
      </c>
      <c r="J107" s="3" t="s">
        <v>56</v>
      </c>
      <c r="K107" s="3" t="s">
        <v>25</v>
      </c>
      <c r="L107" s="3" t="s">
        <v>12</v>
      </c>
      <c r="M107" s="3" t="s">
        <v>6</v>
      </c>
      <c r="N107" s="3" t="s">
        <v>13</v>
      </c>
      <c r="O107" s="3" t="s">
        <v>2</v>
      </c>
      <c r="P107" s="3" t="s">
        <v>2</v>
      </c>
      <c r="Q107" s="3" t="s">
        <v>2</v>
      </c>
      <c r="R107" s="8">
        <f t="shared" ca="1" si="1"/>
        <v>20</v>
      </c>
      <c r="S107" s="8" t="str">
        <f>VLOOKUP(A107,[1]Feuil1!$A:$V,19,FALSE)</f>
        <v>Non</v>
      </c>
      <c r="T107" s="8" t="str">
        <f>VLOOKUP(A107,[1]Feuil1!$A:$V,20,FALSE)</f>
        <v xml:space="preserve">CLIENT </v>
      </c>
      <c r="U107" s="8" t="str">
        <f>VLOOKUP(A107,[1]Feuil1!$A:$V,21,FALSE)</f>
        <v>Projet ingénierie</v>
      </c>
      <c r="V107" s="8" t="s">
        <v>332</v>
      </c>
    </row>
    <row r="108" spans="1:22" ht="24" x14ac:dyDescent="0.35">
      <c r="A108" s="3">
        <v>59793967</v>
      </c>
      <c r="B108" s="4">
        <v>46093.406724537039</v>
      </c>
      <c r="C108" s="3">
        <v>60225840</v>
      </c>
      <c r="D108" s="4">
        <v>46101.328912037039</v>
      </c>
      <c r="E108" s="3" t="s">
        <v>27</v>
      </c>
      <c r="F108" s="3" t="s">
        <v>236</v>
      </c>
      <c r="G108" s="3">
        <v>506727287</v>
      </c>
      <c r="H108" s="3" t="s">
        <v>217</v>
      </c>
      <c r="I108" s="3" t="s">
        <v>2</v>
      </c>
      <c r="J108" s="3" t="s">
        <v>10</v>
      </c>
      <c r="K108" s="3" t="s">
        <v>25</v>
      </c>
      <c r="L108" s="3" t="s">
        <v>30</v>
      </c>
      <c r="M108" s="3" t="s">
        <v>20</v>
      </c>
      <c r="N108" s="3" t="s">
        <v>13</v>
      </c>
      <c r="O108" s="3" t="s">
        <v>39</v>
      </c>
      <c r="P108" s="3" t="s">
        <v>2</v>
      </c>
      <c r="Q108" s="3">
        <v>0</v>
      </c>
      <c r="R108" s="8">
        <f t="shared" ca="1" si="1"/>
        <v>18</v>
      </c>
      <c r="S108" s="8" t="str">
        <f>VLOOKUP(A108,[1]Feuil1!$A:$V,19,FALSE)</f>
        <v>NON</v>
      </c>
      <c r="T108" s="8" t="s">
        <v>330</v>
      </c>
      <c r="U108" s="8" t="str">
        <f>VLOOKUP(A108,[1]Feuil1!$A:$V,21,FALSE)</f>
        <v xml:space="preserve"> </v>
      </c>
      <c r="V108" s="8" t="str">
        <f>VLOOKUP(A108,[1]Feuil1!$A:$V,22,FALSE)</f>
        <v>Projet</v>
      </c>
    </row>
    <row r="109" spans="1:22" ht="60" x14ac:dyDescent="0.35">
      <c r="A109" s="3">
        <v>59801109</v>
      </c>
      <c r="B109" s="4">
        <v>46093.464594907404</v>
      </c>
      <c r="C109" s="3">
        <v>60986617</v>
      </c>
      <c r="D109" s="4">
        <v>46115.247071759259</v>
      </c>
      <c r="E109" s="3" t="s">
        <v>240</v>
      </c>
      <c r="F109" s="3" t="s">
        <v>237</v>
      </c>
      <c r="G109" s="3">
        <v>709173657</v>
      </c>
      <c r="H109" s="3" t="s">
        <v>238</v>
      </c>
      <c r="I109" s="3" t="s">
        <v>2</v>
      </c>
      <c r="J109" s="3" t="s">
        <v>10</v>
      </c>
      <c r="K109" s="3" t="s">
        <v>19</v>
      </c>
      <c r="L109" s="3" t="s">
        <v>30</v>
      </c>
      <c r="M109" s="3" t="s">
        <v>20</v>
      </c>
      <c r="N109" s="3" t="s">
        <v>13</v>
      </c>
      <c r="O109" s="3" t="s">
        <v>239</v>
      </c>
      <c r="P109" s="3" t="s">
        <v>2</v>
      </c>
      <c r="Q109" s="3">
        <v>0</v>
      </c>
      <c r="R109" s="8">
        <f t="shared" ca="1" si="1"/>
        <v>18</v>
      </c>
      <c r="S109" s="8" t="str">
        <f>VLOOKUP(A109,[1]Feuil1!$A:$V,19,FALSE)</f>
        <v>Non</v>
      </c>
      <c r="T109" s="8" t="str">
        <f>VLOOKUP(A109,[1]Feuil1!$A:$V,20,FALSE)</f>
        <v xml:space="preserve">CLIENT </v>
      </c>
      <c r="U109" s="8"/>
      <c r="V109" s="8" t="str">
        <f>VLOOKUP(A109,[1]Feuil1!$A:$V,22,FALSE)</f>
        <v>Projet</v>
      </c>
    </row>
    <row r="110" spans="1:22" ht="48" x14ac:dyDescent="0.35">
      <c r="A110" s="3">
        <v>59813505</v>
      </c>
      <c r="B110" s="4">
        <v>46093.557256944441</v>
      </c>
      <c r="C110" s="3">
        <v>60137642</v>
      </c>
      <c r="D110" s="4">
        <v>46099.71303240741</v>
      </c>
      <c r="E110" s="3" t="s">
        <v>215</v>
      </c>
      <c r="F110" s="3" t="s">
        <v>241</v>
      </c>
      <c r="G110" s="3">
        <v>706727287</v>
      </c>
      <c r="H110" s="3" t="s">
        <v>242</v>
      </c>
      <c r="I110" s="3" t="s">
        <v>2</v>
      </c>
      <c r="J110" s="3" t="s">
        <v>10</v>
      </c>
      <c r="K110" s="3" t="s">
        <v>223</v>
      </c>
      <c r="L110" s="3" t="s">
        <v>30</v>
      </c>
      <c r="M110" s="3" t="s">
        <v>20</v>
      </c>
      <c r="N110" s="3" t="s">
        <v>73</v>
      </c>
      <c r="O110" s="3" t="s">
        <v>2</v>
      </c>
      <c r="P110" s="3" t="s">
        <v>2</v>
      </c>
      <c r="Q110" s="3">
        <v>0</v>
      </c>
      <c r="R110" s="8">
        <f t="shared" ca="1" si="1"/>
        <v>18</v>
      </c>
      <c r="S110" s="8" t="str">
        <f>VLOOKUP(A110,[1]Feuil1!$A:$V,19,FALSE)</f>
        <v>NON</v>
      </c>
      <c r="T110" s="8" t="s">
        <v>330</v>
      </c>
      <c r="U110" s="8" t="str">
        <f>VLOOKUP(A110,[1]Feuil1!$A:$V,21,FALSE)</f>
        <v>Projet ingénierie</v>
      </c>
      <c r="V110" s="8" t="s">
        <v>331</v>
      </c>
    </row>
    <row r="111" spans="1:22" ht="60" x14ac:dyDescent="0.35">
      <c r="A111" s="3">
        <v>59816396</v>
      </c>
      <c r="B111" s="4">
        <v>46093.580590277779</v>
      </c>
      <c r="C111" s="3">
        <v>60137506</v>
      </c>
      <c r="D111" s="4">
        <v>46099.711053240739</v>
      </c>
      <c r="E111" s="3" t="s">
        <v>215</v>
      </c>
      <c r="F111" s="3" t="s">
        <v>243</v>
      </c>
      <c r="G111" s="3">
        <v>506727287</v>
      </c>
      <c r="H111" s="3" t="s">
        <v>244</v>
      </c>
      <c r="I111" s="3">
        <v>1848446</v>
      </c>
      <c r="J111" s="3" t="s">
        <v>66</v>
      </c>
      <c r="K111" s="3" t="s">
        <v>223</v>
      </c>
      <c r="L111" s="3" t="s">
        <v>30</v>
      </c>
      <c r="M111" s="3" t="s">
        <v>20</v>
      </c>
      <c r="N111" s="3" t="s">
        <v>73</v>
      </c>
      <c r="O111" s="3" t="s">
        <v>26</v>
      </c>
      <c r="P111" s="3" t="s">
        <v>2</v>
      </c>
      <c r="Q111" s="3">
        <v>0</v>
      </c>
      <c r="R111" s="8">
        <f t="shared" ca="1" si="1"/>
        <v>18</v>
      </c>
      <c r="S111" s="8" t="str">
        <f>VLOOKUP(A111,[1]Feuil1!$A:$V,19,FALSE)</f>
        <v>NON</v>
      </c>
      <c r="T111" s="8" t="s">
        <v>330</v>
      </c>
      <c r="U111" s="8" t="str">
        <f>VLOOKUP(A111,[1]Feuil1!$A:$V,21,FALSE)</f>
        <v>Projet ingénierie</v>
      </c>
      <c r="V111" s="8" t="s">
        <v>331</v>
      </c>
    </row>
    <row r="112" spans="1:22" ht="48" x14ac:dyDescent="0.35">
      <c r="A112" s="3">
        <v>59820678</v>
      </c>
      <c r="B112" s="4">
        <v>46093.612222222226</v>
      </c>
      <c r="C112" s="3">
        <v>60208764</v>
      </c>
      <c r="D112" s="4">
        <v>46100.766909722224</v>
      </c>
      <c r="E112" s="3" t="s">
        <v>215</v>
      </c>
      <c r="F112" s="3" t="s">
        <v>245</v>
      </c>
      <c r="G112" s="3">
        <v>506727287</v>
      </c>
      <c r="H112" s="3" t="s">
        <v>246</v>
      </c>
      <c r="I112" s="3" t="s">
        <v>2</v>
      </c>
      <c r="J112" s="3" t="s">
        <v>10</v>
      </c>
      <c r="K112" s="3" t="s">
        <v>223</v>
      </c>
      <c r="L112" s="3" t="s">
        <v>30</v>
      </c>
      <c r="M112" s="3" t="s">
        <v>20</v>
      </c>
      <c r="N112" s="3" t="s">
        <v>73</v>
      </c>
      <c r="O112" s="3" t="s">
        <v>2</v>
      </c>
      <c r="P112" s="3" t="s">
        <v>2</v>
      </c>
      <c r="Q112" s="3">
        <v>0</v>
      </c>
      <c r="R112" s="8">
        <f t="shared" ca="1" si="1"/>
        <v>18</v>
      </c>
      <c r="S112" s="8" t="str">
        <f>VLOOKUP(A112,[1]Feuil1!$A:$V,19,FALSE)</f>
        <v>NON</v>
      </c>
      <c r="T112" s="8" t="s">
        <v>330</v>
      </c>
      <c r="U112" s="8" t="str">
        <f>VLOOKUP(A112,[1]Feuil1!$A:$V,21,FALSE)</f>
        <v>Projet ingénierie</v>
      </c>
      <c r="V112" s="8" t="s">
        <v>331</v>
      </c>
    </row>
    <row r="113" spans="1:22" ht="48" x14ac:dyDescent="0.35">
      <c r="A113" s="3">
        <v>59824550</v>
      </c>
      <c r="B113" s="4">
        <v>46093.6405787037</v>
      </c>
      <c r="C113" s="3">
        <v>60733506</v>
      </c>
      <c r="D113" s="4">
        <v>46111.394432870373</v>
      </c>
      <c r="E113" s="3" t="s">
        <v>27</v>
      </c>
      <c r="F113" s="3" t="s">
        <v>247</v>
      </c>
      <c r="G113" s="3">
        <v>506727287</v>
      </c>
      <c r="H113" s="3" t="s">
        <v>248</v>
      </c>
      <c r="I113" s="3" t="s">
        <v>2</v>
      </c>
      <c r="J113" s="3" t="s">
        <v>10</v>
      </c>
      <c r="K113" s="3" t="s">
        <v>25</v>
      </c>
      <c r="L113" s="3" t="s">
        <v>30</v>
      </c>
      <c r="M113" s="3" t="s">
        <v>20</v>
      </c>
      <c r="N113" s="3" t="s">
        <v>13</v>
      </c>
      <c r="O113" s="3" t="s">
        <v>118</v>
      </c>
      <c r="P113" s="3" t="s">
        <v>2</v>
      </c>
      <c r="Q113" s="3">
        <v>0</v>
      </c>
      <c r="R113" s="8">
        <f t="shared" ca="1" si="1"/>
        <v>18</v>
      </c>
      <c r="S113" s="8" t="str">
        <f>VLOOKUP(A113,[1]Feuil1!$A:$V,19,FALSE)</f>
        <v>NON</v>
      </c>
      <c r="T113" s="8" t="s">
        <v>330</v>
      </c>
      <c r="U113" s="8" t="str">
        <f>VLOOKUP(A113,[1]Feuil1!$A:$V,21,FALSE)</f>
        <v>Projet ingénierie</v>
      </c>
      <c r="V113" s="8" t="s">
        <v>331</v>
      </c>
    </row>
    <row r="114" spans="1:22" ht="24" x14ac:dyDescent="0.35">
      <c r="A114" s="3">
        <v>59894743</v>
      </c>
      <c r="B114" s="4">
        <v>46094.687673611108</v>
      </c>
      <c r="C114" s="3">
        <v>60454133</v>
      </c>
      <c r="D114" s="4">
        <v>46106.366770833331</v>
      </c>
      <c r="E114" s="3" t="s">
        <v>34</v>
      </c>
      <c r="F114" s="3" t="s">
        <v>249</v>
      </c>
      <c r="G114" s="3">
        <v>759668146</v>
      </c>
      <c r="H114" s="3" t="s">
        <v>96</v>
      </c>
      <c r="I114" s="3" t="s">
        <v>2</v>
      </c>
      <c r="J114" s="3" t="s">
        <v>10</v>
      </c>
      <c r="K114" s="3" t="s">
        <v>25</v>
      </c>
      <c r="L114" s="3" t="s">
        <v>30</v>
      </c>
      <c r="M114" s="3" t="s">
        <v>20</v>
      </c>
      <c r="N114" s="3" t="s">
        <v>13</v>
      </c>
      <c r="O114" s="3" t="s">
        <v>39</v>
      </c>
      <c r="P114" s="3" t="s">
        <v>2</v>
      </c>
      <c r="Q114" s="3" t="s">
        <v>2</v>
      </c>
      <c r="R114" s="8">
        <f t="shared" ca="1" si="1"/>
        <v>17</v>
      </c>
      <c r="S114" s="8" t="s">
        <v>320</v>
      </c>
      <c r="T114" s="8" t="s">
        <v>173</v>
      </c>
      <c r="U114" s="8"/>
      <c r="V114" s="8" t="s">
        <v>332</v>
      </c>
    </row>
    <row r="115" spans="1:22" ht="60" x14ac:dyDescent="0.35">
      <c r="A115" s="3">
        <v>60026486</v>
      </c>
      <c r="B115" s="4">
        <v>46098.36173611111</v>
      </c>
      <c r="C115" s="3">
        <v>60121930</v>
      </c>
      <c r="D115" s="4">
        <v>46099.594039351854</v>
      </c>
      <c r="E115" s="3" t="s">
        <v>163</v>
      </c>
      <c r="F115" s="3" t="s">
        <v>236</v>
      </c>
      <c r="G115" s="3">
        <v>506727287</v>
      </c>
      <c r="H115" s="3" t="s">
        <v>84</v>
      </c>
      <c r="I115" s="3" t="s">
        <v>2</v>
      </c>
      <c r="J115" s="3" t="s">
        <v>10</v>
      </c>
      <c r="K115" s="3" t="s">
        <v>223</v>
      </c>
      <c r="L115" s="3" t="s">
        <v>30</v>
      </c>
      <c r="M115" s="3" t="s">
        <v>20</v>
      </c>
      <c r="N115" s="3" t="s">
        <v>13</v>
      </c>
      <c r="O115" s="3" t="s">
        <v>2</v>
      </c>
      <c r="P115" s="3" t="s">
        <v>2</v>
      </c>
      <c r="Q115" s="3">
        <v>0</v>
      </c>
      <c r="R115" s="8">
        <f t="shared" ca="1" si="1"/>
        <v>15</v>
      </c>
      <c r="S115" s="8" t="s">
        <v>320</v>
      </c>
      <c r="T115" s="8" t="s">
        <v>330</v>
      </c>
      <c r="U115" s="8" t="s">
        <v>321</v>
      </c>
      <c r="V115" s="8" t="s">
        <v>332</v>
      </c>
    </row>
    <row r="116" spans="1:22" ht="48" x14ac:dyDescent="0.35">
      <c r="A116" s="3">
        <v>60154802</v>
      </c>
      <c r="B116" s="4">
        <v>46100.305405092593</v>
      </c>
      <c r="C116" s="3">
        <v>60986668</v>
      </c>
      <c r="D116" s="4">
        <v>46115.251770833333</v>
      </c>
      <c r="E116" s="3" t="s">
        <v>240</v>
      </c>
      <c r="F116" s="3" t="s">
        <v>51</v>
      </c>
      <c r="G116" s="3">
        <v>707225975</v>
      </c>
      <c r="H116" s="3" t="s">
        <v>96</v>
      </c>
      <c r="I116" s="3" t="s">
        <v>2</v>
      </c>
      <c r="J116" s="3" t="s">
        <v>3</v>
      </c>
      <c r="K116" s="3" t="s">
        <v>220</v>
      </c>
      <c r="L116" s="3" t="s">
        <v>5</v>
      </c>
      <c r="M116" s="3" t="s">
        <v>6</v>
      </c>
      <c r="N116" s="3" t="s">
        <v>13</v>
      </c>
      <c r="O116" s="3">
        <v>2722520140</v>
      </c>
      <c r="P116" s="3" t="s">
        <v>2</v>
      </c>
      <c r="Q116" s="3" t="s">
        <v>2</v>
      </c>
      <c r="R116" s="8">
        <f t="shared" ca="1" si="1"/>
        <v>13</v>
      </c>
      <c r="S116" s="8" t="s">
        <v>320</v>
      </c>
      <c r="T116" s="8" t="s">
        <v>330</v>
      </c>
      <c r="U116" s="8" t="s">
        <v>322</v>
      </c>
      <c r="V116" s="8" t="s">
        <v>332</v>
      </c>
    </row>
    <row r="117" spans="1:22" ht="60" x14ac:dyDescent="0.35">
      <c r="A117" s="3">
        <v>60190035</v>
      </c>
      <c r="B117" s="4">
        <v>46100.619201388887</v>
      </c>
      <c r="C117" s="3">
        <v>60960373</v>
      </c>
      <c r="D117" s="4">
        <v>46114.618854166663</v>
      </c>
      <c r="E117" s="3" t="s">
        <v>163</v>
      </c>
      <c r="F117" s="3" t="s">
        <v>250</v>
      </c>
      <c r="G117" s="3">
        <v>708142290</v>
      </c>
      <c r="H117" s="3" t="s">
        <v>84</v>
      </c>
      <c r="I117" s="3" t="s">
        <v>2</v>
      </c>
      <c r="J117" s="3" t="s">
        <v>155</v>
      </c>
      <c r="K117" s="3" t="s">
        <v>4</v>
      </c>
      <c r="L117" s="3" t="s">
        <v>5</v>
      </c>
      <c r="M117" s="3" t="s">
        <v>6</v>
      </c>
      <c r="N117" s="3" t="s">
        <v>13</v>
      </c>
      <c r="O117" s="3" t="s">
        <v>202</v>
      </c>
      <c r="P117" s="3" t="s">
        <v>2</v>
      </c>
      <c r="Q117" s="3" t="s">
        <v>2</v>
      </c>
      <c r="R117" s="8">
        <f t="shared" ca="1" si="1"/>
        <v>13</v>
      </c>
      <c r="S117" s="8" t="s">
        <v>320</v>
      </c>
      <c r="T117" s="8" t="s">
        <v>323</v>
      </c>
      <c r="U117" s="8" t="e">
        <f>VLOOKUP(A117,[1]Feuil1!$A:$V,21,FALSE)</f>
        <v>#N/A</v>
      </c>
      <c r="V117" s="8" t="s">
        <v>332</v>
      </c>
    </row>
    <row r="118" spans="1:22" ht="24" x14ac:dyDescent="0.35">
      <c r="A118" s="3">
        <v>60356605</v>
      </c>
      <c r="B118" s="4">
        <v>46104.623726851853</v>
      </c>
      <c r="C118" s="3">
        <v>60858723</v>
      </c>
      <c r="D118" s="4">
        <v>46112.992465277777</v>
      </c>
      <c r="E118" s="3" t="s">
        <v>27</v>
      </c>
      <c r="F118" s="3" t="s">
        <v>251</v>
      </c>
      <c r="G118" s="3">
        <v>504001081</v>
      </c>
      <c r="H118" s="3" t="s">
        <v>252</v>
      </c>
      <c r="I118" s="3" t="s">
        <v>2</v>
      </c>
      <c r="J118" s="3" t="s">
        <v>10</v>
      </c>
      <c r="K118" s="3" t="s">
        <v>25</v>
      </c>
      <c r="L118" s="3" t="s">
        <v>30</v>
      </c>
      <c r="M118" s="3" t="s">
        <v>6</v>
      </c>
      <c r="N118" s="3" t="s">
        <v>13</v>
      </c>
      <c r="O118" s="3" t="s">
        <v>183</v>
      </c>
      <c r="P118" s="3" t="s">
        <v>2</v>
      </c>
      <c r="Q118" s="3" t="s">
        <v>253</v>
      </c>
      <c r="R118" s="8">
        <f t="shared" ca="1" si="1"/>
        <v>11</v>
      </c>
      <c r="S118" s="8" t="s">
        <v>320</v>
      </c>
      <c r="T118" s="8" t="s">
        <v>323</v>
      </c>
      <c r="U118" s="8" t="s">
        <v>324</v>
      </c>
      <c r="V118" s="8" t="s">
        <v>332</v>
      </c>
    </row>
    <row r="119" spans="1:22" ht="24" x14ac:dyDescent="0.35">
      <c r="A119" s="3">
        <v>60358121</v>
      </c>
      <c r="B119" s="4">
        <v>46104.633344907408</v>
      </c>
      <c r="C119" s="3">
        <v>60996733</v>
      </c>
      <c r="D119" s="4">
        <v>46115.428668981483</v>
      </c>
      <c r="E119" s="3" t="s">
        <v>154</v>
      </c>
      <c r="F119" s="3" t="s">
        <v>251</v>
      </c>
      <c r="G119" s="3">
        <v>504001081</v>
      </c>
      <c r="H119" s="3" t="s">
        <v>254</v>
      </c>
      <c r="I119" s="3" t="s">
        <v>2</v>
      </c>
      <c r="J119" s="3" t="s">
        <v>10</v>
      </c>
      <c r="K119" s="3" t="s">
        <v>19</v>
      </c>
      <c r="L119" s="3" t="s">
        <v>30</v>
      </c>
      <c r="M119" s="3" t="s">
        <v>6</v>
      </c>
      <c r="N119" s="3" t="s">
        <v>13</v>
      </c>
      <c r="O119" s="3" t="s">
        <v>60</v>
      </c>
      <c r="P119" s="3" t="s">
        <v>2</v>
      </c>
      <c r="Q119" s="5">
        <v>500000</v>
      </c>
      <c r="R119" s="8">
        <f t="shared" ca="1" si="1"/>
        <v>11</v>
      </c>
      <c r="S119" s="8" t="s">
        <v>320</v>
      </c>
      <c r="T119" s="8" t="s">
        <v>330</v>
      </c>
      <c r="U119" s="8" t="s">
        <v>322</v>
      </c>
      <c r="V119" s="8" t="s">
        <v>332</v>
      </c>
    </row>
    <row r="120" spans="1:22" ht="60" x14ac:dyDescent="0.35">
      <c r="A120" s="3">
        <v>60395491</v>
      </c>
      <c r="B120" s="4">
        <v>46105.449062500003</v>
      </c>
      <c r="C120" s="3">
        <v>60948860</v>
      </c>
      <c r="D120" s="4">
        <v>46114.530127314814</v>
      </c>
      <c r="E120" s="3" t="s">
        <v>163</v>
      </c>
      <c r="F120" s="3" t="s">
        <v>255</v>
      </c>
      <c r="G120" s="3">
        <v>767747841</v>
      </c>
      <c r="H120" s="3" t="s">
        <v>225</v>
      </c>
      <c r="I120" s="3">
        <v>0</v>
      </c>
      <c r="J120" s="3" t="s">
        <v>3</v>
      </c>
      <c r="K120" s="3" t="s">
        <v>4</v>
      </c>
      <c r="L120" s="3" t="s">
        <v>5</v>
      </c>
      <c r="M120" s="3" t="s">
        <v>6</v>
      </c>
      <c r="N120" s="3" t="s">
        <v>13</v>
      </c>
      <c r="O120" s="3" t="s">
        <v>202</v>
      </c>
      <c r="P120" s="3" t="s">
        <v>2</v>
      </c>
      <c r="Q120" s="3" t="s">
        <v>2</v>
      </c>
      <c r="R120" s="8">
        <f t="shared" ca="1" si="1"/>
        <v>10</v>
      </c>
      <c r="S120" s="8" t="s">
        <v>320</v>
      </c>
      <c r="T120" s="8" t="s">
        <v>330</v>
      </c>
      <c r="U120" s="8" t="s">
        <v>322</v>
      </c>
      <c r="V120" s="8" t="s">
        <v>332</v>
      </c>
    </row>
    <row r="121" spans="1:22" ht="24" x14ac:dyDescent="0.35">
      <c r="A121" s="3">
        <v>60399905</v>
      </c>
      <c r="B121" s="4">
        <v>46105.484120370369</v>
      </c>
      <c r="C121" s="3">
        <v>60858724</v>
      </c>
      <c r="D121" s="4">
        <v>46112.992812500001</v>
      </c>
      <c r="E121" s="3" t="s">
        <v>27</v>
      </c>
      <c r="F121" s="3" t="s">
        <v>256</v>
      </c>
      <c r="G121" s="3">
        <v>504001081</v>
      </c>
      <c r="H121" s="3" t="s">
        <v>257</v>
      </c>
      <c r="I121" s="3" t="s">
        <v>2</v>
      </c>
      <c r="J121" s="3" t="s">
        <v>10</v>
      </c>
      <c r="K121" s="3" t="s">
        <v>25</v>
      </c>
      <c r="L121" s="3" t="s">
        <v>30</v>
      </c>
      <c r="M121" s="3" t="s">
        <v>6</v>
      </c>
      <c r="N121" s="3" t="s">
        <v>13</v>
      </c>
      <c r="O121" s="3" t="s">
        <v>118</v>
      </c>
      <c r="P121" s="3" t="s">
        <v>2</v>
      </c>
      <c r="Q121" s="5">
        <v>1000000</v>
      </c>
      <c r="R121" s="8">
        <f t="shared" ca="1" si="1"/>
        <v>10</v>
      </c>
      <c r="S121" s="8" t="s">
        <v>320</v>
      </c>
      <c r="T121" s="8" t="s">
        <v>330</v>
      </c>
      <c r="U121" s="8" t="s">
        <v>325</v>
      </c>
      <c r="V121" s="8" t="s">
        <v>332</v>
      </c>
    </row>
    <row r="122" spans="1:22" ht="24" x14ac:dyDescent="0.35">
      <c r="A122" s="3">
        <v>60410207</v>
      </c>
      <c r="B122" s="4">
        <v>46105.573414351849</v>
      </c>
      <c r="C122" s="3">
        <v>60858738</v>
      </c>
      <c r="D122" s="4">
        <v>46112.994791666664</v>
      </c>
      <c r="E122" s="3" t="s">
        <v>27</v>
      </c>
      <c r="F122" s="3" t="s">
        <v>258</v>
      </c>
      <c r="G122" s="3">
        <v>709254356</v>
      </c>
      <c r="H122" s="3" t="s">
        <v>128</v>
      </c>
      <c r="I122" s="3" t="s">
        <v>2</v>
      </c>
      <c r="J122" s="3" t="s">
        <v>18</v>
      </c>
      <c r="K122" s="3" t="s">
        <v>25</v>
      </c>
      <c r="L122" s="3" t="s">
        <v>12</v>
      </c>
      <c r="M122" s="3" t="s">
        <v>6</v>
      </c>
      <c r="N122" s="3" t="s">
        <v>13</v>
      </c>
      <c r="O122" s="3" t="s">
        <v>218</v>
      </c>
      <c r="P122" s="3" t="s">
        <v>2</v>
      </c>
      <c r="Q122" s="5">
        <v>2000000</v>
      </c>
      <c r="R122" s="8">
        <f t="shared" ca="1" si="1"/>
        <v>10</v>
      </c>
      <c r="S122" s="8" t="s">
        <v>320</v>
      </c>
      <c r="T122" s="8" t="s">
        <v>330</v>
      </c>
      <c r="U122" s="8" t="s">
        <v>325</v>
      </c>
      <c r="V122" s="8" t="s">
        <v>332</v>
      </c>
    </row>
    <row r="123" spans="1:22" ht="42" customHeight="1" x14ac:dyDescent="0.35">
      <c r="A123" s="3">
        <v>60416636</v>
      </c>
      <c r="B123" s="4">
        <v>46105.623402777775</v>
      </c>
      <c r="C123" s="3">
        <v>60973611</v>
      </c>
      <c r="D123" s="4">
        <v>46114.717997685184</v>
      </c>
      <c r="E123" s="3" t="s">
        <v>27</v>
      </c>
      <c r="F123" s="3" t="s">
        <v>259</v>
      </c>
      <c r="G123" s="3">
        <v>172818143</v>
      </c>
      <c r="H123" s="3" t="s">
        <v>165</v>
      </c>
      <c r="I123" s="3" t="s">
        <v>2</v>
      </c>
      <c r="J123" s="3" t="s">
        <v>10</v>
      </c>
      <c r="K123" s="3" t="s">
        <v>25</v>
      </c>
      <c r="L123" s="3" t="s">
        <v>30</v>
      </c>
      <c r="M123" s="3" t="s">
        <v>6</v>
      </c>
      <c r="N123" s="3" t="s">
        <v>13</v>
      </c>
      <c r="O123" s="3" t="s">
        <v>118</v>
      </c>
      <c r="P123" s="3" t="s">
        <v>2</v>
      </c>
      <c r="Q123" s="5">
        <v>500000</v>
      </c>
      <c r="R123" s="8">
        <f t="shared" ca="1" si="1"/>
        <v>10</v>
      </c>
      <c r="S123" s="8" t="s">
        <v>320</v>
      </c>
      <c r="T123" s="8" t="s">
        <v>330</v>
      </c>
      <c r="U123" s="8" t="s">
        <v>325</v>
      </c>
      <c r="V123" s="8" t="s">
        <v>332</v>
      </c>
    </row>
    <row r="124" spans="1:22" ht="41" customHeight="1" x14ac:dyDescent="0.35">
      <c r="A124" s="3">
        <v>60458135</v>
      </c>
      <c r="B124" s="4">
        <v>46106.415694444448</v>
      </c>
      <c r="C124" s="3">
        <v>60953112</v>
      </c>
      <c r="D124" s="4">
        <v>46114.564641203702</v>
      </c>
      <c r="E124" s="3" t="s">
        <v>86</v>
      </c>
      <c r="F124" s="3" t="s">
        <v>161</v>
      </c>
      <c r="G124" s="3">
        <v>708086472</v>
      </c>
      <c r="H124" s="3" t="s">
        <v>260</v>
      </c>
      <c r="I124" s="3" t="s">
        <v>2</v>
      </c>
      <c r="J124" s="3" t="s">
        <v>18</v>
      </c>
      <c r="K124" s="3" t="s">
        <v>25</v>
      </c>
      <c r="L124" s="3" t="s">
        <v>12</v>
      </c>
      <c r="M124" s="3" t="s">
        <v>20</v>
      </c>
      <c r="N124" s="3" t="s">
        <v>13</v>
      </c>
      <c r="O124" s="3" t="s">
        <v>261</v>
      </c>
      <c r="P124" s="3" t="s">
        <v>2</v>
      </c>
      <c r="Q124" s="3" t="s">
        <v>2</v>
      </c>
      <c r="R124" s="8">
        <f t="shared" ca="1" si="1"/>
        <v>9</v>
      </c>
      <c r="S124" s="8" t="s">
        <v>320</v>
      </c>
      <c r="T124" s="8" t="s">
        <v>173</v>
      </c>
      <c r="U124" s="8" t="s">
        <v>326</v>
      </c>
      <c r="V124" s="8" t="s">
        <v>331</v>
      </c>
    </row>
    <row r="125" spans="1:22" ht="24" x14ac:dyDescent="0.35">
      <c r="A125" s="3">
        <v>60458148</v>
      </c>
      <c r="B125" s="4">
        <v>46106.41574074074</v>
      </c>
      <c r="C125" s="3">
        <v>60800389</v>
      </c>
      <c r="D125" s="4">
        <v>46112.397928240738</v>
      </c>
      <c r="E125" s="3" t="s">
        <v>27</v>
      </c>
      <c r="F125" s="3" t="s">
        <v>161</v>
      </c>
      <c r="G125" s="3">
        <v>708086472</v>
      </c>
      <c r="H125" s="3" t="s">
        <v>260</v>
      </c>
      <c r="I125" s="3" t="s">
        <v>2</v>
      </c>
      <c r="J125" s="3" t="s">
        <v>18</v>
      </c>
      <c r="K125" s="3" t="s">
        <v>25</v>
      </c>
      <c r="L125" s="3" t="s">
        <v>12</v>
      </c>
      <c r="M125" s="3" t="s">
        <v>138</v>
      </c>
      <c r="N125" s="3" t="s">
        <v>13</v>
      </c>
      <c r="O125" s="3" t="s">
        <v>2</v>
      </c>
      <c r="P125" s="3" t="s">
        <v>2</v>
      </c>
      <c r="Q125" s="5">
        <v>580000</v>
      </c>
      <c r="R125" s="8">
        <f t="shared" ca="1" si="1"/>
        <v>9</v>
      </c>
      <c r="S125" s="8" t="s">
        <v>320</v>
      </c>
      <c r="T125" s="8" t="s">
        <v>330</v>
      </c>
      <c r="U125" s="8"/>
      <c r="V125" s="8" t="s">
        <v>331</v>
      </c>
    </row>
    <row r="126" spans="1:22" ht="36" x14ac:dyDescent="0.35">
      <c r="A126" s="3">
        <v>60461761</v>
      </c>
      <c r="B126" s="4">
        <v>46106.442974537036</v>
      </c>
      <c r="C126" s="3">
        <v>60950639</v>
      </c>
      <c r="D126" s="4">
        <v>46114.540810185186</v>
      </c>
      <c r="E126" s="3" t="s">
        <v>262</v>
      </c>
      <c r="F126" s="3" t="s">
        <v>161</v>
      </c>
      <c r="G126" s="3">
        <v>708086472</v>
      </c>
      <c r="H126" s="3" t="s">
        <v>88</v>
      </c>
      <c r="I126" s="3" t="s">
        <v>2</v>
      </c>
      <c r="J126" s="3" t="s">
        <v>18</v>
      </c>
      <c r="K126" s="3" t="s">
        <v>25</v>
      </c>
      <c r="L126" s="3" t="s">
        <v>12</v>
      </c>
      <c r="M126" s="3" t="s">
        <v>20</v>
      </c>
      <c r="N126" s="3" t="s">
        <v>73</v>
      </c>
      <c r="O126" s="3" t="s">
        <v>264</v>
      </c>
      <c r="P126" s="3" t="s">
        <v>2</v>
      </c>
      <c r="Q126" s="3" t="s">
        <v>2</v>
      </c>
      <c r="R126" s="8">
        <f t="shared" ca="1" si="1"/>
        <v>9</v>
      </c>
      <c r="S126" s="8" t="s">
        <v>320</v>
      </c>
      <c r="T126" s="8" t="s">
        <v>323</v>
      </c>
      <c r="U126" s="8" t="s">
        <v>327</v>
      </c>
      <c r="V126" s="8" t="s">
        <v>331</v>
      </c>
    </row>
    <row r="127" spans="1:22" ht="24" x14ac:dyDescent="0.35">
      <c r="A127" s="3">
        <v>60461778</v>
      </c>
      <c r="B127" s="4">
        <v>46106.443009259259</v>
      </c>
      <c r="C127" s="3">
        <v>60769067</v>
      </c>
      <c r="D127" s="4">
        <v>46111.661840277775</v>
      </c>
      <c r="E127" s="3" t="s">
        <v>34</v>
      </c>
      <c r="F127" s="3" t="s">
        <v>161</v>
      </c>
      <c r="G127" s="3">
        <v>708086472</v>
      </c>
      <c r="H127" s="3" t="s">
        <v>88</v>
      </c>
      <c r="I127" s="3" t="s">
        <v>2</v>
      </c>
      <c r="J127" s="3" t="s">
        <v>18</v>
      </c>
      <c r="K127" s="3" t="s">
        <v>25</v>
      </c>
      <c r="L127" s="3" t="s">
        <v>12</v>
      </c>
      <c r="M127" s="3" t="s">
        <v>138</v>
      </c>
      <c r="N127" s="3" t="s">
        <v>13</v>
      </c>
      <c r="O127" s="3" t="s">
        <v>2</v>
      </c>
      <c r="P127" s="3" t="s">
        <v>2</v>
      </c>
      <c r="Q127" s="5">
        <v>780000</v>
      </c>
      <c r="R127" s="8">
        <f t="shared" ca="1" si="1"/>
        <v>9</v>
      </c>
      <c r="S127" s="8" t="s">
        <v>320</v>
      </c>
      <c r="T127" s="8" t="s">
        <v>330</v>
      </c>
      <c r="U127" s="8"/>
      <c r="V127" s="8" t="s">
        <v>331</v>
      </c>
    </row>
    <row r="128" spans="1:22" ht="48" x14ac:dyDescent="0.35">
      <c r="A128" s="3">
        <v>60463210</v>
      </c>
      <c r="B128" s="4">
        <v>46106.455092592594</v>
      </c>
      <c r="C128" s="3">
        <v>60956008</v>
      </c>
      <c r="D128" s="4">
        <v>46114.585740740738</v>
      </c>
      <c r="E128" s="3" t="s">
        <v>86</v>
      </c>
      <c r="F128" s="3" t="s">
        <v>161</v>
      </c>
      <c r="G128" s="3">
        <v>708086472</v>
      </c>
      <c r="H128" s="3" t="s">
        <v>214</v>
      </c>
      <c r="I128" s="3" t="s">
        <v>2</v>
      </c>
      <c r="J128" s="3" t="s">
        <v>18</v>
      </c>
      <c r="K128" s="3" t="s">
        <v>25</v>
      </c>
      <c r="L128" s="3" t="s">
        <v>12</v>
      </c>
      <c r="M128" s="3" t="s">
        <v>20</v>
      </c>
      <c r="N128" s="3" t="s">
        <v>13</v>
      </c>
      <c r="O128" s="3" t="s">
        <v>2</v>
      </c>
      <c r="P128" s="3" t="s">
        <v>2</v>
      </c>
      <c r="Q128" s="3">
        <v>0</v>
      </c>
      <c r="R128" s="8">
        <f t="shared" ca="1" si="1"/>
        <v>9</v>
      </c>
      <c r="S128" s="8" t="s">
        <v>320</v>
      </c>
      <c r="T128" s="8" t="s">
        <v>330</v>
      </c>
      <c r="U128" s="8"/>
      <c r="V128" s="8" t="s">
        <v>331</v>
      </c>
    </row>
    <row r="129" spans="1:22" ht="48" x14ac:dyDescent="0.35">
      <c r="A129" s="3">
        <v>60472385</v>
      </c>
      <c r="B129" s="4">
        <v>46106.535451388889</v>
      </c>
      <c r="C129" s="3">
        <v>60957825</v>
      </c>
      <c r="D129" s="4">
        <v>46114.59642361111</v>
      </c>
      <c r="E129" s="3" t="s">
        <v>86</v>
      </c>
      <c r="F129" s="3" t="s">
        <v>265</v>
      </c>
      <c r="G129" s="3">
        <v>504001081</v>
      </c>
      <c r="H129" s="3" t="s">
        <v>266</v>
      </c>
      <c r="I129" s="3" t="s">
        <v>2</v>
      </c>
      <c r="J129" s="3" t="s">
        <v>3</v>
      </c>
      <c r="K129" s="3" t="s">
        <v>220</v>
      </c>
      <c r="L129" s="3" t="s">
        <v>5</v>
      </c>
      <c r="M129" s="3" t="s">
        <v>6</v>
      </c>
      <c r="N129" s="3" t="s">
        <v>13</v>
      </c>
      <c r="O129" s="3">
        <v>2721250000</v>
      </c>
      <c r="P129" s="3" t="s">
        <v>2</v>
      </c>
      <c r="Q129" s="3" t="s">
        <v>2</v>
      </c>
      <c r="R129" s="8">
        <f t="shared" ca="1" si="1"/>
        <v>9</v>
      </c>
      <c r="S129" s="8" t="s">
        <v>320</v>
      </c>
      <c r="T129" s="8" t="s">
        <v>330</v>
      </c>
      <c r="U129" s="8"/>
      <c r="V129" s="8" t="s">
        <v>332</v>
      </c>
    </row>
    <row r="130" spans="1:22" ht="36" x14ac:dyDescent="0.35">
      <c r="A130" s="3">
        <v>60486510</v>
      </c>
      <c r="B130" s="4">
        <v>46106.647210648145</v>
      </c>
      <c r="C130" s="3">
        <v>60960049</v>
      </c>
      <c r="D130" s="4">
        <v>46114.615104166667</v>
      </c>
      <c r="E130" s="3" t="s">
        <v>34</v>
      </c>
      <c r="F130" s="3" t="s">
        <v>267</v>
      </c>
      <c r="G130" s="3">
        <v>710060780</v>
      </c>
      <c r="H130" s="3" t="s">
        <v>225</v>
      </c>
      <c r="I130" s="3" t="s">
        <v>2</v>
      </c>
      <c r="J130" s="3" t="s">
        <v>155</v>
      </c>
      <c r="K130" s="3" t="s">
        <v>4</v>
      </c>
      <c r="L130" s="3" t="s">
        <v>5</v>
      </c>
      <c r="M130" s="3" t="s">
        <v>6</v>
      </c>
      <c r="N130" s="3" t="s">
        <v>13</v>
      </c>
      <c r="O130" s="3" t="s">
        <v>78</v>
      </c>
      <c r="P130" s="3" t="s">
        <v>2</v>
      </c>
      <c r="Q130" s="3" t="s">
        <v>2</v>
      </c>
      <c r="R130" s="8">
        <f t="shared" ref="R130:R141" ca="1" si="2">NETWORKDAYS(B130,TODAY())</f>
        <v>9</v>
      </c>
      <c r="S130" s="8" t="s">
        <v>320</v>
      </c>
      <c r="T130" s="8" t="s">
        <v>173</v>
      </c>
      <c r="U130" s="8" t="s">
        <v>328</v>
      </c>
      <c r="V130" s="8" t="s">
        <v>332</v>
      </c>
    </row>
    <row r="131" spans="1:22" ht="24" x14ac:dyDescent="0.35">
      <c r="A131" s="3">
        <v>60573620</v>
      </c>
      <c r="B131" s="4">
        <v>46107.848483796297</v>
      </c>
      <c r="C131" s="3">
        <v>60997024</v>
      </c>
      <c r="D131" s="4">
        <v>46115.43072916667</v>
      </c>
      <c r="E131" s="3" t="s">
        <v>154</v>
      </c>
      <c r="F131" s="3" t="s">
        <v>268</v>
      </c>
      <c r="G131" s="3">
        <v>575750228</v>
      </c>
      <c r="H131" s="3" t="s">
        <v>269</v>
      </c>
      <c r="I131" s="3" t="s">
        <v>2</v>
      </c>
      <c r="J131" s="3" t="s">
        <v>10</v>
      </c>
      <c r="K131" s="3" t="s">
        <v>25</v>
      </c>
      <c r="L131" s="3" t="s">
        <v>30</v>
      </c>
      <c r="M131" s="3" t="s">
        <v>270</v>
      </c>
      <c r="N131" s="3" t="s">
        <v>13</v>
      </c>
      <c r="O131" s="3" t="s">
        <v>21</v>
      </c>
      <c r="P131" s="3" t="s">
        <v>2</v>
      </c>
      <c r="Q131" s="5">
        <v>802977</v>
      </c>
      <c r="R131" s="8">
        <f t="shared" ca="1" si="2"/>
        <v>8</v>
      </c>
      <c r="S131" s="8" t="s">
        <v>320</v>
      </c>
      <c r="T131" s="8" t="s">
        <v>330</v>
      </c>
      <c r="U131" s="8" t="s">
        <v>329</v>
      </c>
      <c r="V131" s="8" t="s">
        <v>332</v>
      </c>
    </row>
    <row r="132" spans="1:22" ht="60" x14ac:dyDescent="0.35">
      <c r="A132" s="3">
        <v>60589306</v>
      </c>
      <c r="B132" s="4">
        <v>46108.367638888885</v>
      </c>
      <c r="C132" s="3">
        <v>60931828</v>
      </c>
      <c r="D132" s="4">
        <v>46114.4065162037</v>
      </c>
      <c r="E132" s="3" t="s">
        <v>86</v>
      </c>
      <c r="F132" s="3" t="s">
        <v>271</v>
      </c>
      <c r="G132" s="3">
        <v>707040612</v>
      </c>
      <c r="H132" s="3" t="s">
        <v>272</v>
      </c>
      <c r="I132" s="3" t="s">
        <v>2</v>
      </c>
      <c r="J132" s="3" t="s">
        <v>3</v>
      </c>
      <c r="K132" s="3" t="s">
        <v>220</v>
      </c>
      <c r="L132" s="3" t="s">
        <v>5</v>
      </c>
      <c r="M132" s="3" t="s">
        <v>6</v>
      </c>
      <c r="N132" s="3" t="s">
        <v>13</v>
      </c>
      <c r="O132" s="3">
        <v>2721351935</v>
      </c>
      <c r="P132" s="3" t="s">
        <v>2</v>
      </c>
      <c r="Q132" s="3" t="s">
        <v>2</v>
      </c>
      <c r="R132" s="8">
        <f t="shared" ca="1" si="2"/>
        <v>7</v>
      </c>
      <c r="S132" s="8" t="s">
        <v>320</v>
      </c>
      <c r="T132" s="8" t="s">
        <v>330</v>
      </c>
      <c r="U132" s="8"/>
      <c r="V132" s="8" t="s">
        <v>332</v>
      </c>
    </row>
    <row r="133" spans="1:22" ht="48" x14ac:dyDescent="0.35">
      <c r="A133" s="3">
        <v>60611946</v>
      </c>
      <c r="B133" s="4">
        <v>46108.544236111113</v>
      </c>
      <c r="C133" s="3">
        <v>60986705</v>
      </c>
      <c r="D133" s="4">
        <v>46115.263738425929</v>
      </c>
      <c r="E133" s="3" t="s">
        <v>240</v>
      </c>
      <c r="F133" s="3" t="s">
        <v>273</v>
      </c>
      <c r="G133" s="3">
        <v>707812141</v>
      </c>
      <c r="H133" s="3" t="s">
        <v>274</v>
      </c>
      <c r="I133" s="3" t="s">
        <v>2</v>
      </c>
      <c r="J133" s="3" t="s">
        <v>3</v>
      </c>
      <c r="K133" s="3" t="s">
        <v>220</v>
      </c>
      <c r="L133" s="3" t="s">
        <v>5</v>
      </c>
      <c r="M133" s="3" t="s">
        <v>6</v>
      </c>
      <c r="N133" s="3" t="s">
        <v>13</v>
      </c>
      <c r="O133" s="3">
        <v>2720238660</v>
      </c>
      <c r="P133" s="3" t="s">
        <v>2</v>
      </c>
      <c r="Q133" s="3" t="s">
        <v>2</v>
      </c>
      <c r="R133" s="8">
        <f t="shared" ca="1" si="2"/>
        <v>7</v>
      </c>
      <c r="S133" s="8" t="s">
        <v>320</v>
      </c>
      <c r="T133" s="8" t="s">
        <v>330</v>
      </c>
      <c r="U133" s="8"/>
      <c r="V133" s="8" t="s">
        <v>332</v>
      </c>
    </row>
    <row r="134" spans="1:22" ht="48" x14ac:dyDescent="0.35">
      <c r="A134" s="3">
        <v>60612374</v>
      </c>
      <c r="B134" s="4">
        <v>46108.549409722225</v>
      </c>
      <c r="C134" s="3">
        <v>60986687</v>
      </c>
      <c r="D134" s="4">
        <v>46115.260995370372</v>
      </c>
      <c r="E134" s="3" t="s">
        <v>240</v>
      </c>
      <c r="F134" s="3" t="s">
        <v>273</v>
      </c>
      <c r="G134" s="3">
        <v>707812141</v>
      </c>
      <c r="H134" s="3" t="s">
        <v>274</v>
      </c>
      <c r="I134" s="3" t="s">
        <v>2</v>
      </c>
      <c r="J134" s="3" t="s">
        <v>3</v>
      </c>
      <c r="K134" s="3" t="s">
        <v>220</v>
      </c>
      <c r="L134" s="3" t="s">
        <v>5</v>
      </c>
      <c r="M134" s="3" t="s">
        <v>6</v>
      </c>
      <c r="N134" s="3" t="s">
        <v>13</v>
      </c>
      <c r="O134" s="3">
        <v>2720238655</v>
      </c>
      <c r="P134" s="3" t="s">
        <v>2</v>
      </c>
      <c r="Q134" s="3" t="s">
        <v>2</v>
      </c>
      <c r="R134" s="8">
        <f t="shared" ca="1" si="2"/>
        <v>7</v>
      </c>
      <c r="S134" s="8" t="s">
        <v>320</v>
      </c>
      <c r="T134" s="8" t="s">
        <v>330</v>
      </c>
      <c r="U134" s="8"/>
      <c r="V134" s="8" t="s">
        <v>332</v>
      </c>
    </row>
    <row r="135" spans="1:22" ht="24" x14ac:dyDescent="0.35">
      <c r="A135" s="3">
        <v>60748674</v>
      </c>
      <c r="B135" s="4">
        <v>46111.511504629627</v>
      </c>
      <c r="C135" s="3">
        <v>60796634</v>
      </c>
      <c r="D135" s="4">
        <v>46112.356539351851</v>
      </c>
      <c r="E135" s="3" t="s">
        <v>154</v>
      </c>
      <c r="F135" s="3" t="s">
        <v>275</v>
      </c>
      <c r="G135" s="3">
        <v>767791237</v>
      </c>
      <c r="H135" s="3" t="s">
        <v>276</v>
      </c>
      <c r="I135" s="3" t="s">
        <v>2</v>
      </c>
      <c r="J135" s="3" t="s">
        <v>10</v>
      </c>
      <c r="K135" s="3" t="s">
        <v>25</v>
      </c>
      <c r="L135" s="3" t="s">
        <v>30</v>
      </c>
      <c r="M135" s="3" t="s">
        <v>20</v>
      </c>
      <c r="N135" s="3" t="s">
        <v>13</v>
      </c>
      <c r="O135" s="3" t="s">
        <v>2</v>
      </c>
      <c r="P135" s="3"/>
      <c r="Q135" s="3">
        <v>0</v>
      </c>
      <c r="R135" s="8">
        <f t="shared" ca="1" si="2"/>
        <v>6</v>
      </c>
      <c r="S135" s="8" t="s">
        <v>320</v>
      </c>
      <c r="T135" s="8" t="s">
        <v>330</v>
      </c>
      <c r="U135" s="8"/>
      <c r="V135" s="8" t="s">
        <v>332</v>
      </c>
    </row>
    <row r="136" spans="1:22" ht="24" x14ac:dyDescent="0.35">
      <c r="A136" s="3">
        <v>60760104</v>
      </c>
      <c r="B136" s="4">
        <v>46111.598865740743</v>
      </c>
      <c r="C136" s="3">
        <v>60973678</v>
      </c>
      <c r="D136" s="4">
        <v>46114.718564814815</v>
      </c>
      <c r="E136" s="3" t="s">
        <v>27</v>
      </c>
      <c r="F136" s="3" t="s">
        <v>277</v>
      </c>
      <c r="G136" s="3">
        <v>708187511</v>
      </c>
      <c r="H136" s="3" t="s">
        <v>278</v>
      </c>
      <c r="I136" s="3" t="s">
        <v>2</v>
      </c>
      <c r="J136" s="3" t="s">
        <v>3</v>
      </c>
      <c r="K136" s="3" t="s">
        <v>4</v>
      </c>
      <c r="L136" s="3" t="s">
        <v>5</v>
      </c>
      <c r="M136" s="3" t="s">
        <v>6</v>
      </c>
      <c r="N136" s="3" t="s">
        <v>13</v>
      </c>
      <c r="O136" s="3" t="s">
        <v>50</v>
      </c>
      <c r="P136" s="3" t="s">
        <v>2</v>
      </c>
      <c r="Q136" s="5">
        <v>150000</v>
      </c>
      <c r="R136" s="8">
        <f t="shared" ca="1" si="2"/>
        <v>6</v>
      </c>
      <c r="S136" s="8" t="s">
        <v>320</v>
      </c>
      <c r="T136" s="8" t="s">
        <v>330</v>
      </c>
      <c r="U136" s="8"/>
      <c r="V136" s="8" t="s">
        <v>332</v>
      </c>
    </row>
    <row r="137" spans="1:22" ht="48" x14ac:dyDescent="0.35">
      <c r="A137" s="3">
        <v>60845648</v>
      </c>
      <c r="B137" s="4">
        <v>46112.741215277776</v>
      </c>
      <c r="C137" s="3">
        <v>60845880</v>
      </c>
      <c r="D137" s="4">
        <v>46112.742881944447</v>
      </c>
      <c r="E137" s="3" t="s">
        <v>281</v>
      </c>
      <c r="F137" s="3" t="s">
        <v>279</v>
      </c>
      <c r="G137" s="3">
        <v>707204274</v>
      </c>
      <c r="H137" s="3" t="s">
        <v>280</v>
      </c>
      <c r="I137" s="3" t="s">
        <v>2</v>
      </c>
      <c r="J137" s="3" t="s">
        <v>18</v>
      </c>
      <c r="K137" s="3" t="s">
        <v>25</v>
      </c>
      <c r="L137" s="3" t="s">
        <v>12</v>
      </c>
      <c r="M137" s="3" t="s">
        <v>20</v>
      </c>
      <c r="N137" s="3" t="s">
        <v>13</v>
      </c>
      <c r="O137" s="3" t="s">
        <v>2</v>
      </c>
      <c r="P137" s="3" t="s">
        <v>2</v>
      </c>
      <c r="Q137" s="3" t="s">
        <v>2</v>
      </c>
      <c r="R137" s="8">
        <f t="shared" ca="1" si="2"/>
        <v>5</v>
      </c>
      <c r="S137" s="8" t="s">
        <v>320</v>
      </c>
      <c r="T137" s="8" t="s">
        <v>330</v>
      </c>
      <c r="U137" s="8"/>
      <c r="V137" s="8" t="s">
        <v>334</v>
      </c>
    </row>
    <row r="138" spans="1:22" ht="48" x14ac:dyDescent="0.35">
      <c r="A138" s="3">
        <v>60845660</v>
      </c>
      <c r="B138" s="4">
        <v>46112.741261574076</v>
      </c>
      <c r="C138" s="3">
        <v>60993704</v>
      </c>
      <c r="D138" s="4">
        <v>46115.404016203705</v>
      </c>
      <c r="E138" s="3" t="s">
        <v>282</v>
      </c>
      <c r="F138" s="3" t="s">
        <v>279</v>
      </c>
      <c r="G138" s="3">
        <v>707204274</v>
      </c>
      <c r="H138" s="3" t="s">
        <v>280</v>
      </c>
      <c r="I138" s="3" t="s">
        <v>2</v>
      </c>
      <c r="J138" s="3" t="s">
        <v>18</v>
      </c>
      <c r="K138" s="3" t="s">
        <v>25</v>
      </c>
      <c r="L138" s="3" t="s">
        <v>12</v>
      </c>
      <c r="M138" s="3" t="s">
        <v>138</v>
      </c>
      <c r="N138" s="3" t="s">
        <v>13</v>
      </c>
      <c r="O138" s="3" t="s">
        <v>2</v>
      </c>
      <c r="P138" s="3" t="s">
        <v>2</v>
      </c>
      <c r="Q138" s="5">
        <v>5324000</v>
      </c>
      <c r="R138" s="8">
        <f t="shared" ca="1" si="2"/>
        <v>5</v>
      </c>
      <c r="S138" s="8" t="s">
        <v>320</v>
      </c>
      <c r="T138" s="8" t="s">
        <v>330</v>
      </c>
      <c r="U138" s="8"/>
      <c r="V138" s="8" t="s">
        <v>334</v>
      </c>
    </row>
    <row r="139" spans="1:22" ht="36" x14ac:dyDescent="0.35">
      <c r="A139" s="3">
        <v>60868549</v>
      </c>
      <c r="B139" s="4">
        <v>46113.436076388891</v>
      </c>
      <c r="C139" s="3">
        <v>60994069</v>
      </c>
      <c r="D139" s="4">
        <v>46115.407627314817</v>
      </c>
      <c r="E139" s="3" t="s">
        <v>282</v>
      </c>
      <c r="F139" s="3" t="s">
        <v>283</v>
      </c>
      <c r="G139" s="3">
        <v>707672487</v>
      </c>
      <c r="H139" s="3" t="s">
        <v>96</v>
      </c>
      <c r="I139" s="3" t="s">
        <v>2</v>
      </c>
      <c r="J139" s="3" t="s">
        <v>3</v>
      </c>
      <c r="K139" s="3" t="s">
        <v>4</v>
      </c>
      <c r="L139" s="3" t="s">
        <v>5</v>
      </c>
      <c r="M139" s="3" t="s">
        <v>6</v>
      </c>
      <c r="N139" s="3" t="s">
        <v>13</v>
      </c>
      <c r="O139" s="3" t="s">
        <v>2</v>
      </c>
      <c r="P139" s="3" t="s">
        <v>2</v>
      </c>
      <c r="Q139" s="3" t="s">
        <v>2</v>
      </c>
      <c r="R139" s="8">
        <f t="shared" ca="1" si="2"/>
        <v>4</v>
      </c>
      <c r="S139" s="8" t="s">
        <v>320</v>
      </c>
      <c r="T139" s="8" t="s">
        <v>330</v>
      </c>
      <c r="U139" s="8"/>
      <c r="V139" s="8" t="s">
        <v>332</v>
      </c>
    </row>
    <row r="140" spans="1:22" ht="48" x14ac:dyDescent="0.35">
      <c r="A140" s="3">
        <v>60972166</v>
      </c>
      <c r="B140" s="4">
        <v>46114.708020833335</v>
      </c>
      <c r="C140" s="3">
        <v>60972200</v>
      </c>
      <c r="D140" s="4">
        <v>46114.708240740743</v>
      </c>
      <c r="E140" s="3" t="s">
        <v>263</v>
      </c>
      <c r="F140" s="3" t="s">
        <v>284</v>
      </c>
      <c r="G140" s="3">
        <v>160128782</v>
      </c>
      <c r="H140" s="3" t="s">
        <v>285</v>
      </c>
      <c r="I140" s="3" t="s">
        <v>2</v>
      </c>
      <c r="J140" s="3" t="s">
        <v>18</v>
      </c>
      <c r="K140" s="3" t="s">
        <v>25</v>
      </c>
      <c r="L140" s="3" t="s">
        <v>12</v>
      </c>
      <c r="M140" s="3" t="s">
        <v>6</v>
      </c>
      <c r="N140" s="3" t="s">
        <v>13</v>
      </c>
      <c r="O140" s="3" t="s">
        <v>2</v>
      </c>
      <c r="P140" s="3" t="s">
        <v>2</v>
      </c>
      <c r="Q140" s="5">
        <v>800000</v>
      </c>
      <c r="R140" s="8">
        <f t="shared" ca="1" si="2"/>
        <v>3</v>
      </c>
      <c r="S140" s="8" t="s">
        <v>320</v>
      </c>
      <c r="T140" s="8" t="s">
        <v>330</v>
      </c>
      <c r="U140" s="8"/>
      <c r="V140" s="8" t="s">
        <v>332</v>
      </c>
    </row>
    <row r="141" spans="1:22" ht="24" x14ac:dyDescent="0.35">
      <c r="A141" s="3">
        <v>60991432</v>
      </c>
      <c r="B141" s="4">
        <v>46115.387835648151</v>
      </c>
      <c r="C141" s="3">
        <v>60991459</v>
      </c>
      <c r="D141" s="4">
        <v>46115.388067129628</v>
      </c>
      <c r="E141" s="3" t="s">
        <v>263</v>
      </c>
      <c r="F141" s="3" t="s">
        <v>119</v>
      </c>
      <c r="G141" s="3">
        <v>707079088</v>
      </c>
      <c r="H141" s="3" t="s">
        <v>128</v>
      </c>
      <c r="I141" s="3" t="s">
        <v>2</v>
      </c>
      <c r="J141" s="3" t="s">
        <v>18</v>
      </c>
      <c r="K141" s="3" t="s">
        <v>25</v>
      </c>
      <c r="L141" s="3" t="s">
        <v>12</v>
      </c>
      <c r="M141" s="3" t="s">
        <v>6</v>
      </c>
      <c r="N141" s="3" t="s">
        <v>13</v>
      </c>
      <c r="O141" s="3" t="s">
        <v>2</v>
      </c>
      <c r="P141" s="3" t="s">
        <v>2</v>
      </c>
      <c r="Q141" s="5">
        <v>1600000</v>
      </c>
      <c r="R141" s="8">
        <f t="shared" ca="1" si="2"/>
        <v>2</v>
      </c>
      <c r="S141" s="8" t="s">
        <v>320</v>
      </c>
      <c r="T141" s="8" t="s">
        <v>330</v>
      </c>
      <c r="U141" s="8"/>
      <c r="V141" s="8" t="s">
        <v>332</v>
      </c>
    </row>
  </sheetData>
  <autoFilter ref="A1:V141" xr:uid="{00000000-0009-0000-0000-000000000000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2026-04-03T11:05:50Z</dcterms:created>
  <dcterms:modified xsi:type="dcterms:W3CDTF">2026-04-06T20:02:44Z</dcterms:modified>
</cp:coreProperties>
</file>