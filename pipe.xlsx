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XZRS8771\Downloads\"/>
    </mc:Choice>
  </mc:AlternateContent>
  <xr:revisionPtr revIDLastSave="0" documentId="13_ncr:1_{32A87453-714E-4BA2-87AA-2E8B6FA509A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Feuil1!$A$1:$U$180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0" i="1" l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5" i="1"/>
  <c r="R104" i="1"/>
  <c r="R103" i="1"/>
  <c r="R102" i="1"/>
  <c r="U7" i="1"/>
  <c r="U5" i="1"/>
  <c r="U8" i="1"/>
  <c r="U19" i="1"/>
  <c r="U25" i="1"/>
  <c r="U46" i="1"/>
  <c r="U102" i="1"/>
  <c r="U103" i="1"/>
  <c r="U104" i="1"/>
  <c r="U105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T3" i="1"/>
  <c r="T4" i="1"/>
  <c r="T5" i="1"/>
  <c r="T19" i="1"/>
  <c r="T102" i="1"/>
  <c r="T103" i="1"/>
  <c r="T104" i="1"/>
  <c r="T105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S16" i="1"/>
  <c r="S19" i="1"/>
  <c r="S22" i="1"/>
  <c r="S53" i="1"/>
  <c r="S54" i="1"/>
  <c r="T22" i="1"/>
  <c r="R1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7" i="1"/>
  <c r="S18" i="1"/>
  <c r="S20" i="1"/>
  <c r="S21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U23" i="1"/>
  <c r="U55" i="1"/>
  <c r="U89" i="1"/>
  <c r="U90" i="1"/>
  <c r="U91" i="1"/>
  <c r="U92" i="1"/>
  <c r="T10" i="1"/>
  <c r="T11" i="1"/>
  <c r="T12" i="1"/>
  <c r="T13" i="1"/>
  <c r="T14" i="1"/>
  <c r="T15" i="1"/>
  <c r="T16" i="1"/>
  <c r="T17" i="1"/>
  <c r="T18" i="1"/>
  <c r="T20" i="1"/>
  <c r="T21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</calcChain>
</file>

<file path=xl/sharedStrings.xml><?xml version="1.0" encoding="utf-8"?>
<sst xmlns="http://schemas.openxmlformats.org/spreadsheetml/2006/main" count="2138" uniqueCount="396">
  <si>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</si>
  <si>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</si>
  <si>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</si>
  <si>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</si>
  <si>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</si>
  <si>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</si>
  <si>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</si>
  <si>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</si>
  <si>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CMC NETWORKS</t>
  </si>
  <si>
    <t>DIA/ 5Mbps EXTA: NOEUD ICA PLATEAU REPUBLIQUE EXTB : PLATEAU DISTRICT AUTONOME AVENUE DELAFOSSE AXA</t>
  </si>
  <si>
    <t>BUVPN</t>
  </si>
  <si>
    <t>ftto</t>
  </si>
  <si>
    <t>LS</t>
  </si>
  <si>
    <t>Offert</t>
  </si>
  <si>
    <t>SYTHD250211</t>
  </si>
  <si>
    <t>Test et recette</t>
  </si>
  <si>
    <t>DISTRICT Autonome d'Abidjan avenue delafosse prolonge</t>
  </si>
  <si>
    <t>SYTHD250246</t>
  </si>
  <si>
    <t>AGENCE OCI 2PLTX ENA</t>
  </si>
  <si>
    <t>ABIDJAN-PLATEAU//A001 BD DE LA PAIX/</t>
  </si>
  <si>
    <t>IP Connect LL</t>
  </si>
  <si>
    <t>BCK</t>
  </si>
  <si>
    <t>BUVPN260016</t>
  </si>
  <si>
    <t>NOUVELLE PHARMACIE DE LA SANTE PUBLIQUE DE COTE D'IVOIRE</t>
  </si>
  <si>
    <t>BOUAKE ANTENNE REGIONALE.</t>
  </si>
  <si>
    <t>Backup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</si>
  <si>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</si>
  <si>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</si>
  <si>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</si>
  <si>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</si>
  <si>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</si>
  <si>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</si>
  <si>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</si>
  <si>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</si>
  <si>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</si>
  <si>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SYTRAN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</si>
  <si>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</si>
  <si>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</si>
  <si>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</si>
  <si>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</si>
  <si>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</si>
  <si>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</si>
  <si>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</si>
  <si>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XXXXXXXXXX</t>
  </si>
  <si>
    <t>AERIA LSI VITIB</t>
  </si>
  <si>
    <t>GRAND-BASSAM VITIB</t>
  </si>
  <si>
    <t>SYTHD250340</t>
  </si>
  <si>
    <t>Principale (avec backup)</t>
  </si>
  <si>
    <t>SYTHD250339</t>
  </si>
  <si>
    <t>AERIA BUVPN 1 VITIB</t>
  </si>
  <si>
    <t>BUVPN250197</t>
  </si>
  <si>
    <t>GRAND-BASSAM//VOIE INCONNUE/VITIB 07 09 73 86 05</t>
  </si>
  <si>
    <t>BUVPN250196</t>
  </si>
  <si>
    <t>AFG ASSURANCES IARDT COTE D'IVOIRE</t>
  </si>
  <si>
    <t>COCODY CITE DES ARTS.</t>
  </si>
  <si>
    <t>ftto_virage</t>
  </si>
  <si>
    <t>AERIA BUVPN 2 AEROPORT</t>
  </si>
  <si>
    <t>ABIDJAN-PORT-BOUET//VOIE INCONNUE/AEROPORT FHB 0709254454</t>
  </si>
  <si>
    <t>BUVPN250202</t>
  </si>
  <si>
    <t>ABIDJAN-PORT-BOUET//VOIE INCONNUE/AEROPORT FHB 07 09 73 86 05</t>
  </si>
  <si>
    <t>BUVPN260007</t>
  </si>
  <si>
    <t>INQ COTE D'IVOIRE</t>
  </si>
  <si>
    <t>DIA: 10Mbps pop ICA REP PLATEAU NESTLE ZAMBAKRO</t>
  </si>
  <si>
    <t>SYTHD250363</t>
  </si>
  <si>
    <t>Wholesale : Mise en service GAIA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</si>
  <si>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</si>
  <si>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</si>
  <si>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</si>
  <si>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</si>
  <si>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</si>
  <si>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</si>
  <si>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</si>
  <si>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XXXXXXX</t>
  </si>
  <si>
    <t>Prestataire : Correction Conformite Travaux</t>
  </si>
  <si>
    <t>DGTCP</t>
  </si>
  <si>
    <t>COCODY ANGRE GESTOCI</t>
  </si>
  <si>
    <t>XXXXXXXX</t>
  </si>
  <si>
    <t>KWADO INTERNATIONAL FZ-LLC</t>
  </si>
  <si>
    <t>LIAISON SPECIALISEE</t>
  </si>
  <si>
    <t>SYTHD260019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</si>
  <si>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</si>
  <si>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</si>
  <si>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</si>
  <si>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</si>
  <si>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Technicien zone: Intervention</t>
  </si>
  <si>
    <t>OCCS</t>
  </si>
  <si>
    <t>COCODY ET YAKRO</t>
  </si>
  <si>
    <t>XXXXX</t>
  </si>
  <si>
    <t>STE REX HOTEL</t>
  </si>
  <si>
    <t>YAMOUSSOUKRO QUARTIER M'LOCK AMBASSADE</t>
  </si>
  <si>
    <t>SYTHD260065</t>
  </si>
  <si>
    <t>TOURNOI GOAL FOR A CAUSE</t>
  </si>
  <si>
    <t>MILLENIUM</t>
  </si>
  <si>
    <t>Temporaire</t>
  </si>
  <si>
    <t>SYTHD250367</t>
  </si>
  <si>
    <t>BO Homologation: Saisie GAIA</t>
  </si>
  <si>
    <t>Encours</t>
  </si>
  <si>
    <t>BO Homologation: Mise en service GAIA</t>
  </si>
  <si>
    <t>EXT A: DC Nsia Vallons EXT B: DC NSIA MAINONE AU VITB 2Gbps backhaul</t>
  </si>
  <si>
    <t>Etude Suspendu</t>
  </si>
  <si>
    <t>DIGICOM</t>
  </si>
  <si>
    <t>COCODY ANGRE DJIBI PRES CNPS.</t>
  </si>
  <si>
    <t>HUAWEI PROJET MINISTERE DE LA DEFENSE</t>
  </si>
  <si>
    <t>ABIDJAN-PORT-BOUET//VOIE INCONNUE/PORTBOUET</t>
  </si>
  <si>
    <t>NOM</t>
  </si>
  <si>
    <t>SYTHD260066</t>
  </si>
  <si>
    <t>HUAWEI</t>
  </si>
  <si>
    <t>YAMOUSSOUKRO</t>
  </si>
  <si>
    <t>SYTHD250396</t>
  </si>
  <si>
    <t>ABIDJAN-PORT-BOUET//VOIE INCONNUE/EXTREMITE NOMINAL A PORT BOUET</t>
  </si>
  <si>
    <t>SYTHD250400</t>
  </si>
  <si>
    <t>SYTHD250397</t>
  </si>
  <si>
    <t>SYTHD250401</t>
  </si>
  <si>
    <t>NPW FRESH &amp;DRY CI</t>
  </si>
  <si>
    <t>BONOUA AXE ABOISSO</t>
  </si>
  <si>
    <t>SYTHD250399</t>
  </si>
  <si>
    <t>ABOISSO</t>
  </si>
  <si>
    <t>SYTHD250412</t>
  </si>
  <si>
    <t>BOUNDIALI</t>
  </si>
  <si>
    <t>ABENGOUROU</t>
  </si>
  <si>
    <t>SYTHD250414</t>
  </si>
  <si>
    <t>ABIDJAN-PORT-BOUET//VOIE INCONNUE/EXTREMITE A PORT BOUET</t>
  </si>
  <si>
    <t>SYTHD250402</t>
  </si>
  <si>
    <t>BOUNA</t>
  </si>
  <si>
    <t>SYTHD250403</t>
  </si>
  <si>
    <t>FERKE</t>
  </si>
  <si>
    <t>SYTHD250404</t>
  </si>
  <si>
    <t>NANO</t>
  </si>
  <si>
    <t>YOPOUGON ANDOKOI</t>
  </si>
  <si>
    <t>T2</t>
  </si>
  <si>
    <t>TENGRELA</t>
  </si>
  <si>
    <t>SYTHD250405</t>
  </si>
  <si>
    <t>SEGUELA</t>
  </si>
  <si>
    <t>XXXXXXXXXXX</t>
  </si>
  <si>
    <t>ADIAKE</t>
  </si>
  <si>
    <t>1.000 000</t>
  </si>
  <si>
    <t>KONG</t>
  </si>
  <si>
    <t>KOUTO</t>
  </si>
  <si>
    <t>SYTHD250410</t>
  </si>
  <si>
    <t>MAN</t>
  </si>
  <si>
    <t>SYTHD250407</t>
  </si>
  <si>
    <t>SYTHD250411</t>
  </si>
  <si>
    <t>CONSEIL REGIONAL DE LA MARAHOUE</t>
  </si>
  <si>
    <t>BOUAFLE</t>
  </si>
  <si>
    <t>X</t>
  </si>
  <si>
    <t>INSTITUT NATIONAL DE CARDIOLOGIE</t>
  </si>
  <si>
    <t>BOUAKE</t>
  </si>
  <si>
    <t>DISTRICT AUTONOME DES LACS</t>
  </si>
  <si>
    <t>DIMBOKRO</t>
  </si>
  <si>
    <t>HOTEL LA GRACE KREGBE</t>
  </si>
  <si>
    <t>KREGBE//VOIE INCONNUE/DAOUKRO KREGBE</t>
  </si>
  <si>
    <t>SYTHD260009</t>
  </si>
  <si>
    <t>BGFI SERVICES SIMAO</t>
  </si>
  <si>
    <t>ABIDJAN-COCODY//VOIE INCONNUE/COCODY</t>
  </si>
  <si>
    <t>BUVPN260017</t>
  </si>
  <si>
    <t>GBELEBAN</t>
  </si>
  <si>
    <t>xxxx</t>
  </si>
  <si>
    <t>Responsable Zone: Coordination etude et travaux</t>
  </si>
  <si>
    <t>GOULIA</t>
  </si>
  <si>
    <t>QUIPUX AFRIQUE</t>
  </si>
  <si>
    <t>XXX</t>
  </si>
  <si>
    <t>SAMAGO</t>
  </si>
  <si>
    <t>COCODY</t>
  </si>
  <si>
    <t>TOUMODI</t>
  </si>
  <si>
    <t>BONGOUANOU</t>
  </si>
  <si>
    <t>QUIPUX</t>
  </si>
  <si>
    <t>MANKONO</t>
  </si>
  <si>
    <t>ND : BUVPN260014</t>
  </si>
  <si>
    <t>AGBOVILLE</t>
  </si>
  <si>
    <t>BUVPN260022</t>
  </si>
  <si>
    <t>Responsable Zone: Validation intervention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</si>
  <si>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</si>
  <si>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</si>
  <si>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</si>
  <si>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</si>
  <si>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</si>
  <si>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</si>
  <si>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</si>
  <si>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DEMANDE INTERNE PERMANENT : SITE ODA RIVIERA GOLF 4</t>
  </si>
  <si>
    <t>ABIDJAN-COCODY RIVIERA GOLF SITE ODA</t>
  </si>
  <si>
    <t>STE INTERNATIONALE D'ASSURANCE MULTIRISQUES</t>
  </si>
  <si>
    <t>ABIDJAN-PLATEAU AVENUE HOUDAI</t>
  </si>
  <si>
    <t>LCF GROUP SARL</t>
  </si>
  <si>
    <t>ABIDJAN-PLATEAU//VOIE INCONNUE/M.KPINSO 0171161677</t>
  </si>
  <si>
    <t>SYTHD260043</t>
  </si>
  <si>
    <t>ABIDJAN PORT-BOUET VITIB</t>
  </si>
  <si>
    <t>SYTHD260041</t>
  </si>
  <si>
    <t>STE CFAO MOBILTY COTE D'IVOIRE</t>
  </si>
  <si>
    <t>ABIDJAN-PLATEAU//VOIE INCONNUE/0709173657 / pngoran@cfao.com</t>
  </si>
  <si>
    <t>SYTHD260040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</si>
  <si>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</si>
  <si>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</si>
  <si>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</si>
  <si>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</si>
  <si>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</si>
  <si>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</si>
  <si>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</si>
  <si>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</si>
  <si>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</si>
  <si>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</si>
  <si>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</si>
  <si>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Cordonnateur Prestatataire: Affectation Technicien</t>
  </si>
  <si>
    <t>STE MUGEFCI</t>
  </si>
  <si>
    <t>PLATEAU</t>
  </si>
  <si>
    <t>BASE AERIENN D’ABIDJAN</t>
  </si>
  <si>
    <t>ABIDJAN AEROPORT</t>
  </si>
  <si>
    <t>BASE AERIENN KORHOGO</t>
  </si>
  <si>
    <t>KORHOGO</t>
  </si>
  <si>
    <t>FH</t>
  </si>
  <si>
    <t>BCEAO PLATEAU</t>
  </si>
  <si>
    <t>SYTHD260049</t>
  </si>
  <si>
    <t>EGLISE DE JESUS CHRIST DES SAINTS DES DERNIERS JOURS</t>
  </si>
  <si>
    <t>SYTHD190004</t>
  </si>
  <si>
    <t>BO Homologation: Saisie BSCS</t>
  </si>
  <si>
    <t>HUAWEI TECHNOLOGIE SAU</t>
  </si>
  <si>
    <t>MARCORY IMMEUBLE CAPSTONE 9E ETAGE</t>
  </si>
  <si>
    <t>SYTHD260058</t>
  </si>
  <si>
    <t>Huawei Technologies Cote d'Ivoire SAU</t>
  </si>
  <si>
    <t>ABIDJAN-PLATEAU//VOIE INCONNUE/PLATEAU IMMEUBLE PLAZZA</t>
  </si>
  <si>
    <t>SYTHD260059</t>
  </si>
  <si>
    <t>BANQUE AFRICAIN DE DEVELOPPEMENT</t>
  </si>
  <si>
    <t>SOFITEL HOTEL IVOIRE AUDITORIUM</t>
  </si>
  <si>
    <t>GEK CAPITAL</t>
  </si>
  <si>
    <t>SYTHD260067</t>
  </si>
  <si>
    <t>MAIRIE DE NIABLE</t>
  </si>
  <si>
    <t>NIABLE A LA MAIRIE</t>
  </si>
  <si>
    <t>TAABO LAMTO</t>
  </si>
  <si>
    <t>x</t>
  </si>
  <si>
    <t>SYTHD250359</t>
  </si>
  <si>
    <t>xxxxxxxxxx</t>
  </si>
  <si>
    <t>BUVPN250213</t>
  </si>
  <si>
    <t>AFRIX TELECOM</t>
  </si>
  <si>
    <t>EXT A : KM4 EXT B: CLS ACE ACCRA</t>
  </si>
  <si>
    <t>OT-FN-2026 001</t>
  </si>
  <si>
    <t>LYCEE PROFESSIONNEL METIER ENERGIES RENOUVELABLES</t>
  </si>
  <si>
    <t>ABIDJAN-YOPOUGON//VOIE INCONNUE/LYCEE TECHNIQUE ADMINISTRATION</t>
  </si>
  <si>
    <t>SYTHD260068</t>
  </si>
  <si>
    <t>COMPAGNIE DE TRANSFORMATION DU CAOUCHOUC IVOIRIEN</t>
  </si>
  <si>
    <t>COCODY 2 PLATEAUX</t>
  </si>
  <si>
    <t>DOUANES</t>
  </si>
  <si>
    <t>MARCORY ZONE 4 EUROFIND</t>
  </si>
  <si>
    <t>BUVPN260043</t>
  </si>
  <si>
    <t>OPERATION DE TRANSIT ET DE LOGISTIQUE</t>
  </si>
  <si>
    <t>PORT BOUET VRIDI ZONE INDUSTRIELLE</t>
  </si>
  <si>
    <t>BERNABE CI</t>
  </si>
  <si>
    <t>BOUAKE N'GATTAKRO</t>
  </si>
  <si>
    <t>SYTHD260069</t>
  </si>
  <si>
    <t>Responsable Zone: Validation pour intervention</t>
  </si>
  <si>
    <t>BANQUE DE L'UNION</t>
  </si>
  <si>
    <t>GRAND-BASSAM//VOIE INCONNUE/IMPERIAL</t>
  </si>
  <si>
    <t>SYTHD260070</t>
  </si>
  <si>
    <t>CONNECTED NETWORKS SERVICES</t>
  </si>
  <si>
    <t>PLATEAU AVENUE NOGUES</t>
  </si>
  <si>
    <t>xxxxxx</t>
  </si>
  <si>
    <t>COCODY RIVIERA PALMERAIE</t>
  </si>
  <si>
    <t>SYTHD260071</t>
  </si>
  <si>
    <t>UNITE SECTORIELLE D'EXECUTION DES PROJETS</t>
  </si>
  <si>
    <t>SYTHD260063</t>
  </si>
  <si>
    <t>MANCALA</t>
  </si>
  <si>
    <t>STE TEDIS PHARMA</t>
  </si>
  <si>
    <t>YOPOUGON</t>
  </si>
  <si>
    <t>MINISTERE DE LA DEFENSE</t>
  </si>
  <si>
    <t>CONSULTINGSTRATEGY &amp;CSOLUTIONS GROUP</t>
  </si>
  <si>
    <t>ABIDJAN COCODY</t>
  </si>
  <si>
    <t>SICTA</t>
  </si>
  <si>
    <t>MARCORY ZONE 4</t>
  </si>
  <si>
    <t>PC MARKET</t>
  </si>
  <si>
    <t>COCODY BONOUMIN</t>
  </si>
  <si>
    <t>ARTEMIS CONSTRUCTION ET TRAVAUX</t>
  </si>
  <si>
    <t>MFI CI (SODEXAM)</t>
  </si>
  <si>
    <t>PORT POUET ZONE AEROPORTUAIRE</t>
  </si>
  <si>
    <t>ZENITH BANK COTE D'IVOIRE</t>
  </si>
  <si>
    <t>ABIDJAN PLATEAU</t>
  </si>
  <si>
    <t>xxxxxxxxxxx</t>
  </si>
  <si>
    <t>ZENITH BANK COTE D4IVOIRE</t>
  </si>
  <si>
    <t>STE SINOAFRICK AUTO SARL</t>
  </si>
  <si>
    <t>COCODY RIVIERA 2</t>
  </si>
  <si>
    <t>CLINIQUE MEDICALE SPECIALISEE</t>
  </si>
  <si>
    <t>DIRECTION GENERALE DES DOUANES</t>
  </si>
  <si>
    <t>DJIGUI SHIPPING SITE TREICHVILLE CHU</t>
  </si>
  <si>
    <t>GREENWAYS TRANSIT SITE PORT BOUET VRIDI ZONE DIGUE</t>
  </si>
  <si>
    <t>XXXXXXXXXXXXX</t>
  </si>
  <si>
    <t>SEVEN SOLUTION SITE TREICHVILLE IMMEUBLE ARRIDWANE AV 21 RUE 15</t>
  </si>
  <si>
    <t>XXXXXXXXXXXX</t>
  </si>
  <si>
    <t>CAPEWEST LOGISTICS SITE MARCORY BIETRY IMMEUBLE SCI MINE 2EME ETAGE</t>
  </si>
  <si>
    <t>MUTUELLE GENERALE DES FONCTIONNAIRES DE COTE D'IVOIRE</t>
  </si>
  <si>
    <t>//VOIE INCONNUE/</t>
  </si>
  <si>
    <t>MUGEFCI</t>
  </si>
  <si>
    <t>TREICHVILLE</t>
  </si>
  <si>
    <t>BUVPN260041</t>
  </si>
  <si>
    <t>Prestataire : Etude</t>
  </si>
  <si>
    <t>DIMBOKRO//VOIE INCONNUE/DIMBOKRO</t>
  </si>
  <si>
    <t>ABENGOUROU//VOIE INCONNUE/ABENGOUROU</t>
  </si>
  <si>
    <t>BUVPN260037</t>
  </si>
  <si>
    <t>FRANCHISE DE WILLIAMSVILLE</t>
  </si>
  <si>
    <t>ABIDJAN WILLIAMSVILLE</t>
  </si>
  <si>
    <t>ABIDJAN-ADJAME//VOIE INCONNUE/WILLIAMSVILLE</t>
  </si>
  <si>
    <t>PRI</t>
  </si>
  <si>
    <t>BUVPN260046</t>
  </si>
  <si>
    <t>Transmission Plans Equipe Numerisation</t>
  </si>
  <si>
    <t>OCI PIA</t>
  </si>
  <si>
    <t>OCI PCCI 2</t>
  </si>
  <si>
    <t>ABIDJAN TREICHVILLE</t>
  </si>
  <si>
    <t>DEMANDE INTERNE FRANCHISE MANKONO</t>
  </si>
  <si>
    <t>MONKONO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</si>
  <si>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</si>
  <si>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</si>
  <si>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</si>
  <si>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</si>
  <si>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</si>
  <si>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</si>
  <si>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</si>
  <si>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</si>
  <si>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xxxxxxx</t>
  </si>
  <si>
    <t>STANDARD CHARTERED BANK</t>
  </si>
  <si>
    <t>GRAND-BASSAM//VOIE INCONNUE/VITIB</t>
  </si>
  <si>
    <t>BUVPN260044</t>
  </si>
  <si>
    <t>Support IP: Config Eq Acces</t>
  </si>
  <si>
    <t>MAIRIE DE OUELLE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</si>
  <si>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</si>
  <si>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</si>
  <si>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</si>
  <si>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</si>
  <si>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</si>
  <si>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PRIMORIS</t>
  </si>
  <si>
    <t>Support IP: Correction</t>
  </si>
  <si>
    <t>ABIDJAN-YOPOUGON//VOIE INCONNUE/ZONE INDUSTRIELLE</t>
  </si>
  <si>
    <t>SYTHD260073</t>
  </si>
  <si>
    <t>DOUANES IVOIRE TRANSIT TRANSPORT INTER ( ITTI )</t>
  </si>
  <si>
    <t>ABIDJAN-MARCORY ZONE4 RUE FLEMMING</t>
  </si>
  <si>
    <t>BUVPN200115</t>
  </si>
  <si>
    <t>TOP TELECOM SERVICES</t>
  </si>
  <si>
    <t>SYTHD260074</t>
  </si>
  <si>
    <t>FOUAD GROUPE</t>
  </si>
  <si>
    <t>BBF : Validation Etude</t>
  </si>
  <si>
    <t>BGFI SERVICE SIMAO</t>
  </si>
  <si>
    <t>COCODY VALON</t>
  </si>
  <si>
    <t>XXXXXXXXXXXXXX</t>
  </si>
  <si>
    <t>MARCORY</t>
  </si>
  <si>
    <t>TROPICALE TRANSIT SITE TREICHVILLE IMMEUBLE EN FACR DE SOGELUX</t>
  </si>
  <si>
    <t>FAMAN TRANSIT SITE TREICHVILLE EN FACE DE SOLIBRA SUR VGE</t>
  </si>
  <si>
    <t>HANNYYAH TRANSIT SITE TREICHVILLE VERS NOTRE DAME</t>
  </si>
  <si>
    <t>TREICHVILLE, ZONE PORTUAIRE RUE DES MARSOUINS</t>
  </si>
  <si>
    <t>xxxxxxxxx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</si>
  <si>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</si>
  <si>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</si>
  <si>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</si>
  <si>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</si>
  <si>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</si>
  <si>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</si>
  <si>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</si>
  <si>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</si>
  <si>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</si>
  <si>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</si>
  <si>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xxxxxxxxxxxxxxx</t>
  </si>
  <si>
    <t>CORIS BANK (BACKUP DU 2722223530 )</t>
  </si>
  <si>
    <t>ABIDJAN-COCODY 2 PLATEAUX</t>
  </si>
  <si>
    <t>BICICI PLATEAU (BACKUP DU 2720242424 )</t>
  </si>
  <si>
    <t>ABIDJAN-PLATEAU</t>
  </si>
  <si>
    <t>ETABLISSEMENT PUBLIC HOSPITALIER REGIONAL DE BOUAKE</t>
  </si>
  <si>
    <t>BOUAKE KENNEDY</t>
  </si>
  <si>
    <t>IP Delivery: Validation information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</si>
  <si>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</si>
  <si>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</si>
  <si>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</si>
  <si>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</si>
  <si>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</si>
  <si>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</si>
  <si>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</si>
  <si>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</si>
  <si>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</si>
  <si>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</si>
  <si>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</si>
  <si>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</si>
  <si>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</si>
  <si>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</si>
  <si>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</si>
  <si>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</si>
  <si>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</si>
  <si>
    <t>Durée demande</t>
  </si>
  <si>
    <t>Autorisation DDPE et autres</t>
  </si>
  <si>
    <t>Causes suspension</t>
  </si>
  <si>
    <t>Commentaire</t>
  </si>
  <si>
    <t>Frais en cours de paiement</t>
  </si>
  <si>
    <t xml:space="preserve">CLIENT </t>
  </si>
  <si>
    <t>Mise en service en cours</t>
  </si>
  <si>
    <t>Modification de l'architecture</t>
  </si>
  <si>
    <t>DDPE</t>
  </si>
  <si>
    <t>Attente Autorisation Client</t>
  </si>
  <si>
    <t>Travaux de GC</t>
  </si>
  <si>
    <t>Non</t>
  </si>
  <si>
    <t>non</t>
  </si>
  <si>
    <t>Problème sur le contact client. Conctact partagé hier 05/03/2026 pour le Survy</t>
  </si>
  <si>
    <t>Oui</t>
  </si>
  <si>
    <t>MAIRIE DU PLATEAU + AGEROUTE</t>
  </si>
  <si>
    <t>Local en chantier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</si>
</sst>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XTRACTION2702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pe"/>
      <sheetName val="Feuil2"/>
    </sheetNames>
    <sheetDataSet>
      <sheetData sheetId="0">
        <row r="1">
          <cell r="A1" t="str">
            <v>ID DOSSIER</v>
          </cell>
          <cell r="B1" t="str">
            <v>DATE CREATION DOSSIER</v>
          </cell>
          <cell r="C1" t="str">
            <v>ID TACHE</v>
          </cell>
          <cell r="D1" t="str">
            <v>DATE CREATION TACHE</v>
          </cell>
          <cell r="E1" t="str">
            <v>ETAPE</v>
          </cell>
          <cell r="F1" t="str">
            <v>CLIENT</v>
          </cell>
          <cell r="G1" t="str">
            <v>CONTACT</v>
          </cell>
          <cell r="H1" t="str">
            <v>ADR. GEO</v>
          </cell>
          <cell r="I1" t="str">
            <v>NoDEMANDE</v>
          </cell>
          <cell r="J1" t="str">
            <v>PRODUIT</v>
          </cell>
          <cell r="K1" t="str">
            <v>SUPPORT</v>
          </cell>
          <cell r="L1" t="str">
            <v>TYPE ABONNEMENT</v>
          </cell>
          <cell r="M1" t="str">
            <v>CARACTERISTIQUE</v>
          </cell>
          <cell r="N1" t="str">
            <v>STATUT</v>
          </cell>
          <cell r="O1" t="str">
            <v>REFERENCE</v>
          </cell>
          <cell r="P1" t="str">
            <v>RECURENT</v>
          </cell>
          <cell r="Q1" t="str">
            <v>MONTANT MS</v>
          </cell>
          <cell r="R1" t="str">
            <v>Durée demande</v>
          </cell>
          <cell r="S1" t="str">
            <v>Autorisation DDPE et autres</v>
          </cell>
          <cell r="T1" t="str">
            <v>Causes suspension</v>
          </cell>
          <cell r="U1" t="str">
            <v>Commentaire</v>
          </cell>
        </row>
        <row r="2">
          <cell r="A2">
            <v>24190516</v>
          </cell>
          <cell r="B2">
            <v>45261.503958333335</v>
          </cell>
          <cell r="C2">
            <v>59003747</v>
          </cell>
          <cell r="D2">
            <v>46079.522060185183</v>
          </cell>
          <cell r="E2" t="str">
            <v>Test et recette</v>
          </cell>
          <cell r="F2" t="str">
            <v>PALMAFRIQUE</v>
          </cell>
          <cell r="G2">
            <v>709899970</v>
          </cell>
          <cell r="H2" t="str">
            <v>SONGON</v>
          </cell>
          <cell r="I2" t="str">
            <v>-</v>
          </cell>
          <cell r="J2" t="str">
            <v>LSI Gold</v>
          </cell>
          <cell r="K2" t="str">
            <v>fo</v>
          </cell>
          <cell r="L2" t="str">
            <v>LSI</v>
          </cell>
          <cell r="M2" t="str">
            <v>Nominale</v>
          </cell>
          <cell r="N2" t="str">
            <v>Offert</v>
          </cell>
          <cell r="O2" t="str">
            <v>SYTHD250041</v>
          </cell>
          <cell r="P2" t="str">
            <v>-</v>
          </cell>
          <cell r="Q2">
            <v>8018371</v>
          </cell>
          <cell r="R2">
            <v>586</v>
          </cell>
          <cell r="S2" t="str">
            <v>Oui</v>
          </cell>
          <cell r="T2" t="str">
            <v xml:space="preserve">CLIENT </v>
          </cell>
          <cell r="U2" t="str">
            <v>DDPE</v>
          </cell>
        </row>
        <row r="3">
          <cell r="A3">
            <v>44970444</v>
          </cell>
          <cell r="B3">
            <v>45798.444131944445</v>
          </cell>
          <cell r="C3">
            <v>57086157</v>
          </cell>
          <cell r="D3">
            <v>46044.497789351852</v>
          </cell>
          <cell r="E3" t="str">
            <v>SIE : Mise en service GAIA</v>
          </cell>
          <cell r="F3" t="str">
            <v>AGILITY BUSINESS PARKS COTE D’IVOIRE</v>
          </cell>
          <cell r="G3">
            <v>777545168</v>
          </cell>
          <cell r="H3" t="str">
            <v>COCODY BLD LATRILLE</v>
          </cell>
          <cell r="I3" t="str">
            <v>-</v>
          </cell>
          <cell r="J3" t="str">
            <v>T0</v>
          </cell>
          <cell r="K3" t="str">
            <v>fo_virage</v>
          </cell>
          <cell r="L3" t="str">
            <v>numerique</v>
          </cell>
          <cell r="M3" t="str">
            <v>Nominale</v>
          </cell>
          <cell r="N3"/>
          <cell r="O3">
            <v>2723489300</v>
          </cell>
          <cell r="P3" t="str">
            <v>-</v>
          </cell>
          <cell r="Q3" t="str">
            <v>-</v>
          </cell>
          <cell r="R3">
            <v>203</v>
          </cell>
          <cell r="S3" t="str">
            <v>Oui</v>
          </cell>
          <cell r="T3" t="str">
            <v>N/A</v>
          </cell>
          <cell r="U3"/>
        </row>
        <row r="4">
          <cell r="A4">
            <v>47247106</v>
          </cell>
          <cell r="B4">
            <v>45848.499560185184</v>
          </cell>
          <cell r="C4">
            <v>58276730</v>
          </cell>
          <cell r="D4">
            <v>46066.541932870372</v>
          </cell>
          <cell r="E4" t="str">
            <v>Transmission Plans Equipe Numerisation</v>
          </cell>
          <cell r="F4" t="str">
            <v>SEA INVEST LOGISTIQUE</v>
          </cell>
          <cell r="G4">
            <v>757149486</v>
          </cell>
          <cell r="H4" t="str">
            <v>YOPOUGON PK23 SIL</v>
          </cell>
          <cell r="I4" t="str">
            <v>-</v>
          </cell>
          <cell r="J4" t="str">
            <v>SYTRAN</v>
          </cell>
          <cell r="K4" t="str">
            <v>fo</v>
          </cell>
          <cell r="L4" t="str">
            <v>LSI</v>
          </cell>
          <cell r="M4" t="str">
            <v>Principale (avec backup)</v>
          </cell>
          <cell r="N4" t="str">
            <v>Offert</v>
          </cell>
          <cell r="O4" t="str">
            <v>XXXX</v>
          </cell>
          <cell r="P4" t="str">
            <v>-</v>
          </cell>
          <cell r="Q4">
            <v>0</v>
          </cell>
          <cell r="R4">
            <v>167</v>
          </cell>
          <cell r="S4" t="str">
            <v>Oui</v>
          </cell>
          <cell r="T4" t="str">
            <v>N/A</v>
          </cell>
          <cell r="U4"/>
        </row>
        <row r="5">
          <cell r="A5">
            <v>47899159</v>
          </cell>
          <cell r="B5">
            <v>45861.733657407407</v>
          </cell>
          <cell r="C5">
            <v>57637756</v>
          </cell>
          <cell r="D5">
            <v>46055.480682870373</v>
          </cell>
          <cell r="E5" t="str">
            <v>Test et recette</v>
          </cell>
          <cell r="F5" t="str">
            <v>CMC NETWORKS</v>
          </cell>
          <cell r="G5">
            <v>824923429</v>
          </cell>
          <cell r="H5" t="str">
            <v>DIA/ 5Mbps EXTA: NOEUD ICA PLATEAU REPUBLIQUE EXTB : PLATEAU DISTRICT AUTONOME AVENUE DELAFOSSE AXA</v>
          </cell>
          <cell r="I5" t="str">
            <v>-</v>
          </cell>
          <cell r="J5" t="str">
            <v>BUVPN</v>
          </cell>
          <cell r="K5" t="str">
            <v>ftto</v>
          </cell>
          <cell r="L5" t="str">
            <v>LS</v>
          </cell>
          <cell r="M5" t="str">
            <v>Nominale</v>
          </cell>
          <cell r="N5" t="str">
            <v>Offert</v>
          </cell>
          <cell r="O5" t="str">
            <v>SYTHD250211</v>
          </cell>
          <cell r="P5" t="str">
            <v>-</v>
          </cell>
          <cell r="Q5" t="str">
            <v>-</v>
          </cell>
          <cell r="R5">
            <v>158</v>
          </cell>
          <cell r="S5" t="str">
            <v>Oui</v>
          </cell>
          <cell r="T5" t="str">
            <v xml:space="preserve">CLIENT </v>
          </cell>
          <cell r="U5" t="str">
            <v>DDPE</v>
          </cell>
        </row>
        <row r="6">
          <cell r="A6">
            <v>48425163</v>
          </cell>
          <cell r="B6">
            <v>45873.484803240739</v>
          </cell>
          <cell r="C6">
            <v>57991344</v>
          </cell>
          <cell r="D6">
            <v>46061.783773148149</v>
          </cell>
          <cell r="E6" t="str">
            <v>Test et recette</v>
          </cell>
          <cell r="F6" t="str">
            <v>CMC NETWORKS</v>
          </cell>
          <cell r="G6">
            <v>824923429</v>
          </cell>
          <cell r="H6" t="str">
            <v>DISTRICT Autonome d'Abidjan avenue delafosse prolonge</v>
          </cell>
          <cell r="I6" t="str">
            <v>-</v>
          </cell>
          <cell r="J6" t="str">
            <v>BUVPN</v>
          </cell>
          <cell r="K6" t="str">
            <v>ftto</v>
          </cell>
          <cell r="L6" t="str">
            <v>LS</v>
          </cell>
          <cell r="M6" t="str">
            <v>Nominale</v>
          </cell>
          <cell r="N6" t="str">
            <v>Offert</v>
          </cell>
          <cell r="O6" t="str">
            <v>SYTHD250246</v>
          </cell>
          <cell r="P6" t="str">
            <v>-</v>
          </cell>
          <cell r="Q6" t="str">
            <v>-</v>
          </cell>
          <cell r="R6">
            <v>150</v>
          </cell>
          <cell r="S6" t="str">
            <v>Oui</v>
          </cell>
          <cell r="T6" t="str">
            <v xml:space="preserve">CLIENT </v>
          </cell>
          <cell r="U6" t="str">
            <v>DDPE</v>
          </cell>
        </row>
        <row r="7">
          <cell r="A7">
            <v>50732535</v>
          </cell>
          <cell r="B7">
            <v>45918.466006944444</v>
          </cell>
          <cell r="C7">
            <v>57713964</v>
          </cell>
          <cell r="D7">
            <v>46056.553460648145</v>
          </cell>
          <cell r="E7" t="str">
            <v>Test et recette</v>
          </cell>
          <cell r="F7" t="str">
            <v>AGENCE OCI 2PLTX ENA</v>
          </cell>
          <cell r="G7">
            <v>707269600</v>
          </cell>
          <cell r="H7" t="str">
            <v>ABIDJAN-PLATEAU//A001 BD DE LA PAIX/</v>
          </cell>
          <cell r="I7">
            <v>2753435</v>
          </cell>
          <cell r="J7" t="str">
            <v>IP Connect LL</v>
          </cell>
          <cell r="K7" t="str">
            <v>ftto</v>
          </cell>
          <cell r="L7" t="str">
            <v>LS</v>
          </cell>
          <cell r="M7" t="str">
            <v>BCK</v>
          </cell>
          <cell r="N7" t="str">
            <v>Offert</v>
          </cell>
          <cell r="O7" t="str">
            <v>BUVPN260016</v>
          </cell>
          <cell r="P7" t="str">
            <v>-</v>
          </cell>
          <cell r="Q7" t="str">
            <v>-</v>
          </cell>
          <cell r="R7">
            <v>117</v>
          </cell>
          <cell r="S7" t="str">
            <v>Non</v>
          </cell>
          <cell r="T7" t="str">
            <v>OCI</v>
          </cell>
          <cell r="U7"/>
        </row>
        <row r="8">
          <cell r="A8">
            <v>51760632</v>
          </cell>
          <cell r="B8">
            <v>45938.521469907406</v>
          </cell>
          <cell r="C8">
            <v>58485492</v>
          </cell>
          <cell r="D8">
            <v>46070.678541666668</v>
          </cell>
          <cell r="E8" t="str">
            <v>Technicien zone: Intervention</v>
          </cell>
          <cell r="F8" t="str">
            <v>NOUVELLE PHARMACIE DE LA SANTE PUBLIQUE DE COTE D'IVOIRE</v>
          </cell>
          <cell r="G8">
            <v>556999292</v>
          </cell>
          <cell r="H8" t="str">
            <v>BOUAKE ANTENNE REGIONALE.</v>
          </cell>
          <cell r="I8" t="str">
            <v>-</v>
          </cell>
          <cell r="J8" t="str">
            <v>BUVPN</v>
          </cell>
          <cell r="K8" t="str">
            <v>ftto</v>
          </cell>
          <cell r="L8" t="str">
            <v>LS</v>
          </cell>
          <cell r="M8" t="str">
            <v>Backup</v>
          </cell>
          <cell r="N8" t="str">
            <v>Offert</v>
          </cell>
          <cell r="O8" t="str">
            <v>XXXX</v>
          </cell>
          <cell r="P8" t="str">
            <v>-</v>
          </cell>
          <cell r="Q8" t="str">
            <v>-</v>
          </cell>
          <cell r="R8">
            <v>103</v>
          </cell>
          <cell r="S8" t="str">
            <v>Non</v>
          </cell>
          <cell r="T8" t="str">
            <v xml:space="preserve">CLIENT </v>
          </cell>
          <cell r="U8"/>
        </row>
        <row r="9">
          <cell r="A9">
            <v>52096560</v>
          </cell>
          <cell r="B9">
            <v>45945.625486111108</v>
          </cell>
          <cell r="C9">
            <v>58426660</v>
          </cell>
          <cell r="D9">
            <v>46069.691388888888</v>
          </cell>
          <cell r="E9" t="str">
            <v>Transmission Plans Equipe Numerisation</v>
          </cell>
          <cell r="F9" t="str">
            <v>BGFI</v>
          </cell>
          <cell r="G9">
            <v>160128782</v>
          </cell>
          <cell r="H9" t="str">
            <v>ABIDJAN COCODY DANGA</v>
          </cell>
          <cell r="I9" t="str">
            <v>-</v>
          </cell>
          <cell r="J9" t="str">
            <v>BUVPN</v>
          </cell>
          <cell r="K9" t="str">
            <v>ftto</v>
          </cell>
          <cell r="L9" t="str">
            <v>LS</v>
          </cell>
          <cell r="M9" t="str">
            <v>Nominale</v>
          </cell>
          <cell r="N9" t="str">
            <v>Offert</v>
          </cell>
          <cell r="O9" t="str">
            <v>xxxxxxxxx</v>
          </cell>
          <cell r="P9" t="str">
            <v>-</v>
          </cell>
          <cell r="Q9">
            <v>600000</v>
          </cell>
          <cell r="R9">
            <v>98</v>
          </cell>
          <cell r="S9" t="str">
            <v>Non</v>
          </cell>
          <cell r="T9" t="str">
            <v xml:space="preserve">CLIENT </v>
          </cell>
          <cell r="U9" t="str">
            <v>inventaire / Maintenance dans la zone</v>
          </cell>
        </row>
        <row r="10">
          <cell r="A10">
            <v>52113952</v>
          </cell>
          <cell r="B10">
            <v>45945.774837962963</v>
          </cell>
          <cell r="C10">
            <v>58925237</v>
          </cell>
          <cell r="D10">
            <v>46078.42931712963</v>
          </cell>
          <cell r="E10" t="str">
            <v>Transmission Plans Equipe Numerisation</v>
          </cell>
          <cell r="F10" t="str">
            <v>OCCS</v>
          </cell>
          <cell r="G10">
            <v>708086759</v>
          </cell>
          <cell r="H10" t="str">
            <v>COCODY</v>
          </cell>
          <cell r="I10" t="str">
            <v>-</v>
          </cell>
          <cell r="J10" t="str">
            <v>SYTRAN</v>
          </cell>
          <cell r="K10" t="str">
            <v>ftto</v>
          </cell>
          <cell r="L10" t="str">
            <v>LSI</v>
          </cell>
          <cell r="M10" t="str">
            <v>Principale (avec backup)</v>
          </cell>
          <cell r="N10" t="str">
            <v>Offert</v>
          </cell>
          <cell r="O10" t="str">
            <v>XXXXXXXX</v>
          </cell>
          <cell r="P10" t="str">
            <v>-</v>
          </cell>
          <cell r="Q10">
            <v>78000</v>
          </cell>
          <cell r="R10">
            <v>98</v>
          </cell>
          <cell r="S10" t="str">
            <v>Non</v>
          </cell>
          <cell r="T10" t="str">
            <v>N/A</v>
          </cell>
          <cell r="U10" t="str">
            <v>Materiel</v>
          </cell>
        </row>
        <row r="11">
          <cell r="A11">
            <v>52448985</v>
          </cell>
          <cell r="B11">
            <v>45952.656354166669</v>
          </cell>
          <cell r="C11">
            <v>57267563</v>
          </cell>
          <cell r="D11">
            <v>46048.505671296298</v>
          </cell>
          <cell r="E11" t="str">
            <v>Prestataire : Travaux</v>
          </cell>
          <cell r="F11" t="str">
            <v>SIMDCI SA BONDOUKOU</v>
          </cell>
          <cell r="G11">
            <v>708086759</v>
          </cell>
          <cell r="H11" t="str">
            <v>BONDOUKOU A L'UNIVERSITE</v>
          </cell>
          <cell r="I11" t="str">
            <v>-</v>
          </cell>
          <cell r="J11" t="str">
            <v>BUVPN</v>
          </cell>
          <cell r="K11" t="str">
            <v>fo</v>
          </cell>
          <cell r="L11" t="str">
            <v>LS</v>
          </cell>
          <cell r="M11" t="str">
            <v>Backup</v>
          </cell>
          <cell r="N11" t="str">
            <v>Offert</v>
          </cell>
          <cell r="O11" t="str">
            <v>xxxxx</v>
          </cell>
          <cell r="P11" t="str">
            <v>-</v>
          </cell>
          <cell r="Q11" t="str">
            <v>-</v>
          </cell>
          <cell r="R11">
            <v>93</v>
          </cell>
          <cell r="S11" t="str">
            <v>Oui</v>
          </cell>
          <cell r="T11" t="str">
            <v>N/A</v>
          </cell>
          <cell r="U11" t="str">
            <v>Materiel</v>
          </cell>
        </row>
        <row r="12">
          <cell r="A12">
            <v>52561777</v>
          </cell>
          <cell r="B12">
            <v>45954.649918981479</v>
          </cell>
          <cell r="C12">
            <v>55451640</v>
          </cell>
          <cell r="D12">
            <v>46010.467245370368</v>
          </cell>
          <cell r="E12" t="str">
            <v>Prestataire : Travaux</v>
          </cell>
          <cell r="F12" t="str">
            <v>SIMDCI</v>
          </cell>
          <cell r="G12">
            <v>708086759</v>
          </cell>
          <cell r="H12" t="str">
            <v>UNIVERSITE BONDOUKOU</v>
          </cell>
          <cell r="I12" t="str">
            <v>-</v>
          </cell>
          <cell r="J12" t="str">
            <v>SYTRAN</v>
          </cell>
          <cell r="K12" t="str">
            <v>fo</v>
          </cell>
          <cell r="L12" t="str">
            <v>LSI</v>
          </cell>
          <cell r="M12" t="str">
            <v>Backup</v>
          </cell>
          <cell r="N12" t="str">
            <v>Offert</v>
          </cell>
          <cell r="O12" t="str">
            <v>XXXX</v>
          </cell>
          <cell r="P12" t="str">
            <v>-</v>
          </cell>
          <cell r="Q12" t="str">
            <v>-</v>
          </cell>
          <cell r="R12">
            <v>91</v>
          </cell>
          <cell r="S12" t="str">
            <v>Oui</v>
          </cell>
          <cell r="T12" t="str">
            <v>N/A</v>
          </cell>
          <cell r="U12" t="str">
            <v>Materiel</v>
          </cell>
        </row>
        <row r="13">
          <cell r="A13">
            <v>52566113</v>
          </cell>
          <cell r="B13">
            <v>45954.68109953704</v>
          </cell>
          <cell r="C13">
            <v>58615929</v>
          </cell>
          <cell r="D13">
            <v>46072.689837962964</v>
          </cell>
          <cell r="E13" t="str">
            <v>Prestataire : Correction Conformite Travaux</v>
          </cell>
          <cell r="F13" t="str">
            <v>STE SIMDCI SA</v>
          </cell>
          <cell r="G13">
            <v>708086759</v>
          </cell>
          <cell r="H13" t="str">
            <v>BOUAKE</v>
          </cell>
          <cell r="I13" t="str">
            <v>-</v>
          </cell>
          <cell r="J13" t="str">
            <v>SYTRAN</v>
          </cell>
          <cell r="K13" t="str">
            <v>fo</v>
          </cell>
          <cell r="L13" t="str">
            <v>LSI</v>
          </cell>
          <cell r="M13" t="str">
            <v>Principale (avec backup)</v>
          </cell>
          <cell r="N13" t="str">
            <v>Offert</v>
          </cell>
          <cell r="O13" t="str">
            <v>xxxx</v>
          </cell>
          <cell r="P13" t="str">
            <v>-</v>
          </cell>
          <cell r="Q13">
            <v>0</v>
          </cell>
          <cell r="R13">
            <v>91</v>
          </cell>
          <cell r="S13" t="str">
            <v>Oui</v>
          </cell>
          <cell r="T13" t="str">
            <v>N/A</v>
          </cell>
          <cell r="U13" t="str">
            <v>Materiel</v>
          </cell>
        </row>
        <row r="14">
          <cell r="A14">
            <v>52566880</v>
          </cell>
          <cell r="B14">
            <v>45954.687280092592</v>
          </cell>
          <cell r="C14">
            <v>58311715</v>
          </cell>
          <cell r="D14">
            <v>46067.004363425927</v>
          </cell>
          <cell r="E14" t="str">
            <v>Transmission Plans Equipe Numerisation</v>
          </cell>
          <cell r="F14" t="str">
            <v>STE SIMDCI SA</v>
          </cell>
          <cell r="G14">
            <v>708086759</v>
          </cell>
          <cell r="H14" t="str">
            <v>COCODY UFHB</v>
          </cell>
          <cell r="I14" t="str">
            <v>-</v>
          </cell>
          <cell r="J14" t="str">
            <v>SYTRAN</v>
          </cell>
          <cell r="K14" t="str">
            <v>fo</v>
          </cell>
          <cell r="L14" t="str">
            <v>LSI</v>
          </cell>
          <cell r="M14" t="str">
            <v>Backup</v>
          </cell>
          <cell r="N14" t="str">
            <v>Offert</v>
          </cell>
          <cell r="O14" t="str">
            <v>XXXXXXXX</v>
          </cell>
          <cell r="P14" t="str">
            <v>-</v>
          </cell>
          <cell r="Q14" t="str">
            <v>-</v>
          </cell>
          <cell r="R14">
            <v>91</v>
          </cell>
          <cell r="S14" t="str">
            <v>Oui</v>
          </cell>
          <cell r="T14" t="str">
            <v>N/A</v>
          </cell>
          <cell r="U14" t="str">
            <v>Materiel</v>
          </cell>
        </row>
        <row r="15">
          <cell r="A15">
            <v>52691553</v>
          </cell>
          <cell r="B15">
            <v>45958.456122685187</v>
          </cell>
          <cell r="C15">
            <v>57166280</v>
          </cell>
          <cell r="D15">
            <v>46045.673750000002</v>
          </cell>
          <cell r="E15" t="str">
            <v>Prestataire : Travaux</v>
          </cell>
          <cell r="F15" t="str">
            <v>ARTCI</v>
          </cell>
          <cell r="G15">
            <v>708473548</v>
          </cell>
          <cell r="H15" t="str">
            <v>MARCORY ANOUMAMBO</v>
          </cell>
          <cell r="I15" t="str">
            <v>-</v>
          </cell>
          <cell r="J15" t="str">
            <v>SYTRAN</v>
          </cell>
          <cell r="K15" t="str">
            <v>ftto</v>
          </cell>
          <cell r="L15" t="str">
            <v>LSI</v>
          </cell>
          <cell r="M15" t="str">
            <v>Backup</v>
          </cell>
          <cell r="N15" t="str">
            <v>Offert</v>
          </cell>
          <cell r="O15" t="str">
            <v>xxxxxxxx</v>
          </cell>
          <cell r="P15" t="str">
            <v>-</v>
          </cell>
          <cell r="Q15">
            <v>1000000</v>
          </cell>
          <cell r="R15">
            <v>89</v>
          </cell>
          <cell r="S15" t="str">
            <v>Non</v>
          </cell>
          <cell r="T15" t="str">
            <v>OCI</v>
          </cell>
          <cell r="U15"/>
        </row>
        <row r="16">
          <cell r="A16">
            <v>52778382</v>
          </cell>
          <cell r="B16">
            <v>45959.67696759259</v>
          </cell>
          <cell r="C16">
            <v>55073470</v>
          </cell>
          <cell r="D16">
            <v>46003.678194444445</v>
          </cell>
          <cell r="E16" t="str">
            <v>Travaux Suspendu</v>
          </cell>
          <cell r="F16" t="str">
            <v>SIMDCI SA</v>
          </cell>
          <cell r="G16">
            <v>708086759</v>
          </cell>
          <cell r="H16" t="str">
            <v>ABIDJAN-COCODY//VOIE INCONNUE/</v>
          </cell>
          <cell r="I16">
            <v>2788625</v>
          </cell>
          <cell r="J16" t="str">
            <v>IP Connect LL</v>
          </cell>
          <cell r="K16" t="str">
            <v>fo</v>
          </cell>
          <cell r="L16" t="str">
            <v>LS</v>
          </cell>
          <cell r="M16" t="str">
            <v>BCK</v>
          </cell>
          <cell r="N16" t="str">
            <v>Offert</v>
          </cell>
          <cell r="O16" t="str">
            <v>XXXXXXXXXX</v>
          </cell>
          <cell r="P16" t="str">
            <v>-</v>
          </cell>
          <cell r="Q16" t="str">
            <v>-</v>
          </cell>
          <cell r="R16">
            <v>88</v>
          </cell>
          <cell r="S16" t="str">
            <v>Non</v>
          </cell>
          <cell r="T16" t="str">
            <v xml:space="preserve">CLIENT </v>
          </cell>
          <cell r="U16"/>
        </row>
        <row r="17">
          <cell r="A17">
            <v>52797879</v>
          </cell>
          <cell r="B17">
            <v>45960.361377314817</v>
          </cell>
          <cell r="C17">
            <v>53749284</v>
          </cell>
          <cell r="D17">
            <v>45979.595486111109</v>
          </cell>
          <cell r="E17" t="str">
            <v>Test et recette</v>
          </cell>
          <cell r="F17" t="str">
            <v>AERIA LSI VITIB</v>
          </cell>
          <cell r="G17">
            <v>709738605</v>
          </cell>
          <cell r="H17" t="str">
            <v>GRAND-BASSAM VITIB</v>
          </cell>
          <cell r="I17" t="str">
            <v>-</v>
          </cell>
          <cell r="J17" t="str">
            <v>SYTRAN</v>
          </cell>
          <cell r="K17" t="str">
            <v>fo</v>
          </cell>
          <cell r="L17" t="str">
            <v>LSI</v>
          </cell>
          <cell r="M17" t="str">
            <v>Backup</v>
          </cell>
          <cell r="N17" t="str">
            <v>Offert</v>
          </cell>
          <cell r="O17" t="str">
            <v>SYTHD250340</v>
          </cell>
          <cell r="P17" t="str">
            <v>-</v>
          </cell>
          <cell r="Q17" t="str">
            <v>-</v>
          </cell>
          <cell r="R17">
            <v>87</v>
          </cell>
          <cell r="S17" t="str">
            <v>Non</v>
          </cell>
          <cell r="T17" t="str">
            <v>N/A</v>
          </cell>
          <cell r="U17"/>
        </row>
        <row r="18">
          <cell r="A18">
            <v>52797893</v>
          </cell>
          <cell r="B18">
            <v>45960.361446759256</v>
          </cell>
          <cell r="C18">
            <v>53773910</v>
          </cell>
          <cell r="D18">
            <v>45979.785717592589</v>
          </cell>
          <cell r="E18" t="str">
            <v>Test et recette</v>
          </cell>
          <cell r="F18" t="str">
            <v>AERIA LSI VITIB</v>
          </cell>
          <cell r="G18">
            <v>709738605</v>
          </cell>
          <cell r="H18" t="str">
            <v>GRAND-BASSAM VITIB</v>
          </cell>
          <cell r="I18" t="str">
            <v>-</v>
          </cell>
          <cell r="J18" t="str">
            <v>SYTRAN</v>
          </cell>
          <cell r="K18" t="str">
            <v>fo</v>
          </cell>
          <cell r="L18" t="str">
            <v>LSI</v>
          </cell>
          <cell r="M18" t="str">
            <v>Principale (avec backup)</v>
          </cell>
          <cell r="N18" t="str">
            <v>Offert</v>
          </cell>
          <cell r="O18" t="str">
            <v>SYTHD250339</v>
          </cell>
          <cell r="P18" t="str">
            <v>-</v>
          </cell>
          <cell r="Q18">
            <v>0</v>
          </cell>
          <cell r="R18">
            <v>87</v>
          </cell>
          <cell r="S18" t="str">
            <v>Non</v>
          </cell>
          <cell r="T18" t="str">
            <v>N/A</v>
          </cell>
          <cell r="U18"/>
        </row>
        <row r="19">
          <cell r="A19">
            <v>52799560</v>
          </cell>
          <cell r="B19">
            <v>45960.379583333335</v>
          </cell>
          <cell r="C19">
            <v>53754612</v>
          </cell>
          <cell r="D19">
            <v>45979.635694444441</v>
          </cell>
          <cell r="E19" t="str">
            <v>Test et recette</v>
          </cell>
          <cell r="F19" t="str">
            <v>AERIA BUVPN 1 VITIB</v>
          </cell>
          <cell r="G19">
            <v>709738605</v>
          </cell>
          <cell r="H19" t="str">
            <v>GRAND-BASSAM VITIB</v>
          </cell>
          <cell r="I19" t="str">
            <v>-</v>
          </cell>
          <cell r="J19" t="str">
            <v>BUVPN</v>
          </cell>
          <cell r="K19" t="str">
            <v>fo</v>
          </cell>
          <cell r="L19" t="str">
            <v>LS</v>
          </cell>
          <cell r="M19" t="str">
            <v>Backup</v>
          </cell>
          <cell r="N19" t="str">
            <v>Offert</v>
          </cell>
          <cell r="O19" t="str">
            <v>BUVPN250197</v>
          </cell>
          <cell r="P19" t="str">
            <v>-</v>
          </cell>
          <cell r="Q19" t="str">
            <v>-</v>
          </cell>
          <cell r="R19">
            <v>87</v>
          </cell>
          <cell r="S19" t="str">
            <v>Non</v>
          </cell>
          <cell r="T19" t="str">
            <v>N/A</v>
          </cell>
          <cell r="U19"/>
        </row>
        <row r="20">
          <cell r="A20">
            <v>52799573</v>
          </cell>
          <cell r="B20">
            <v>45960.379675925928</v>
          </cell>
          <cell r="C20">
            <v>53754729</v>
          </cell>
          <cell r="D20">
            <v>45979.636319444442</v>
          </cell>
          <cell r="E20" t="str">
            <v>Test et recette</v>
          </cell>
          <cell r="F20" t="str">
            <v>AERIA BUVPN 1 VITIB</v>
          </cell>
          <cell r="G20">
            <v>709738605</v>
          </cell>
          <cell r="H20" t="str">
            <v>GRAND-BASSAM//VOIE INCONNUE/VITIB 07 09 73 86 05</v>
          </cell>
          <cell r="I20">
            <v>2793835</v>
          </cell>
          <cell r="J20" t="str">
            <v>IP Connect LL</v>
          </cell>
          <cell r="K20" t="str">
            <v>fo</v>
          </cell>
          <cell r="L20" t="str">
            <v>LS</v>
          </cell>
          <cell r="M20" t="str">
            <v>Principale (avec backup)</v>
          </cell>
          <cell r="N20" t="str">
            <v>Offert</v>
          </cell>
          <cell r="O20" t="str">
            <v>BUVPN250196</v>
          </cell>
          <cell r="P20" t="str">
            <v>-</v>
          </cell>
          <cell r="Q20">
            <v>0</v>
          </cell>
          <cell r="R20">
            <v>87</v>
          </cell>
          <cell r="S20" t="str">
            <v>Non</v>
          </cell>
          <cell r="T20" t="str">
            <v>N/A</v>
          </cell>
          <cell r="U20"/>
        </row>
        <row r="21">
          <cell r="A21">
            <v>52805083</v>
          </cell>
          <cell r="B21">
            <v>45960.429062499999</v>
          </cell>
          <cell r="C21">
            <v>56742683</v>
          </cell>
          <cell r="D21">
            <v>46037.629432870373</v>
          </cell>
          <cell r="E21" t="str">
            <v>SIE : Mise en service GAIA</v>
          </cell>
          <cell r="F21" t="str">
            <v>AFG ASSURANCES IARDT COTE D'IVOIRE</v>
          </cell>
          <cell r="G21">
            <v>708023881</v>
          </cell>
          <cell r="H21" t="str">
            <v>COCODY CITE DES ARTS.</v>
          </cell>
          <cell r="I21" t="str">
            <v>-</v>
          </cell>
          <cell r="J21" t="str">
            <v>T0</v>
          </cell>
          <cell r="K21" t="str">
            <v>ftto_virage</v>
          </cell>
          <cell r="L21" t="str">
            <v>numerique</v>
          </cell>
          <cell r="M21" t="str">
            <v>Nominale</v>
          </cell>
          <cell r="N21"/>
          <cell r="O21">
            <v>2722229570</v>
          </cell>
          <cell r="P21" t="str">
            <v>-</v>
          </cell>
          <cell r="Q21" t="str">
            <v>-</v>
          </cell>
          <cell r="R21">
            <v>87</v>
          </cell>
          <cell r="S21" t="str">
            <v>Non</v>
          </cell>
          <cell r="T21" t="str">
            <v>OCI</v>
          </cell>
          <cell r="U21"/>
        </row>
        <row r="22">
          <cell r="A22">
            <v>52808171</v>
          </cell>
          <cell r="B22">
            <v>45960.452361111114</v>
          </cell>
          <cell r="C22">
            <v>54241472</v>
          </cell>
          <cell r="D22">
            <v>45988.651770833334</v>
          </cell>
          <cell r="E22" t="str">
            <v>Travaux Suspendu</v>
          </cell>
          <cell r="F22" t="str">
            <v>AERIA BUVPN 2 AEROPORT</v>
          </cell>
          <cell r="G22">
            <v>709738605</v>
          </cell>
          <cell r="H22" t="str">
            <v>ABIDJAN-PORT-BOUET//VOIE INCONNUE/AEROPORT FHB 0709254454</v>
          </cell>
          <cell r="I22">
            <v>2793645</v>
          </cell>
          <cell r="J22" t="str">
            <v>IP Connect LL</v>
          </cell>
          <cell r="K22" t="str">
            <v>fo</v>
          </cell>
          <cell r="L22" t="str">
            <v>LS</v>
          </cell>
          <cell r="M22" t="str">
            <v>Backup</v>
          </cell>
          <cell r="N22" t="str">
            <v>Offert</v>
          </cell>
          <cell r="O22" t="str">
            <v>BUVPN250202</v>
          </cell>
          <cell r="P22" t="str">
            <v>-</v>
          </cell>
          <cell r="Q22" t="str">
            <v>-</v>
          </cell>
          <cell r="R22">
            <v>87</v>
          </cell>
          <cell r="S22" t="str">
            <v>Non</v>
          </cell>
          <cell r="T22" t="str">
            <v>OCI</v>
          </cell>
          <cell r="U22"/>
        </row>
        <row r="23">
          <cell r="A23">
            <v>52808194</v>
          </cell>
          <cell r="B23">
            <v>45960.452476851853</v>
          </cell>
          <cell r="C23">
            <v>56705699</v>
          </cell>
          <cell r="D23">
            <v>46036.784629629627</v>
          </cell>
          <cell r="E23" t="str">
            <v>Test et recette</v>
          </cell>
          <cell r="F23" t="str">
            <v>AERIA BUVPN 2 AEROPORT</v>
          </cell>
          <cell r="G23">
            <v>709738605</v>
          </cell>
          <cell r="H23" t="str">
            <v>ABIDJAN-PORT-BOUET//VOIE INCONNUE/AEROPORT FHB 07 09 73 86 05</v>
          </cell>
          <cell r="I23">
            <v>2793635</v>
          </cell>
          <cell r="J23" t="str">
            <v>IP Connect LL</v>
          </cell>
          <cell r="K23" t="str">
            <v>ftto</v>
          </cell>
          <cell r="L23" t="str">
            <v>LS</v>
          </cell>
          <cell r="M23" t="str">
            <v>Principale (avec backup)</v>
          </cell>
          <cell r="N23" t="str">
            <v>Offert</v>
          </cell>
          <cell r="O23" t="str">
            <v>BUVPN260007</v>
          </cell>
          <cell r="P23" t="str">
            <v>-</v>
          </cell>
          <cell r="Q23">
            <v>0</v>
          </cell>
          <cell r="R23">
            <v>87</v>
          </cell>
          <cell r="S23" t="str">
            <v>Oui</v>
          </cell>
          <cell r="T23" t="str">
            <v>N/A</v>
          </cell>
          <cell r="U23"/>
        </row>
        <row r="24">
          <cell r="A24">
            <v>52882468</v>
          </cell>
          <cell r="B24">
            <v>45961.597430555557</v>
          </cell>
          <cell r="C24">
            <v>58486371</v>
          </cell>
          <cell r="D24">
            <v>46070.685694444444</v>
          </cell>
          <cell r="E24" t="str">
            <v>Transmission Plans Equipe Numerisation</v>
          </cell>
          <cell r="F24" t="str">
            <v>STE AFGBANK COTE D'IVOIRE</v>
          </cell>
          <cell r="G24">
            <v>707984429</v>
          </cell>
          <cell r="H24" t="str">
            <v>ZARANOUAN</v>
          </cell>
          <cell r="I24" t="str">
            <v>-</v>
          </cell>
          <cell r="J24" t="str">
            <v>BUVPN</v>
          </cell>
          <cell r="K24" t="str">
            <v>fo</v>
          </cell>
          <cell r="L24" t="str">
            <v>LS</v>
          </cell>
          <cell r="M24" t="str">
            <v>Nominale</v>
          </cell>
          <cell r="N24" t="str">
            <v>Offert</v>
          </cell>
          <cell r="O24" t="str">
            <v>XXXXXX</v>
          </cell>
          <cell r="P24" t="str">
            <v>-</v>
          </cell>
          <cell r="Q24">
            <v>1738538</v>
          </cell>
          <cell r="R24">
            <v>86</v>
          </cell>
          <cell r="S24" t="str">
            <v>Non</v>
          </cell>
          <cell r="T24" t="str">
            <v>OCI</v>
          </cell>
          <cell r="U24"/>
        </row>
        <row r="25">
          <cell r="A25">
            <v>53374539</v>
          </cell>
          <cell r="B25">
            <v>45972.396817129629</v>
          </cell>
          <cell r="C25">
            <v>58179752</v>
          </cell>
          <cell r="D25">
            <v>46064.751157407409</v>
          </cell>
          <cell r="E25" t="str">
            <v>Transmission Plans Equipe Numerisation</v>
          </cell>
          <cell r="F25" t="str">
            <v>MISTRAL VOYAGE</v>
          </cell>
          <cell r="G25">
            <v>719724057</v>
          </cell>
          <cell r="H25" t="str">
            <v>DEUX PLATEAUX</v>
          </cell>
          <cell r="I25" t="str">
            <v>-</v>
          </cell>
          <cell r="J25" t="str">
            <v>T0</v>
          </cell>
          <cell r="K25" t="str">
            <v>ftto</v>
          </cell>
          <cell r="L25" t="str">
            <v>numerique</v>
          </cell>
          <cell r="M25" t="str">
            <v>Nominale</v>
          </cell>
          <cell r="N25" t="str">
            <v>Offert</v>
          </cell>
          <cell r="O25">
            <v>2721711950</v>
          </cell>
          <cell r="P25" t="str">
            <v>-</v>
          </cell>
          <cell r="Q25" t="str">
            <v>-</v>
          </cell>
          <cell r="R25">
            <v>79</v>
          </cell>
          <cell r="S25" t="str">
            <v>Oui</v>
          </cell>
          <cell r="T25" t="str">
            <v>N/A</v>
          </cell>
          <cell r="U25"/>
        </row>
        <row r="26">
          <cell r="A26">
            <v>53413810</v>
          </cell>
          <cell r="B26">
            <v>45972.692442129628</v>
          </cell>
          <cell r="C26">
            <v>59029831</v>
          </cell>
          <cell r="D26">
            <v>46079.709710648145</v>
          </cell>
          <cell r="E26" t="str">
            <v>BO Homologation: Mise en service GAIA</v>
          </cell>
          <cell r="F26" t="str">
            <v>MANSA CAPITAL</v>
          </cell>
          <cell r="G26">
            <v>555181314</v>
          </cell>
          <cell r="H26" t="str">
            <v>ABIDJAN-COCODY//VOIE INCONNUE/RIVIERA 4</v>
          </cell>
          <cell r="I26">
            <v>2810825</v>
          </cell>
          <cell r="J26" t="str">
            <v>LIAISON SPECIALISEE</v>
          </cell>
          <cell r="K26" t="str">
            <v>ftto</v>
          </cell>
          <cell r="L26" t="str">
            <v>LSI</v>
          </cell>
          <cell r="M26" t="str">
            <v>Nominale</v>
          </cell>
          <cell r="N26" t="str">
            <v>Offert</v>
          </cell>
          <cell r="O26" t="str">
            <v>SYTHD250381</v>
          </cell>
          <cell r="P26" t="str">
            <v>-</v>
          </cell>
          <cell r="Q26">
            <v>250000</v>
          </cell>
          <cell r="R26">
            <v>79</v>
          </cell>
          <cell r="S26" t="str">
            <v>Non</v>
          </cell>
          <cell r="T26" t="str">
            <v>N/A</v>
          </cell>
          <cell r="U26"/>
        </row>
        <row r="27">
          <cell r="A27">
            <v>53673863</v>
          </cell>
          <cell r="B27">
            <v>45978.463900462964</v>
          </cell>
          <cell r="C27">
            <v>55002654</v>
          </cell>
          <cell r="D27">
            <v>46002.691574074073</v>
          </cell>
          <cell r="E27" t="str">
            <v>Wholesale : Mise en service GAIA</v>
          </cell>
          <cell r="F27" t="str">
            <v>INQ COTE D'IVOIRE</v>
          </cell>
          <cell r="G27">
            <v>759826837</v>
          </cell>
          <cell r="H27" t="str">
            <v>DIA: 10Mbps pop ICA REP PLATEAU NESTLE ZAMBAKRO</v>
          </cell>
          <cell r="I27" t="str">
            <v>-</v>
          </cell>
          <cell r="J27" t="str">
            <v>SYTRAN</v>
          </cell>
          <cell r="K27" t="str">
            <v>fo</v>
          </cell>
          <cell r="L27" t="str">
            <v>LSI</v>
          </cell>
          <cell r="M27" t="str">
            <v>Nominale</v>
          </cell>
          <cell r="N27" t="str">
            <v>Offert</v>
          </cell>
          <cell r="O27" t="str">
            <v>SYTHD250363</v>
          </cell>
          <cell r="P27" t="str">
            <v>-</v>
          </cell>
          <cell r="Q27" t="str">
            <v>-</v>
          </cell>
          <cell r="R27">
            <v>75</v>
          </cell>
          <cell r="S27" t="str">
            <v>Non</v>
          </cell>
          <cell r="T27" t="str">
            <v>N/A</v>
          </cell>
          <cell r="U27"/>
        </row>
        <row r="28">
          <cell r="A28">
            <v>53702282</v>
          </cell>
          <cell r="B28">
            <v>45978.671550925923</v>
          </cell>
          <cell r="C28">
            <v>54614316</v>
          </cell>
          <cell r="D28">
            <v>45995.632673611108</v>
          </cell>
          <cell r="E28" t="str">
            <v>Travaux Suspendu</v>
          </cell>
          <cell r="F28" t="str">
            <v>MINISTERE RESSOURCES MINIERES PETROLIERE</v>
          </cell>
          <cell r="G28">
            <v>778036533</v>
          </cell>
          <cell r="H28" t="str">
            <v>PLATEAU IMMEUBLE CORNICHE 5EME ETAGE.</v>
          </cell>
          <cell r="I28" t="str">
            <v>-</v>
          </cell>
          <cell r="J28" t="str">
            <v>T0</v>
          </cell>
          <cell r="K28" t="str">
            <v>fo_virage</v>
          </cell>
          <cell r="L28" t="str">
            <v>numerique</v>
          </cell>
          <cell r="M28" t="str">
            <v>Nominale</v>
          </cell>
          <cell r="N28" t="str">
            <v>Offert</v>
          </cell>
          <cell r="O28" t="str">
            <v>XXXXXX</v>
          </cell>
          <cell r="P28" t="str">
            <v>-</v>
          </cell>
          <cell r="Q28" t="str">
            <v>-</v>
          </cell>
          <cell r="R28">
            <v>75</v>
          </cell>
          <cell r="S28" t="str">
            <v>Non</v>
          </cell>
          <cell r="T28" t="str">
            <v>Oci</v>
          </cell>
          <cell r="U28" t="str">
            <v>MAIRIE DU PLATEAU</v>
          </cell>
        </row>
        <row r="29">
          <cell r="A29">
            <v>53749839</v>
          </cell>
          <cell r="B29">
            <v>45979.600694444445</v>
          </cell>
          <cell r="C29">
            <v>57266013</v>
          </cell>
          <cell r="D29">
            <v>46048.492129629631</v>
          </cell>
          <cell r="E29" t="str">
            <v>Prestataire : Travaux</v>
          </cell>
          <cell r="F29" t="str">
            <v>STE OLAM AGRI</v>
          </cell>
          <cell r="G29">
            <v>703333988</v>
          </cell>
          <cell r="H29" t="str">
            <v>DALOA / DIBLOBLI</v>
          </cell>
          <cell r="I29" t="str">
            <v>-</v>
          </cell>
          <cell r="J29" t="str">
            <v>SYTRAN</v>
          </cell>
          <cell r="K29" t="str">
            <v>fo</v>
          </cell>
          <cell r="L29" t="str">
            <v>LSI</v>
          </cell>
          <cell r="M29" t="str">
            <v>Nominale</v>
          </cell>
          <cell r="N29" t="str">
            <v>Offert</v>
          </cell>
          <cell r="O29" t="str">
            <v>XXXX</v>
          </cell>
          <cell r="P29" t="str">
            <v>-</v>
          </cell>
          <cell r="Q29">
            <v>10000000</v>
          </cell>
          <cell r="R29">
            <v>74</v>
          </cell>
          <cell r="S29" t="str">
            <v>Oui</v>
          </cell>
          <cell r="T29" t="str">
            <v>N/A</v>
          </cell>
          <cell r="U29"/>
        </row>
        <row r="30">
          <cell r="A30">
            <v>53790357</v>
          </cell>
          <cell r="B30">
            <v>45980.438298611109</v>
          </cell>
          <cell r="C30">
            <v>57722763</v>
          </cell>
          <cell r="D30">
            <v>46056.624722222223</v>
          </cell>
          <cell r="E30" t="str">
            <v>Prestataire : Travaux</v>
          </cell>
          <cell r="F30" t="str">
            <v>COMPAGNIE IVOIRIENNE DE PRODUCTION D'ELECTRICITE</v>
          </cell>
          <cell r="G30">
            <v>708336404</v>
          </cell>
          <cell r="H30" t="str">
            <v>ABIDJAN-PORT-BOUET//VOIE INCONNUE/VRIDI SIEGE CIPREL</v>
          </cell>
          <cell r="I30">
            <v>2813225</v>
          </cell>
          <cell r="J30" t="str">
            <v>LIAISON SPECIALISEE</v>
          </cell>
          <cell r="K30" t="str">
            <v>ftto</v>
          </cell>
          <cell r="L30" t="str">
            <v>LSI</v>
          </cell>
          <cell r="M30" t="str">
            <v>NOM</v>
          </cell>
          <cell r="N30" t="str">
            <v>Offert</v>
          </cell>
          <cell r="O30" t="str">
            <v>XXXXXXX</v>
          </cell>
          <cell r="P30" t="str">
            <v>-</v>
          </cell>
          <cell r="Q30">
            <v>4430307</v>
          </cell>
          <cell r="R30">
            <v>73</v>
          </cell>
          <cell r="S30" t="str">
            <v>Oui</v>
          </cell>
          <cell r="T30" t="str">
            <v xml:space="preserve">CLIENT </v>
          </cell>
          <cell r="U30"/>
        </row>
        <row r="31">
          <cell r="A31">
            <v>53899369</v>
          </cell>
          <cell r="B31">
            <v>45981.827430555553</v>
          </cell>
          <cell r="C31">
            <v>55146678</v>
          </cell>
          <cell r="D31">
            <v>46005.762916666667</v>
          </cell>
          <cell r="E31" t="str">
            <v>Travaux Suspendu</v>
          </cell>
          <cell r="F31" t="str">
            <v>DGTCP</v>
          </cell>
          <cell r="G31">
            <v>707003126</v>
          </cell>
          <cell r="H31" t="str">
            <v>COCODY ANGRE GESTOCI</v>
          </cell>
          <cell r="I31" t="str">
            <v>-</v>
          </cell>
          <cell r="J31" t="str">
            <v>SYTRAN</v>
          </cell>
          <cell r="K31" t="str">
            <v>fo</v>
          </cell>
          <cell r="L31" t="str">
            <v>LSI</v>
          </cell>
          <cell r="M31" t="str">
            <v>Backup</v>
          </cell>
          <cell r="N31" t="str">
            <v>Offert</v>
          </cell>
          <cell r="O31" t="str">
            <v>XXXXXXXX</v>
          </cell>
          <cell r="P31" t="str">
            <v>-</v>
          </cell>
          <cell r="Q31">
            <v>0</v>
          </cell>
          <cell r="R31">
            <v>72</v>
          </cell>
          <cell r="S31" t="str">
            <v>Non</v>
          </cell>
          <cell r="T31" t="str">
            <v>OCI</v>
          </cell>
          <cell r="U31"/>
        </row>
        <row r="32">
          <cell r="A32">
            <v>53927179</v>
          </cell>
          <cell r="B32">
            <v>45982.566655092596</v>
          </cell>
          <cell r="C32">
            <v>59030172</v>
          </cell>
          <cell r="D32">
            <v>46079.712037037039</v>
          </cell>
          <cell r="E32" t="str">
            <v>BO Homologation: Mise en service GAIA</v>
          </cell>
          <cell r="F32" t="str">
            <v>DGTCP</v>
          </cell>
          <cell r="G32">
            <v>707003126</v>
          </cell>
          <cell r="H32" t="str">
            <v>ABENGOUROU</v>
          </cell>
          <cell r="I32" t="str">
            <v>-</v>
          </cell>
          <cell r="J32" t="str">
            <v>SYTRAN</v>
          </cell>
          <cell r="K32" t="str">
            <v>fo</v>
          </cell>
          <cell r="L32" t="str">
            <v>LSI</v>
          </cell>
          <cell r="M32" t="str">
            <v>Backup</v>
          </cell>
          <cell r="N32" t="str">
            <v>Offert</v>
          </cell>
          <cell r="O32" t="str">
            <v>SYTHD260055</v>
          </cell>
          <cell r="P32" t="str">
            <v>-</v>
          </cell>
          <cell r="Q32">
            <v>0</v>
          </cell>
          <cell r="R32">
            <v>71</v>
          </cell>
          <cell r="S32" t="str">
            <v>Non</v>
          </cell>
          <cell r="T32" t="str">
            <v>OCI</v>
          </cell>
          <cell r="U32" t="str">
            <v>Problème de  commande routeur</v>
          </cell>
        </row>
        <row r="33">
          <cell r="A33">
            <v>53934458</v>
          </cell>
          <cell r="B33">
            <v>45982.631261574075</v>
          </cell>
          <cell r="C33">
            <v>58120598</v>
          </cell>
          <cell r="D33">
            <v>46063.779618055552</v>
          </cell>
          <cell r="E33" t="str">
            <v>Test et recette</v>
          </cell>
          <cell r="F33" t="str">
            <v>KWADO INTERNATIONAL FZ-LLC</v>
          </cell>
          <cell r="G33">
            <v>709263957</v>
          </cell>
          <cell r="H33" t="str">
            <v>ABIDJAN-COCODY//VOIE INCONNUE/</v>
          </cell>
          <cell r="I33">
            <v>1775026</v>
          </cell>
          <cell r="J33" t="str">
            <v>LIAISON SPECIALISEE</v>
          </cell>
          <cell r="K33" t="str">
            <v>ftto</v>
          </cell>
          <cell r="L33" t="str">
            <v>LS</v>
          </cell>
          <cell r="M33" t="str">
            <v>Nominale</v>
          </cell>
          <cell r="N33" t="str">
            <v>Offert</v>
          </cell>
          <cell r="O33" t="str">
            <v>SYTHD260019</v>
          </cell>
          <cell r="P33" t="str">
            <v>-</v>
          </cell>
          <cell r="Q33" t="str">
            <v>-</v>
          </cell>
          <cell r="R33">
            <v>71</v>
          </cell>
          <cell r="S33" t="str">
            <v>Non</v>
          </cell>
          <cell r="T33" t="str">
            <v xml:space="preserve">CLIENT </v>
          </cell>
          <cell r="U33" t="str">
            <v>Problème de  commande routeur</v>
          </cell>
        </row>
        <row r="34">
          <cell r="A34">
            <v>54135373</v>
          </cell>
          <cell r="B34">
            <v>45986.784085648149</v>
          </cell>
          <cell r="C34">
            <v>58311781</v>
          </cell>
          <cell r="D34">
            <v>46067.012962962966</v>
          </cell>
          <cell r="E34" t="str">
            <v>Transmission Plans Equipe Numerisation</v>
          </cell>
          <cell r="F34" t="str">
            <v>UBA</v>
          </cell>
          <cell r="G34">
            <v>709136702</v>
          </cell>
          <cell r="H34" t="str">
            <v>cocody playce palmeraie</v>
          </cell>
          <cell r="I34" t="str">
            <v>-</v>
          </cell>
          <cell r="J34" t="str">
            <v>BUVPN</v>
          </cell>
          <cell r="K34" t="str">
            <v>fo</v>
          </cell>
          <cell r="L34" t="str">
            <v>LS</v>
          </cell>
          <cell r="M34" t="str">
            <v>Nominale</v>
          </cell>
          <cell r="N34" t="str">
            <v>Offert</v>
          </cell>
          <cell r="O34" t="str">
            <v>xxxxx</v>
          </cell>
          <cell r="P34" t="str">
            <v>-</v>
          </cell>
          <cell r="Q34">
            <v>855000</v>
          </cell>
          <cell r="R34">
            <v>69</v>
          </cell>
          <cell r="S34" t="str">
            <v>Non</v>
          </cell>
          <cell r="T34" t="str">
            <v xml:space="preserve">CLIENT </v>
          </cell>
          <cell r="U34" t="str">
            <v>local client/ et retard dans la prise en chage de la livraison chez l'UIR</v>
          </cell>
        </row>
        <row r="35">
          <cell r="A35">
            <v>54178346</v>
          </cell>
          <cell r="B35">
            <v>45987.646099537036</v>
          </cell>
          <cell r="C35">
            <v>55557489</v>
          </cell>
          <cell r="D35">
            <v>46013.31894675926</v>
          </cell>
          <cell r="E35" t="str">
            <v>Technicien zone: Intervention</v>
          </cell>
          <cell r="F35" t="str">
            <v>MAGAL TELECOM AFRICA SARL</v>
          </cell>
          <cell r="G35">
            <v>757323203</v>
          </cell>
          <cell r="H35" t="str">
            <v>EXT A: SCB BF REU BIZAMA_OUAGA EXT B: AWALE DC COCODY VALLONS_ABIDJAN ( lien à taguer via NNI OCI-OBF--&gt; Reference du NNI : Ouangolo EG10,Pot 2 --- Ferké BFKE710 GE0/2/4(1Gb) VLAN 405 SERVICE : IPLC Débit : 4Mbps</v>
          </cell>
          <cell r="I35" t="str">
            <v>-</v>
          </cell>
          <cell r="J35" t="str">
            <v>VPNLL</v>
          </cell>
          <cell r="K35" t="str">
            <v>fo</v>
          </cell>
          <cell r="L35" t="str">
            <v>LS</v>
          </cell>
          <cell r="M35" t="str">
            <v>Nominale</v>
          </cell>
          <cell r="N35" t="str">
            <v>Offert</v>
          </cell>
          <cell r="O35" t="str">
            <v>SYTHD250368</v>
          </cell>
          <cell r="P35" t="str">
            <v>-</v>
          </cell>
          <cell r="Q35" t="str">
            <v>-</v>
          </cell>
          <cell r="R35">
            <v>68</v>
          </cell>
          <cell r="S35" t="str">
            <v>Non</v>
          </cell>
          <cell r="T35" t="str">
            <v>N/A</v>
          </cell>
          <cell r="U35"/>
        </row>
        <row r="36">
          <cell r="A36">
            <v>54226552</v>
          </cell>
          <cell r="B36">
            <v>45988.544976851852</v>
          </cell>
          <cell r="C36">
            <v>58233380</v>
          </cell>
          <cell r="D36">
            <v>46065.673067129632</v>
          </cell>
          <cell r="E36" t="str">
            <v>Transmission Plans Equipe Numerisation</v>
          </cell>
          <cell r="F36" t="str">
            <v>SIMDCI SA</v>
          </cell>
          <cell r="G36">
            <v>708086759</v>
          </cell>
          <cell r="H36" t="str">
            <v>BINGERVILLE CENTRE CALCUL</v>
          </cell>
          <cell r="I36" t="str">
            <v>-</v>
          </cell>
          <cell r="J36" t="str">
            <v>BUVPN</v>
          </cell>
          <cell r="K36" t="str">
            <v>fo</v>
          </cell>
          <cell r="L36" t="str">
            <v>LS</v>
          </cell>
          <cell r="M36" t="str">
            <v>Backup</v>
          </cell>
          <cell r="N36" t="str">
            <v>Offert</v>
          </cell>
          <cell r="O36" t="str">
            <v>XXXXX</v>
          </cell>
          <cell r="P36" t="str">
            <v>-</v>
          </cell>
          <cell r="Q36" t="str">
            <v>-</v>
          </cell>
          <cell r="R36">
            <v>67</v>
          </cell>
          <cell r="S36" t="str">
            <v>Oui</v>
          </cell>
          <cell r="T36" t="str">
            <v>N/A</v>
          </cell>
          <cell r="U36"/>
        </row>
        <row r="37">
          <cell r="A37">
            <v>54449048</v>
          </cell>
          <cell r="B37">
            <v>45992.706157407411</v>
          </cell>
          <cell r="C37">
            <v>56341749</v>
          </cell>
          <cell r="D37">
            <v>46029.685115740744</v>
          </cell>
          <cell r="E37" t="str">
            <v>Travaux Suspendu</v>
          </cell>
          <cell r="F37" t="str">
            <v>OCCS</v>
          </cell>
          <cell r="G37">
            <v>708086759</v>
          </cell>
          <cell r="H37" t="str">
            <v>COCODY ET YAKRO</v>
          </cell>
          <cell r="I37" t="str">
            <v>-</v>
          </cell>
          <cell r="J37" t="str">
            <v>BUVPN</v>
          </cell>
          <cell r="K37" t="str">
            <v>fo</v>
          </cell>
          <cell r="L37" t="str">
            <v>LS</v>
          </cell>
          <cell r="M37" t="str">
            <v>Backup</v>
          </cell>
          <cell r="N37" t="str">
            <v>Offert</v>
          </cell>
          <cell r="O37" t="str">
            <v>XXXXX</v>
          </cell>
          <cell r="P37" t="str">
            <v>-</v>
          </cell>
          <cell r="Q37" t="str">
            <v>-</v>
          </cell>
          <cell r="R37">
            <v>65</v>
          </cell>
          <cell r="S37" t="str">
            <v>Oui</v>
          </cell>
          <cell r="T37" t="str">
            <v>OCI</v>
          </cell>
          <cell r="U37" t="str">
            <v>AGEROUTE</v>
          </cell>
        </row>
        <row r="38">
          <cell r="A38">
            <v>54466861</v>
          </cell>
          <cell r="B38">
            <v>45993.373993055553</v>
          </cell>
          <cell r="C38">
            <v>59002966</v>
          </cell>
          <cell r="D38">
            <v>46079.51771990741</v>
          </cell>
          <cell r="E38" t="str">
            <v>Test et recette</v>
          </cell>
          <cell r="F38" t="str">
            <v>STE REX HOTEL</v>
          </cell>
          <cell r="G38">
            <v>748904608</v>
          </cell>
          <cell r="H38" t="str">
            <v>YAMOUSSOUKRO QUARTIER M'LOCK AMBASSADE</v>
          </cell>
          <cell r="I38" t="str">
            <v>-</v>
          </cell>
          <cell r="J38" t="str">
            <v>SYTRAN</v>
          </cell>
          <cell r="K38" t="str">
            <v>fo</v>
          </cell>
          <cell r="L38" t="str">
            <v>LSI</v>
          </cell>
          <cell r="M38" t="str">
            <v>Nominale</v>
          </cell>
          <cell r="N38" t="str">
            <v>Offert</v>
          </cell>
          <cell r="O38" t="str">
            <v>SYTHD260065</v>
          </cell>
          <cell r="P38" t="str">
            <v>-</v>
          </cell>
          <cell r="Q38">
            <v>2932569</v>
          </cell>
          <cell r="R38">
            <v>64</v>
          </cell>
          <cell r="S38" t="str">
            <v>Oui</v>
          </cell>
          <cell r="T38" t="str">
            <v>N/A</v>
          </cell>
          <cell r="U38"/>
        </row>
        <row r="39">
          <cell r="A39">
            <v>54588249</v>
          </cell>
          <cell r="B39">
            <v>45995.439513888887</v>
          </cell>
          <cell r="C39">
            <v>55718737</v>
          </cell>
          <cell r="D39">
            <v>46015.565625000003</v>
          </cell>
          <cell r="E39" t="str">
            <v>BO Homologation: Mise en service GAIA</v>
          </cell>
          <cell r="F39" t="str">
            <v>TOURNOI GOAL FOR A CAUSE</v>
          </cell>
          <cell r="G39">
            <v>748415970</v>
          </cell>
          <cell r="H39" t="str">
            <v>MILLENIUM</v>
          </cell>
          <cell r="I39" t="str">
            <v>-</v>
          </cell>
          <cell r="J39" t="str">
            <v>SYTRAN</v>
          </cell>
          <cell r="K39" t="str">
            <v>fo</v>
          </cell>
          <cell r="L39" t="str">
            <v>LSI</v>
          </cell>
          <cell r="M39" t="str">
            <v>Temporaire</v>
          </cell>
          <cell r="N39" t="str">
            <v>Encours</v>
          </cell>
          <cell r="O39" t="str">
            <v>SYTHD250367</v>
          </cell>
          <cell r="P39" t="str">
            <v>-</v>
          </cell>
          <cell r="Q39">
            <v>5324000</v>
          </cell>
          <cell r="R39">
            <v>62</v>
          </cell>
          <cell r="S39" t="str">
            <v>Non</v>
          </cell>
          <cell r="T39" t="str">
            <v>N/A</v>
          </cell>
          <cell r="U39"/>
        </row>
        <row r="40">
          <cell r="A40">
            <v>54682993</v>
          </cell>
          <cell r="B40">
            <v>45996.700381944444</v>
          </cell>
          <cell r="C40">
            <v>54683034</v>
          </cell>
          <cell r="D40">
            <v>45996.700590277775</v>
          </cell>
          <cell r="E40" t="str">
            <v>Wholesale : Saisie GAIA</v>
          </cell>
          <cell r="F40" t="str">
            <v>ORANGE GUINEE</v>
          </cell>
          <cell r="G40">
            <v>707109668</v>
          </cell>
          <cell r="H40" t="str">
            <v>XCO+IP TRANSIT EXTA: STATION ACE ABIDJAN EXTB : pop internet ICA Abidjan 7X10GBps</v>
          </cell>
          <cell r="I40" t="str">
            <v>-</v>
          </cell>
          <cell r="J40" t="str">
            <v>SYTRAN</v>
          </cell>
          <cell r="K40" t="str">
            <v>fo</v>
          </cell>
          <cell r="L40" t="str">
            <v>LSI</v>
          </cell>
          <cell r="M40" t="str">
            <v>Nominale</v>
          </cell>
          <cell r="N40" t="str">
            <v>Offert</v>
          </cell>
          <cell r="O40" t="str">
            <v>-</v>
          </cell>
          <cell r="P40" t="str">
            <v>-</v>
          </cell>
          <cell r="Q40" t="str">
            <v>-</v>
          </cell>
          <cell r="R40">
            <v>61</v>
          </cell>
          <cell r="S40" t="str">
            <v>Non</v>
          </cell>
          <cell r="T40" t="str">
            <v>N/A</v>
          </cell>
          <cell r="U40"/>
        </row>
        <row r="41">
          <cell r="A41">
            <v>54793554</v>
          </cell>
          <cell r="B41">
            <v>45999.637916666667</v>
          </cell>
          <cell r="C41">
            <v>57172326</v>
          </cell>
          <cell r="D41">
            <v>46045.717013888891</v>
          </cell>
          <cell r="E41" t="str">
            <v>Etude Suspendu</v>
          </cell>
          <cell r="F41" t="str">
            <v>MAGAL TELECOM AFRICA SARL</v>
          </cell>
          <cell r="G41">
            <v>757323203</v>
          </cell>
          <cell r="H41" t="str">
            <v>EXT A: DC Nsia Vallons EXT B: DC NSIA MAINONE AU VITB 2Gbps backhaul</v>
          </cell>
          <cell r="I41" t="str">
            <v>-</v>
          </cell>
          <cell r="J41" t="str">
            <v>VPNLL</v>
          </cell>
          <cell r="K41" t="str">
            <v>fo</v>
          </cell>
          <cell r="L41" t="str">
            <v>LS</v>
          </cell>
          <cell r="M41" t="str">
            <v>Nominale</v>
          </cell>
          <cell r="N41" t="str">
            <v>Offert</v>
          </cell>
          <cell r="O41" t="str">
            <v>xxxxxxxx</v>
          </cell>
          <cell r="P41" t="str">
            <v>-</v>
          </cell>
          <cell r="Q41" t="str">
            <v>-</v>
          </cell>
          <cell r="R41">
            <v>60</v>
          </cell>
          <cell r="S41" t="str">
            <v>Non</v>
          </cell>
          <cell r="T41" t="str">
            <v xml:space="preserve">CLIENT </v>
          </cell>
          <cell r="U41"/>
        </row>
        <row r="42">
          <cell r="A42">
            <v>54888898</v>
          </cell>
          <cell r="B42">
            <v>46001.417731481481</v>
          </cell>
          <cell r="C42">
            <v>58426301</v>
          </cell>
          <cell r="D42">
            <v>46069.689502314817</v>
          </cell>
          <cell r="E42" t="str">
            <v>Transmission Plans Equipe Numerisation</v>
          </cell>
          <cell r="F42" t="str">
            <v>TITANIUM CI INVEST</v>
          </cell>
          <cell r="G42">
            <v>788953910</v>
          </cell>
          <cell r="H42" t="str">
            <v>YOPOUGON ZONE INDUSTRIELLE FACE A SIVOP</v>
          </cell>
          <cell r="I42" t="str">
            <v>-</v>
          </cell>
          <cell r="J42" t="str">
            <v>T0</v>
          </cell>
          <cell r="K42" t="str">
            <v>fo_virage</v>
          </cell>
          <cell r="L42" t="str">
            <v>numerique</v>
          </cell>
          <cell r="M42" t="str">
            <v>Nominale</v>
          </cell>
          <cell r="N42" t="str">
            <v>Offert</v>
          </cell>
          <cell r="O42" t="str">
            <v>XXXXXXXXXX</v>
          </cell>
          <cell r="P42" t="str">
            <v>-</v>
          </cell>
          <cell r="Q42" t="str">
            <v>-</v>
          </cell>
          <cell r="R42">
            <v>58</v>
          </cell>
          <cell r="S42" t="str">
            <v>Non</v>
          </cell>
          <cell r="T42" t="str">
            <v>OCI</v>
          </cell>
          <cell r="U42"/>
        </row>
        <row r="43">
          <cell r="A43">
            <v>54955589</v>
          </cell>
          <cell r="B43">
            <v>46002.355798611112</v>
          </cell>
          <cell r="C43">
            <v>56044921</v>
          </cell>
          <cell r="D43">
            <v>46022.510208333333</v>
          </cell>
          <cell r="E43" t="str">
            <v>SIE : Mise en service GAIA</v>
          </cell>
          <cell r="F43" t="str">
            <v>DIGICOM</v>
          </cell>
          <cell r="G43">
            <v>546703688</v>
          </cell>
          <cell r="H43" t="str">
            <v>COCODY ANGRE DJIBI PRES CNPS.</v>
          </cell>
          <cell r="I43" t="str">
            <v>-</v>
          </cell>
          <cell r="J43" t="str">
            <v>T0</v>
          </cell>
          <cell r="K43" t="str">
            <v>ftto_virage</v>
          </cell>
          <cell r="L43" t="str">
            <v>numerique</v>
          </cell>
          <cell r="M43" t="str">
            <v>Nominale</v>
          </cell>
          <cell r="N43"/>
          <cell r="O43">
            <v>2722229185</v>
          </cell>
          <cell r="P43" t="str">
            <v>-</v>
          </cell>
          <cell r="Q43" t="str">
            <v>-</v>
          </cell>
          <cell r="R43">
            <v>57</v>
          </cell>
          <cell r="S43" t="str">
            <v>Non</v>
          </cell>
          <cell r="T43" t="str">
            <v>N/A</v>
          </cell>
          <cell r="U43"/>
        </row>
        <row r="44">
          <cell r="A44">
            <v>54967903</v>
          </cell>
          <cell r="B44">
            <v>46002.459837962961</v>
          </cell>
          <cell r="C44">
            <v>59025097</v>
          </cell>
          <cell r="D44">
            <v>46079.676076388889</v>
          </cell>
          <cell r="E44" t="str">
            <v>Cordonnateur Prestatataire: Affectation Technicien</v>
          </cell>
          <cell r="F44" t="str">
            <v>HUAWEI PROJET MINISTERE DE LA DEFENSE</v>
          </cell>
          <cell r="G44">
            <v>504033918</v>
          </cell>
          <cell r="H44" t="str">
            <v>ABIDJAN-PORT-BOUET//VOIE INCONNUE/PORTBOUET</v>
          </cell>
          <cell r="I44">
            <v>1814616</v>
          </cell>
          <cell r="J44" t="str">
            <v>LIAISON SPECIALISEE</v>
          </cell>
          <cell r="K44" t="str">
            <v>fo</v>
          </cell>
          <cell r="L44" t="str">
            <v>LS</v>
          </cell>
          <cell r="M44" t="str">
            <v>NOM</v>
          </cell>
          <cell r="N44" t="str">
            <v>Encours</v>
          </cell>
          <cell r="O44" t="str">
            <v>SYTHD260066</v>
          </cell>
          <cell r="P44" t="str">
            <v>-</v>
          </cell>
          <cell r="Q44">
            <v>1000000</v>
          </cell>
          <cell r="R44">
            <v>57</v>
          </cell>
          <cell r="S44" t="str">
            <v>Oui</v>
          </cell>
          <cell r="T44" t="str">
            <v>N/A</v>
          </cell>
          <cell r="U44"/>
        </row>
        <row r="45">
          <cell r="A45">
            <v>54968426</v>
          </cell>
          <cell r="B45">
            <v>46002.46398148148</v>
          </cell>
          <cell r="C45">
            <v>58024567</v>
          </cell>
          <cell r="D45">
            <v>46062.531759259262</v>
          </cell>
          <cell r="E45" t="str">
            <v>Prestataire : Correction Conformite Travaux</v>
          </cell>
          <cell r="F45" t="str">
            <v>ETS MAIRIE AGNIBILEKROU</v>
          </cell>
          <cell r="G45">
            <v>708457968</v>
          </cell>
          <cell r="H45" t="str">
            <v>AGNIBILEKROU</v>
          </cell>
          <cell r="I45" t="str">
            <v>-</v>
          </cell>
          <cell r="J45" t="str">
            <v>SYTRAN</v>
          </cell>
          <cell r="K45" t="str">
            <v>fo</v>
          </cell>
          <cell r="L45" t="str">
            <v>LSI</v>
          </cell>
          <cell r="M45" t="str">
            <v>Nominale</v>
          </cell>
          <cell r="N45" t="str">
            <v>Offert</v>
          </cell>
          <cell r="O45" t="str">
            <v>SYTHD260051</v>
          </cell>
          <cell r="P45" t="str">
            <v>-</v>
          </cell>
          <cell r="Q45">
            <v>1500000</v>
          </cell>
          <cell r="R45">
            <v>57</v>
          </cell>
          <cell r="S45" t="str">
            <v>Non</v>
          </cell>
          <cell r="T45" t="str">
            <v>OCI</v>
          </cell>
          <cell r="U45"/>
        </row>
        <row r="46">
          <cell r="A46">
            <v>54968651</v>
          </cell>
          <cell r="B46">
            <v>46002.465752314813</v>
          </cell>
          <cell r="C46">
            <v>58783711</v>
          </cell>
          <cell r="D46">
            <v>46076.415439814817</v>
          </cell>
          <cell r="E46" t="str">
            <v>Test et recette</v>
          </cell>
          <cell r="F46" t="str">
            <v>HUAWEI</v>
          </cell>
          <cell r="G46">
            <v>504033918</v>
          </cell>
          <cell r="H46" t="str">
            <v>YAMOUSSOUKRO</v>
          </cell>
          <cell r="I46" t="str">
            <v>-</v>
          </cell>
          <cell r="J46" t="str">
            <v>BUVPN</v>
          </cell>
          <cell r="K46" t="str">
            <v>fo</v>
          </cell>
          <cell r="L46" t="str">
            <v>LS</v>
          </cell>
          <cell r="M46" t="str">
            <v>Nominale</v>
          </cell>
          <cell r="N46" t="str">
            <v>Offert</v>
          </cell>
          <cell r="O46" t="str">
            <v>SYTHD250396</v>
          </cell>
          <cell r="P46" t="str">
            <v>-</v>
          </cell>
          <cell r="Q46">
            <v>1000000</v>
          </cell>
          <cell r="R46">
            <v>57</v>
          </cell>
          <cell r="S46" t="str">
            <v>Oui</v>
          </cell>
          <cell r="T46" t="str">
            <v>N/A</v>
          </cell>
          <cell r="U46"/>
        </row>
        <row r="47">
          <cell r="A47">
            <v>54970719</v>
          </cell>
          <cell r="B47">
            <v>46002.47859953704</v>
          </cell>
          <cell r="C47">
            <v>56201571</v>
          </cell>
          <cell r="D47">
            <v>46027.649004629631</v>
          </cell>
          <cell r="E47" t="str">
            <v>Test et recette</v>
          </cell>
          <cell r="F47" t="str">
            <v>HUAWEI PROJET MINISTERE DE LA DEFENSE</v>
          </cell>
          <cell r="G47">
            <v>504033918</v>
          </cell>
          <cell r="H47" t="str">
            <v>ABIDJAN-PORT-BOUET//VOIE INCONNUE/EXTREMITE NOMINAL A PORT BOUET</v>
          </cell>
          <cell r="I47">
            <v>2843545</v>
          </cell>
          <cell r="J47" t="str">
            <v>LIAISON SPECIALISEE</v>
          </cell>
          <cell r="K47" t="str">
            <v>ftto</v>
          </cell>
          <cell r="L47" t="str">
            <v>LS</v>
          </cell>
          <cell r="M47" t="str">
            <v>NOM</v>
          </cell>
          <cell r="N47" t="str">
            <v>Offert</v>
          </cell>
          <cell r="O47" t="str">
            <v>SYTHD250400</v>
          </cell>
          <cell r="P47" t="str">
            <v>-</v>
          </cell>
          <cell r="Q47">
            <v>1000000</v>
          </cell>
          <cell r="R47">
            <v>57</v>
          </cell>
          <cell r="S47" t="str">
            <v>Non</v>
          </cell>
          <cell r="T47" t="str">
            <v>N/A</v>
          </cell>
          <cell r="U47"/>
        </row>
        <row r="48">
          <cell r="A48">
            <v>54971775</v>
          </cell>
          <cell r="B48">
            <v>46002.484699074077</v>
          </cell>
          <cell r="C48">
            <v>57796216</v>
          </cell>
          <cell r="D48">
            <v>46057.688807870371</v>
          </cell>
          <cell r="E48" t="str">
            <v>Test et recette</v>
          </cell>
          <cell r="F48" t="str">
            <v>HUAWEI PROJET MINISTERE DE LA DEFENSE</v>
          </cell>
          <cell r="G48">
            <v>504033918</v>
          </cell>
          <cell r="H48" t="str">
            <v>ABIDJAN-PORT-BOUET//VOIE INCONNUE/EXTREMITE NOMINAL A PORT BOUET</v>
          </cell>
          <cell r="I48">
            <v>2843555</v>
          </cell>
          <cell r="J48" t="str">
            <v>LIAISON SPECIALISEE</v>
          </cell>
          <cell r="K48" t="str">
            <v>fo</v>
          </cell>
          <cell r="L48" t="str">
            <v>LS</v>
          </cell>
          <cell r="M48" t="str">
            <v>NOM</v>
          </cell>
          <cell r="N48" t="str">
            <v>Offert</v>
          </cell>
          <cell r="O48" t="str">
            <v>SYTHD250397</v>
          </cell>
          <cell r="P48" t="str">
            <v>-</v>
          </cell>
          <cell r="Q48">
            <v>1000000</v>
          </cell>
          <cell r="R48">
            <v>57</v>
          </cell>
          <cell r="S48" t="str">
            <v>Oui</v>
          </cell>
          <cell r="T48" t="str">
            <v>N/A</v>
          </cell>
          <cell r="U48"/>
        </row>
        <row r="49">
          <cell r="A49">
            <v>54973195</v>
          </cell>
          <cell r="B49">
            <v>46002.492534722223</v>
          </cell>
          <cell r="C49">
            <v>56201625</v>
          </cell>
          <cell r="D49">
            <v>46027.649548611109</v>
          </cell>
          <cell r="E49" t="str">
            <v>Test et recette</v>
          </cell>
          <cell r="F49" t="str">
            <v>HUAWEI PROJET MINISTERE DE LA DEFENSE</v>
          </cell>
          <cell r="G49">
            <v>504033918</v>
          </cell>
          <cell r="H49" t="str">
            <v>ABIDJAN-PORT-BOUET//VOIE INCONNUE/EXTREMITE NOMINAL A PORT BOUET</v>
          </cell>
          <cell r="I49">
            <v>2843865</v>
          </cell>
          <cell r="J49" t="str">
            <v>LIAISON SPECIALISEE</v>
          </cell>
          <cell r="K49" t="str">
            <v>fo</v>
          </cell>
          <cell r="L49" t="str">
            <v>LS</v>
          </cell>
          <cell r="M49" t="str">
            <v>NOM</v>
          </cell>
          <cell r="N49" t="str">
            <v>Offert</v>
          </cell>
          <cell r="O49" t="str">
            <v>SYTHD250401</v>
          </cell>
          <cell r="P49" t="str">
            <v>-</v>
          </cell>
          <cell r="Q49">
            <v>500000</v>
          </cell>
          <cell r="R49">
            <v>57</v>
          </cell>
          <cell r="S49" t="str">
            <v>Non</v>
          </cell>
          <cell r="T49" t="str">
            <v>OCI</v>
          </cell>
          <cell r="U49"/>
        </row>
        <row r="50">
          <cell r="A50">
            <v>54973689</v>
          </cell>
          <cell r="B50">
            <v>46002.496215277781</v>
          </cell>
          <cell r="C50">
            <v>58676693</v>
          </cell>
          <cell r="D50">
            <v>46073.678888888891</v>
          </cell>
          <cell r="E50" t="str">
            <v>Travaux Suspendu</v>
          </cell>
          <cell r="F50" t="str">
            <v>NPW FRESH &amp;DRY CI</v>
          </cell>
          <cell r="G50">
            <v>789916125</v>
          </cell>
          <cell r="H50" t="str">
            <v>BONOUA AXE ABOISSO</v>
          </cell>
          <cell r="I50" t="str">
            <v>-</v>
          </cell>
          <cell r="J50" t="str">
            <v>SYTRAN</v>
          </cell>
          <cell r="K50" t="str">
            <v>fo</v>
          </cell>
          <cell r="L50" t="str">
            <v>LSI</v>
          </cell>
          <cell r="M50" t="str">
            <v>Nominale</v>
          </cell>
          <cell r="N50" t="str">
            <v>Offert</v>
          </cell>
          <cell r="O50" t="str">
            <v>XXXXXXXX</v>
          </cell>
          <cell r="P50" t="str">
            <v>-</v>
          </cell>
          <cell r="Q50">
            <v>0</v>
          </cell>
          <cell r="R50">
            <v>57</v>
          </cell>
          <cell r="S50" t="str">
            <v>Non</v>
          </cell>
          <cell r="T50" t="str">
            <v>OCI</v>
          </cell>
          <cell r="U50"/>
        </row>
        <row r="51">
          <cell r="A51">
            <v>54973833</v>
          </cell>
          <cell r="B51">
            <v>46002.497118055559</v>
          </cell>
          <cell r="C51">
            <v>55977868</v>
          </cell>
          <cell r="D51">
            <v>46021.498761574076</v>
          </cell>
          <cell r="E51" t="str">
            <v>Test et recette</v>
          </cell>
          <cell r="F51" t="str">
            <v>HUAWEI PROJET MINISTERE DE LA DEFENSE</v>
          </cell>
          <cell r="G51">
            <v>504033918</v>
          </cell>
          <cell r="H51" t="str">
            <v>ABIDJAN-PORT-BOUET//VOIE INCONNUE/EXTREMITE NOMINAL A PORT BOUET</v>
          </cell>
          <cell r="I51">
            <v>2843875</v>
          </cell>
          <cell r="J51" t="str">
            <v>LIAISON SPECIALISEE</v>
          </cell>
          <cell r="K51" t="str">
            <v>fo</v>
          </cell>
          <cell r="L51" t="str">
            <v>LS</v>
          </cell>
          <cell r="M51" t="str">
            <v>NOM</v>
          </cell>
          <cell r="N51" t="str">
            <v>Offert</v>
          </cell>
          <cell r="O51" t="str">
            <v>SYTHD250399</v>
          </cell>
          <cell r="P51" t="str">
            <v>-</v>
          </cell>
          <cell r="Q51">
            <v>250000</v>
          </cell>
          <cell r="R51">
            <v>57</v>
          </cell>
          <cell r="S51" t="str">
            <v>Non</v>
          </cell>
          <cell r="T51" t="str">
            <v>N/A</v>
          </cell>
          <cell r="U51"/>
        </row>
        <row r="52">
          <cell r="A52">
            <v>54976425</v>
          </cell>
          <cell r="B52">
            <v>46002.51185185185</v>
          </cell>
          <cell r="C52">
            <v>56173022</v>
          </cell>
          <cell r="D52">
            <v>46027.426307870373</v>
          </cell>
          <cell r="E52" t="str">
            <v>Test et recette</v>
          </cell>
          <cell r="F52" t="str">
            <v>HUAWEI</v>
          </cell>
          <cell r="G52">
            <v>504033919</v>
          </cell>
          <cell r="H52" t="str">
            <v>ABOISSO</v>
          </cell>
          <cell r="I52" t="str">
            <v>-</v>
          </cell>
          <cell r="J52" t="str">
            <v>BUVPN</v>
          </cell>
          <cell r="K52" t="str">
            <v>fo</v>
          </cell>
          <cell r="L52" t="str">
            <v>LS</v>
          </cell>
          <cell r="M52" t="str">
            <v>Nominale</v>
          </cell>
          <cell r="N52" t="str">
            <v>Offert</v>
          </cell>
          <cell r="O52" t="str">
            <v>SYTHD250412</v>
          </cell>
          <cell r="P52" t="str">
            <v>-</v>
          </cell>
          <cell r="Q52">
            <v>1250000</v>
          </cell>
          <cell r="R52">
            <v>57</v>
          </cell>
          <cell r="S52" t="str">
            <v>Non</v>
          </cell>
          <cell r="T52" t="str">
            <v>N/A</v>
          </cell>
          <cell r="U52"/>
        </row>
        <row r="53">
          <cell r="A53">
            <v>54978242</v>
          </cell>
          <cell r="B53">
            <v>46002.52416666667</v>
          </cell>
          <cell r="C53">
            <v>56940423</v>
          </cell>
          <cell r="D53">
            <v>46041.808541666665</v>
          </cell>
          <cell r="E53" t="str">
            <v>Test et recette</v>
          </cell>
          <cell r="F53" t="str">
            <v>HUAWEI</v>
          </cell>
          <cell r="G53">
            <v>504033919</v>
          </cell>
          <cell r="H53" t="str">
            <v>BOUNDIALI</v>
          </cell>
          <cell r="I53" t="str">
            <v>-</v>
          </cell>
          <cell r="J53" t="str">
            <v>BUVPN</v>
          </cell>
          <cell r="K53" t="str">
            <v>fo</v>
          </cell>
          <cell r="L53" t="str">
            <v>LS</v>
          </cell>
          <cell r="M53" t="str">
            <v>Nominale</v>
          </cell>
          <cell r="N53" t="str">
            <v>Offert</v>
          </cell>
          <cell r="O53" t="str">
            <v>XXXX</v>
          </cell>
          <cell r="P53" t="str">
            <v>-</v>
          </cell>
          <cell r="Q53">
            <v>500000</v>
          </cell>
          <cell r="R53">
            <v>57</v>
          </cell>
          <cell r="S53" t="str">
            <v>Non</v>
          </cell>
          <cell r="T53" t="str">
            <v>OCI</v>
          </cell>
          <cell r="U53"/>
        </row>
        <row r="54">
          <cell r="A54">
            <v>54978747</v>
          </cell>
          <cell r="B54">
            <v>46002.527129629627</v>
          </cell>
          <cell r="C54">
            <v>56590054</v>
          </cell>
          <cell r="D54">
            <v>46034.768067129633</v>
          </cell>
          <cell r="E54" t="str">
            <v>Test et recette</v>
          </cell>
          <cell r="F54" t="str">
            <v>HUAWEI</v>
          </cell>
          <cell r="G54">
            <v>504033918</v>
          </cell>
          <cell r="H54" t="str">
            <v>ABENGOUROU</v>
          </cell>
          <cell r="I54" t="str">
            <v>-</v>
          </cell>
          <cell r="J54" t="str">
            <v>BUVPN</v>
          </cell>
          <cell r="K54" t="str">
            <v>fo</v>
          </cell>
          <cell r="L54" t="str">
            <v>LS</v>
          </cell>
          <cell r="M54" t="str">
            <v>Nominale</v>
          </cell>
          <cell r="N54" t="str">
            <v>Offert</v>
          </cell>
          <cell r="O54" t="str">
            <v>SYTHD250414</v>
          </cell>
          <cell r="P54" t="str">
            <v>-</v>
          </cell>
          <cell r="Q54">
            <v>250000</v>
          </cell>
          <cell r="R54">
            <v>57</v>
          </cell>
          <cell r="S54" t="str">
            <v>Non</v>
          </cell>
          <cell r="T54" t="str">
            <v>OCI</v>
          </cell>
          <cell r="U54"/>
        </row>
        <row r="55">
          <cell r="A55">
            <v>54979384</v>
          </cell>
          <cell r="B55">
            <v>46002.532916666663</v>
          </cell>
          <cell r="C55">
            <v>58202390</v>
          </cell>
          <cell r="D55">
            <v>46065.426365740743</v>
          </cell>
          <cell r="E55" t="str">
            <v>Test et recette</v>
          </cell>
          <cell r="F55" t="str">
            <v>HUAWEI PROJET MINISTERE DE LA DEFENSE</v>
          </cell>
          <cell r="G55">
            <v>504033918</v>
          </cell>
          <cell r="H55" t="str">
            <v>ABIDJAN-PORT-BOUET//VOIE INCONNUE/EXTREMITE A PORT BOUET</v>
          </cell>
          <cell r="I55">
            <v>2843925</v>
          </cell>
          <cell r="J55" t="str">
            <v>LIAISON SPECIALISEE</v>
          </cell>
          <cell r="K55" t="str">
            <v>fo</v>
          </cell>
          <cell r="L55" t="str">
            <v>LS</v>
          </cell>
          <cell r="M55" t="str">
            <v>NOM</v>
          </cell>
          <cell r="N55" t="str">
            <v>Offert</v>
          </cell>
          <cell r="O55" t="str">
            <v>SYTHD250402</v>
          </cell>
          <cell r="P55" t="str">
            <v>-</v>
          </cell>
          <cell r="Q55">
            <v>250000</v>
          </cell>
          <cell r="R55">
            <v>57</v>
          </cell>
          <cell r="S55" t="str">
            <v>Oui</v>
          </cell>
          <cell r="T55" t="str">
            <v>N/A</v>
          </cell>
          <cell r="U55"/>
        </row>
        <row r="56">
          <cell r="A56">
            <v>54979901</v>
          </cell>
          <cell r="B56">
            <v>46002.537314814814</v>
          </cell>
          <cell r="C56">
            <v>56706837</v>
          </cell>
          <cell r="D56">
            <v>46036.801469907405</v>
          </cell>
          <cell r="E56" t="str">
            <v>Test et recette</v>
          </cell>
          <cell r="F56" t="str">
            <v>HUAWEI</v>
          </cell>
          <cell r="G56">
            <v>504033918</v>
          </cell>
          <cell r="H56" t="str">
            <v>BOUNA</v>
          </cell>
          <cell r="I56" t="str">
            <v>-</v>
          </cell>
          <cell r="J56" t="str">
            <v>BUVPN</v>
          </cell>
          <cell r="K56" t="str">
            <v>fo</v>
          </cell>
          <cell r="L56" t="str">
            <v>LS</v>
          </cell>
          <cell r="M56" t="str">
            <v>Nominale</v>
          </cell>
          <cell r="N56" t="str">
            <v>Offert</v>
          </cell>
          <cell r="O56" t="str">
            <v>SYTHD250403</v>
          </cell>
          <cell r="P56" t="str">
            <v>-</v>
          </cell>
          <cell r="Q56">
            <v>500000</v>
          </cell>
          <cell r="R56">
            <v>57</v>
          </cell>
          <cell r="S56" t="str">
            <v>Non</v>
          </cell>
          <cell r="T56" t="str">
            <v>OCI</v>
          </cell>
          <cell r="U56"/>
        </row>
        <row r="57">
          <cell r="A57">
            <v>54980338</v>
          </cell>
          <cell r="B57">
            <v>46002.541863425926</v>
          </cell>
          <cell r="C57">
            <v>56125894</v>
          </cell>
          <cell r="D57">
            <v>46024.761076388888</v>
          </cell>
          <cell r="E57" t="str">
            <v>Test et recette</v>
          </cell>
          <cell r="F57" t="str">
            <v>HUAWEI</v>
          </cell>
          <cell r="G57">
            <v>504033919</v>
          </cell>
          <cell r="H57" t="str">
            <v>FERKE</v>
          </cell>
          <cell r="I57" t="str">
            <v>-</v>
          </cell>
          <cell r="J57" t="str">
            <v>BUVPN</v>
          </cell>
          <cell r="K57" t="str">
            <v>fo</v>
          </cell>
          <cell r="L57" t="str">
            <v>LS</v>
          </cell>
          <cell r="M57" t="str">
            <v>Nominale</v>
          </cell>
          <cell r="N57" t="str">
            <v>Offert</v>
          </cell>
          <cell r="O57" t="str">
            <v>xxxxxxxx</v>
          </cell>
          <cell r="P57" t="str">
            <v>-</v>
          </cell>
          <cell r="Q57">
            <v>500000</v>
          </cell>
          <cell r="R57">
            <v>57</v>
          </cell>
          <cell r="S57" t="str">
            <v>Non</v>
          </cell>
          <cell r="T57" t="str">
            <v>OCI</v>
          </cell>
          <cell r="U57"/>
        </row>
        <row r="58">
          <cell r="A58">
            <v>54981048</v>
          </cell>
          <cell r="B58">
            <v>46002.547650462962</v>
          </cell>
          <cell r="C58">
            <v>57301594</v>
          </cell>
          <cell r="D58">
            <v>46048.775937500002</v>
          </cell>
          <cell r="E58" t="str">
            <v>Test et recette</v>
          </cell>
          <cell r="F58" t="str">
            <v>HUAWEI PROJET MINISTERE DE LA DEFENSE</v>
          </cell>
          <cell r="G58">
            <v>504033918</v>
          </cell>
          <cell r="H58" t="str">
            <v>ABIDJAN-PORT-BOUET//VOIE INCONNUE/EXTREMITE A PORT BOUET</v>
          </cell>
          <cell r="I58">
            <v>2844025</v>
          </cell>
          <cell r="J58" t="str">
            <v>LIAISON SPECIALISEE</v>
          </cell>
          <cell r="K58" t="str">
            <v>fo</v>
          </cell>
          <cell r="L58" t="str">
            <v>LS</v>
          </cell>
          <cell r="M58" t="str">
            <v>NOM</v>
          </cell>
          <cell r="N58" t="str">
            <v>Offert</v>
          </cell>
          <cell r="O58" t="str">
            <v>SYTHD250404</v>
          </cell>
          <cell r="P58" t="str">
            <v>-</v>
          </cell>
          <cell r="Q58">
            <v>500000</v>
          </cell>
          <cell r="R58">
            <v>57</v>
          </cell>
          <cell r="S58" t="str">
            <v>Oui</v>
          </cell>
          <cell r="T58" t="str">
            <v>N/A</v>
          </cell>
          <cell r="U58"/>
        </row>
        <row r="59">
          <cell r="A59">
            <v>54990268</v>
          </cell>
          <cell r="B59">
            <v>46002.615995370368</v>
          </cell>
          <cell r="C59">
            <v>59026386</v>
          </cell>
          <cell r="D59">
            <v>46079.684884259259</v>
          </cell>
          <cell r="E59" t="str">
            <v>Cordonnateur Prestatataire: Affectation Technicien</v>
          </cell>
          <cell r="F59" t="str">
            <v>DEMANDE INTERNE LS NIVEAU 2 10MB KM4 ET GOS VITIB</v>
          </cell>
          <cell r="G59">
            <v>707736780</v>
          </cell>
          <cell r="H59" t="str">
            <v>ABIDJAN-MARCORY//VOIE INCONNUE/</v>
          </cell>
          <cell r="I59">
            <v>2844635</v>
          </cell>
          <cell r="J59" t="str">
            <v>LIAISON SPECIALISEE</v>
          </cell>
          <cell r="K59" t="str">
            <v>fo</v>
          </cell>
          <cell r="L59" t="str">
            <v>LS</v>
          </cell>
          <cell r="M59" t="str">
            <v>Nominale</v>
          </cell>
          <cell r="N59" t="str">
            <v>Encours</v>
          </cell>
          <cell r="O59" t="str">
            <v>SYTHD260012</v>
          </cell>
          <cell r="P59" t="str">
            <v>-</v>
          </cell>
          <cell r="Q59">
            <v>78000</v>
          </cell>
          <cell r="R59">
            <v>57</v>
          </cell>
          <cell r="S59" t="str">
            <v>Non</v>
          </cell>
          <cell r="T59" t="str">
            <v>N/A</v>
          </cell>
          <cell r="U59"/>
        </row>
        <row r="60">
          <cell r="A60">
            <v>54992969</v>
          </cell>
          <cell r="B60">
            <v>46002.631724537037</v>
          </cell>
          <cell r="C60">
            <v>56675990</v>
          </cell>
          <cell r="D60">
            <v>46036.52447916667</v>
          </cell>
          <cell r="E60" t="str">
            <v>SIE : Mise en service GAIA</v>
          </cell>
          <cell r="F60" t="str">
            <v>NANO</v>
          </cell>
          <cell r="G60">
            <v>2723535999</v>
          </cell>
          <cell r="H60" t="str">
            <v>YOPOUGON ANDOKOI</v>
          </cell>
          <cell r="I60" t="str">
            <v>-</v>
          </cell>
          <cell r="J60" t="str">
            <v>T2</v>
          </cell>
          <cell r="K60" t="str">
            <v>ftto_virage</v>
          </cell>
          <cell r="L60" t="str">
            <v>numerique</v>
          </cell>
          <cell r="M60" t="str">
            <v>Nominale</v>
          </cell>
          <cell r="N60"/>
          <cell r="O60">
            <v>2723489320</v>
          </cell>
          <cell r="P60" t="str">
            <v>-</v>
          </cell>
          <cell r="Q60" t="str">
            <v>-</v>
          </cell>
          <cell r="R60">
            <v>57</v>
          </cell>
          <cell r="S60" t="str">
            <v>Non</v>
          </cell>
          <cell r="T60" t="str">
            <v>N/A</v>
          </cell>
          <cell r="U60"/>
        </row>
        <row r="61">
          <cell r="A61">
            <v>55049152</v>
          </cell>
          <cell r="B61">
            <v>46003.524687500001</v>
          </cell>
          <cell r="C61">
            <v>56726990</v>
          </cell>
          <cell r="D61">
            <v>46037.487523148149</v>
          </cell>
          <cell r="E61" t="str">
            <v>Saisie ASCOM</v>
          </cell>
          <cell r="F61" t="str">
            <v>STE AVENI-RE</v>
          </cell>
          <cell r="G61">
            <v>707064709</v>
          </cell>
          <cell r="H61" t="str">
            <v>COCODY ANGRE 7e TRANCHE</v>
          </cell>
          <cell r="I61" t="str">
            <v>-</v>
          </cell>
          <cell r="J61" t="str">
            <v>VPNLL</v>
          </cell>
          <cell r="K61" t="str">
            <v>fo</v>
          </cell>
          <cell r="L61" t="str">
            <v>LS</v>
          </cell>
          <cell r="M61" t="str">
            <v>Nominale</v>
          </cell>
          <cell r="N61" t="str">
            <v>Offert</v>
          </cell>
          <cell r="O61" t="str">
            <v>xxxx</v>
          </cell>
          <cell r="P61" t="str">
            <v>-</v>
          </cell>
          <cell r="Q61">
            <v>500000</v>
          </cell>
          <cell r="R61">
            <v>56</v>
          </cell>
          <cell r="S61" t="str">
            <v>Non</v>
          </cell>
          <cell r="T61" t="str">
            <v>N/A</v>
          </cell>
          <cell r="U61"/>
        </row>
        <row r="62">
          <cell r="A62">
            <v>55103426</v>
          </cell>
          <cell r="B62">
            <v>46004.462696759256</v>
          </cell>
          <cell r="C62">
            <v>56980857</v>
          </cell>
          <cell r="D62">
            <v>46042.628101851849</v>
          </cell>
          <cell r="E62" t="str">
            <v>Test et recette</v>
          </cell>
          <cell r="F62" t="str">
            <v>HUAWEI</v>
          </cell>
          <cell r="G62">
            <v>504033918</v>
          </cell>
          <cell r="H62" t="str">
            <v>TENGRELA</v>
          </cell>
          <cell r="I62" t="str">
            <v>-</v>
          </cell>
          <cell r="J62" t="str">
            <v>BUVPN</v>
          </cell>
          <cell r="K62" t="str">
            <v>fo</v>
          </cell>
          <cell r="L62" t="str">
            <v>LS</v>
          </cell>
          <cell r="M62" t="str">
            <v>Nominale</v>
          </cell>
          <cell r="N62" t="str">
            <v>Offert</v>
          </cell>
          <cell r="O62" t="str">
            <v>SYTHD250405</v>
          </cell>
          <cell r="P62" t="str">
            <v>-</v>
          </cell>
          <cell r="Q62">
            <v>500000</v>
          </cell>
          <cell r="R62">
            <v>55</v>
          </cell>
          <cell r="S62" t="str">
            <v>Non</v>
          </cell>
          <cell r="T62" t="str">
            <v>N/A</v>
          </cell>
          <cell r="U62"/>
        </row>
        <row r="63">
          <cell r="A63">
            <v>55104019</v>
          </cell>
          <cell r="B63">
            <v>46004.469606481478</v>
          </cell>
          <cell r="C63">
            <v>56566265</v>
          </cell>
          <cell r="D63">
            <v>46034.582673611112</v>
          </cell>
          <cell r="E63" t="str">
            <v>Travaux Suspendu</v>
          </cell>
          <cell r="F63" t="str">
            <v>HUAWEI</v>
          </cell>
          <cell r="G63">
            <v>504033918</v>
          </cell>
          <cell r="H63" t="str">
            <v>SEGUELA</v>
          </cell>
          <cell r="I63" t="str">
            <v>-</v>
          </cell>
          <cell r="J63" t="str">
            <v>BUVPN</v>
          </cell>
          <cell r="K63" t="str">
            <v>fo</v>
          </cell>
          <cell r="L63" t="str">
            <v>LS</v>
          </cell>
          <cell r="M63" t="str">
            <v>Nominale</v>
          </cell>
          <cell r="N63" t="str">
            <v>Offert</v>
          </cell>
          <cell r="O63" t="str">
            <v>XXXXXXXXXXX</v>
          </cell>
          <cell r="P63" t="str">
            <v>-</v>
          </cell>
          <cell r="Q63">
            <v>4000000</v>
          </cell>
          <cell r="R63">
            <v>55</v>
          </cell>
          <cell r="S63" t="str">
            <v>Oui</v>
          </cell>
          <cell r="T63" t="str">
            <v>OCI</v>
          </cell>
          <cell r="U63" t="str">
            <v>DDPE</v>
          </cell>
        </row>
        <row r="64">
          <cell r="A64">
            <v>55104619</v>
          </cell>
          <cell r="B64">
            <v>46004.476504629631</v>
          </cell>
          <cell r="C64">
            <v>56173027</v>
          </cell>
          <cell r="D64">
            <v>46027.426435185182</v>
          </cell>
          <cell r="E64" t="str">
            <v>Test et recette</v>
          </cell>
          <cell r="F64" t="str">
            <v>HUAWEI</v>
          </cell>
          <cell r="G64">
            <v>504033918</v>
          </cell>
          <cell r="H64" t="str">
            <v>ADIAKE</v>
          </cell>
          <cell r="I64" t="str">
            <v>-</v>
          </cell>
          <cell r="J64" t="str">
            <v>BUVPN</v>
          </cell>
          <cell r="K64" t="str">
            <v>fo</v>
          </cell>
          <cell r="L64" t="str">
            <v>LS</v>
          </cell>
          <cell r="M64" t="str">
            <v>Nominale</v>
          </cell>
          <cell r="N64" t="str">
            <v>Offert</v>
          </cell>
          <cell r="O64" t="str">
            <v>XXXXXXXXXX</v>
          </cell>
          <cell r="P64" t="str">
            <v>-</v>
          </cell>
          <cell r="Q64" t="str">
            <v>1.000 000</v>
          </cell>
          <cell r="R64">
            <v>55</v>
          </cell>
          <cell r="S64" t="str">
            <v>Non</v>
          </cell>
          <cell r="T64" t="str">
            <v>N/A</v>
          </cell>
          <cell r="U64"/>
        </row>
        <row r="65">
          <cell r="A65">
            <v>55105103</v>
          </cell>
          <cell r="B65">
            <v>46004.481180555558</v>
          </cell>
          <cell r="C65">
            <v>56940307</v>
          </cell>
          <cell r="D65">
            <v>46041.803784722222</v>
          </cell>
          <cell r="E65" t="str">
            <v>Test et recette</v>
          </cell>
          <cell r="F65" t="str">
            <v>HUAWEI</v>
          </cell>
          <cell r="G65">
            <v>504033918</v>
          </cell>
          <cell r="H65" t="str">
            <v>KONG</v>
          </cell>
          <cell r="I65" t="str">
            <v>-</v>
          </cell>
          <cell r="J65" t="str">
            <v>BUVPN</v>
          </cell>
          <cell r="K65" t="str">
            <v>fo</v>
          </cell>
          <cell r="L65" t="str">
            <v>LS</v>
          </cell>
          <cell r="M65" t="str">
            <v>Nominale</v>
          </cell>
          <cell r="N65" t="str">
            <v>Offert</v>
          </cell>
          <cell r="O65" t="str">
            <v>XXXX</v>
          </cell>
          <cell r="P65" t="str">
            <v>-</v>
          </cell>
          <cell r="Q65">
            <v>1500000</v>
          </cell>
          <cell r="R65">
            <v>55</v>
          </cell>
          <cell r="S65" t="str">
            <v>Non</v>
          </cell>
          <cell r="T65" t="str">
            <v>OCI</v>
          </cell>
          <cell r="U65"/>
        </row>
        <row r="66">
          <cell r="A66">
            <v>55105296</v>
          </cell>
          <cell r="B66">
            <v>46004.482812499999</v>
          </cell>
          <cell r="C66">
            <v>56644199</v>
          </cell>
          <cell r="D66">
            <v>46035.719004629631</v>
          </cell>
          <cell r="E66" t="str">
            <v>Test et recette</v>
          </cell>
          <cell r="F66" t="str">
            <v>HUAWEI</v>
          </cell>
          <cell r="G66">
            <v>504033918</v>
          </cell>
          <cell r="H66" t="str">
            <v>KOUTO</v>
          </cell>
          <cell r="I66" t="str">
            <v>-</v>
          </cell>
          <cell r="J66" t="str">
            <v>BUVPN</v>
          </cell>
          <cell r="K66" t="str">
            <v>fo</v>
          </cell>
          <cell r="L66" t="str">
            <v>LS</v>
          </cell>
          <cell r="M66" t="str">
            <v>Nominale</v>
          </cell>
          <cell r="N66" t="str">
            <v>Offert</v>
          </cell>
          <cell r="O66" t="str">
            <v>SYTHD250410</v>
          </cell>
          <cell r="P66" t="str">
            <v>-</v>
          </cell>
          <cell r="Q66">
            <v>1500000</v>
          </cell>
          <cell r="R66">
            <v>55</v>
          </cell>
          <cell r="S66" t="str">
            <v>Non</v>
          </cell>
          <cell r="T66" t="str">
            <v>N/A</v>
          </cell>
          <cell r="U66"/>
        </row>
        <row r="67">
          <cell r="A67">
            <v>55105778</v>
          </cell>
          <cell r="B67">
            <v>46004.488680555558</v>
          </cell>
          <cell r="C67">
            <v>59018841</v>
          </cell>
          <cell r="D67">
            <v>46079.6325</v>
          </cell>
          <cell r="E67" t="str">
            <v>Test et recette</v>
          </cell>
          <cell r="F67" t="str">
            <v>HUAWEI</v>
          </cell>
          <cell r="G67">
            <v>504033918</v>
          </cell>
          <cell r="H67" t="str">
            <v>MAN</v>
          </cell>
          <cell r="I67" t="str">
            <v>-</v>
          </cell>
          <cell r="J67" t="str">
            <v>BUVPN</v>
          </cell>
          <cell r="K67" t="str">
            <v>fo</v>
          </cell>
          <cell r="L67" t="str">
            <v>LS</v>
          </cell>
          <cell r="M67" t="str">
            <v>Nominale</v>
          </cell>
          <cell r="N67" t="str">
            <v>Offert</v>
          </cell>
          <cell r="O67" t="str">
            <v>SYTHD250407</v>
          </cell>
          <cell r="P67" t="str">
            <v>-</v>
          </cell>
          <cell r="Q67">
            <v>1000000</v>
          </cell>
          <cell r="R67">
            <v>55</v>
          </cell>
          <cell r="S67" t="str">
            <v>Oui</v>
          </cell>
          <cell r="T67" t="str">
            <v>N/A</v>
          </cell>
          <cell r="U67"/>
        </row>
        <row r="68">
          <cell r="A68">
            <v>55105863</v>
          </cell>
          <cell r="B68">
            <v>46004.489374999997</v>
          </cell>
          <cell r="C68">
            <v>58222196</v>
          </cell>
          <cell r="D68">
            <v>46065.587708333333</v>
          </cell>
          <cell r="E68" t="str">
            <v>Test et recette</v>
          </cell>
          <cell r="F68" t="str">
            <v>HUAWEI</v>
          </cell>
          <cell r="G68">
            <v>504033918</v>
          </cell>
          <cell r="H68" t="str">
            <v>ABIDJAN-PORT-BOUET//VOIE INCONNUE/EXTREMITE NOMINAL A PORT BOUET</v>
          </cell>
          <cell r="I68">
            <v>2842855</v>
          </cell>
          <cell r="J68" t="str">
            <v>LIAISON SPECIALISEE</v>
          </cell>
          <cell r="K68" t="str">
            <v>fo</v>
          </cell>
          <cell r="L68" t="str">
            <v>LS</v>
          </cell>
          <cell r="M68" t="str">
            <v>Nominale</v>
          </cell>
          <cell r="N68" t="str">
            <v>Offert</v>
          </cell>
          <cell r="O68" t="str">
            <v>SYTHD250411</v>
          </cell>
          <cell r="P68" t="str">
            <v>-</v>
          </cell>
          <cell r="Q68">
            <v>1250000</v>
          </cell>
          <cell r="R68">
            <v>55</v>
          </cell>
          <cell r="S68" t="str">
            <v>Oui</v>
          </cell>
          <cell r="T68" t="str">
            <v>N/A</v>
          </cell>
          <cell r="U68"/>
        </row>
        <row r="69">
          <cell r="A69">
            <v>55476623</v>
          </cell>
          <cell r="B69">
            <v>46010.646481481483</v>
          </cell>
          <cell r="C69">
            <v>56108841</v>
          </cell>
          <cell r="D69">
            <v>46024.572210648148</v>
          </cell>
          <cell r="E69" t="str">
            <v>Etude Suspendu</v>
          </cell>
          <cell r="F69" t="str">
            <v>CAN 2025</v>
          </cell>
          <cell r="G69">
            <v>707701545</v>
          </cell>
          <cell r="H69" t="str">
            <v>ITC MANDJARO</v>
          </cell>
          <cell r="I69" t="str">
            <v>-</v>
          </cell>
          <cell r="J69" t="str">
            <v>SYTRAN</v>
          </cell>
          <cell r="K69" t="str">
            <v>fo</v>
          </cell>
          <cell r="L69" t="str">
            <v>LSI</v>
          </cell>
          <cell r="M69" t="str">
            <v>Temporaire</v>
          </cell>
          <cell r="N69" t="str">
            <v>Offert</v>
          </cell>
          <cell r="O69" t="str">
            <v>XXXXXXXXX</v>
          </cell>
          <cell r="P69" t="str">
            <v>-</v>
          </cell>
          <cell r="Q69">
            <v>5324000</v>
          </cell>
          <cell r="R69">
            <v>51</v>
          </cell>
          <cell r="S69" t="str">
            <v>Non</v>
          </cell>
          <cell r="T69" t="str">
            <v xml:space="preserve">CLIENT </v>
          </cell>
          <cell r="U69"/>
        </row>
        <row r="70">
          <cell r="A70">
            <v>55477827</v>
          </cell>
          <cell r="B70">
            <v>46010.653912037036</v>
          </cell>
          <cell r="C70">
            <v>56360428</v>
          </cell>
          <cell r="D70">
            <v>46030.346030092594</v>
          </cell>
          <cell r="E70" t="str">
            <v>Etude Suspendu</v>
          </cell>
          <cell r="F70" t="str">
            <v>CAN 2025</v>
          </cell>
          <cell r="G70">
            <v>707701545</v>
          </cell>
          <cell r="H70" t="str">
            <v>ITC(MANDJARO)</v>
          </cell>
          <cell r="I70" t="str">
            <v>-</v>
          </cell>
          <cell r="J70" t="str">
            <v>BUVPN</v>
          </cell>
          <cell r="K70" t="str">
            <v>fo</v>
          </cell>
          <cell r="L70" t="str">
            <v>LS</v>
          </cell>
          <cell r="M70" t="str">
            <v>Temporaire</v>
          </cell>
          <cell r="N70" t="str">
            <v>Offert</v>
          </cell>
          <cell r="O70" t="str">
            <v>XXXXXXXX</v>
          </cell>
          <cell r="P70" t="str">
            <v>-</v>
          </cell>
          <cell r="Q70">
            <v>293000</v>
          </cell>
          <cell r="R70">
            <v>51</v>
          </cell>
          <cell r="S70" t="str">
            <v>Non</v>
          </cell>
          <cell r="T70" t="str">
            <v xml:space="preserve">CLIENT </v>
          </cell>
          <cell r="U70"/>
        </row>
        <row r="71">
          <cell r="A71">
            <v>55490966</v>
          </cell>
          <cell r="B71">
            <v>46010.764004629629</v>
          </cell>
          <cell r="C71">
            <v>59030110</v>
          </cell>
          <cell r="D71">
            <v>46079.711527777778</v>
          </cell>
          <cell r="E71" t="str">
            <v>Cordonnateur Prestatataire: Affectation Technicien</v>
          </cell>
          <cell r="F71" t="str">
            <v>DOUANES</v>
          </cell>
          <cell r="G71">
            <v>707098376</v>
          </cell>
          <cell r="H71" t="str">
            <v>ABIDJAN-MARCORY//VOIE INCONNUE/RUE THOMAS EDISSON</v>
          </cell>
          <cell r="I71">
            <v>1763406</v>
          </cell>
          <cell r="J71" t="str">
            <v>IP Connect LL</v>
          </cell>
          <cell r="K71" t="str">
            <v>ftto</v>
          </cell>
          <cell r="L71" t="str">
            <v>LS</v>
          </cell>
          <cell r="M71" t="str">
            <v>Backup</v>
          </cell>
          <cell r="N71" t="str">
            <v>Encours</v>
          </cell>
          <cell r="O71" t="str">
            <v>BUVPN260035</v>
          </cell>
          <cell r="P71" t="str">
            <v>-</v>
          </cell>
          <cell r="Q71">
            <v>0</v>
          </cell>
          <cell r="R71">
            <v>51</v>
          </cell>
          <cell r="S71" t="str">
            <v>Non</v>
          </cell>
          <cell r="T71" t="str">
            <v>OCI</v>
          </cell>
          <cell r="U71"/>
        </row>
        <row r="72">
          <cell r="A72">
            <v>55636282</v>
          </cell>
          <cell r="B72">
            <v>46014.435729166667</v>
          </cell>
          <cell r="C72">
            <v>57367586</v>
          </cell>
          <cell r="D72">
            <v>46049.856261574074</v>
          </cell>
          <cell r="E72" t="str">
            <v>Raccordement Suspendu</v>
          </cell>
          <cell r="F72" t="str">
            <v>CONSEIL REGIONAL DE LA MARAHOUE</v>
          </cell>
          <cell r="G72">
            <v>759003900</v>
          </cell>
          <cell r="H72" t="str">
            <v>BOUAFLE</v>
          </cell>
          <cell r="I72" t="str">
            <v>-</v>
          </cell>
          <cell r="J72" t="str">
            <v>SYTRAN</v>
          </cell>
          <cell r="K72" t="str">
            <v>fo</v>
          </cell>
          <cell r="L72" t="str">
            <v>LSI</v>
          </cell>
          <cell r="M72" t="str">
            <v>Nominale</v>
          </cell>
          <cell r="N72" t="str">
            <v>Offert</v>
          </cell>
          <cell r="O72" t="str">
            <v>X</v>
          </cell>
          <cell r="P72" t="str">
            <v>-</v>
          </cell>
          <cell r="Q72">
            <v>918681</v>
          </cell>
          <cell r="R72">
            <v>49</v>
          </cell>
          <cell r="S72" t="str">
            <v>Non</v>
          </cell>
          <cell r="T72" t="str">
            <v xml:space="preserve">CLIENT </v>
          </cell>
          <cell r="U72"/>
        </row>
        <row r="73">
          <cell r="A73">
            <v>55643054</v>
          </cell>
          <cell r="B73">
            <v>46014.48027777778</v>
          </cell>
          <cell r="C73">
            <v>58959415</v>
          </cell>
          <cell r="D73">
            <v>46078.666828703703</v>
          </cell>
          <cell r="E73" t="str">
            <v>Transmission Plans Equipe Numerisation</v>
          </cell>
          <cell r="F73" t="str">
            <v>CONSEIL REGIONAL DE LA MARAHOUE</v>
          </cell>
          <cell r="G73">
            <v>759003900</v>
          </cell>
          <cell r="H73" t="str">
            <v>BOUAFLE</v>
          </cell>
          <cell r="I73" t="str">
            <v>-</v>
          </cell>
          <cell r="J73" t="str">
            <v>SYTRAN</v>
          </cell>
          <cell r="K73" t="str">
            <v>fo</v>
          </cell>
          <cell r="L73" t="str">
            <v>LSI</v>
          </cell>
          <cell r="M73" t="str">
            <v>Nominale</v>
          </cell>
          <cell r="N73" t="str">
            <v>Offert</v>
          </cell>
          <cell r="O73" t="str">
            <v>x</v>
          </cell>
          <cell r="P73" t="str">
            <v>-</v>
          </cell>
          <cell r="Q73">
            <v>835588</v>
          </cell>
          <cell r="R73">
            <v>49</v>
          </cell>
          <cell r="S73" t="str">
            <v>Non</v>
          </cell>
          <cell r="T73" t="str">
            <v>N/A</v>
          </cell>
          <cell r="U73"/>
        </row>
        <row r="74">
          <cell r="A74">
            <v>55686160</v>
          </cell>
          <cell r="B74">
            <v>46015.355868055558</v>
          </cell>
          <cell r="C74">
            <v>58214558</v>
          </cell>
          <cell r="D74">
            <v>46065.517453703702</v>
          </cell>
          <cell r="E74" t="str">
            <v>Travaux Suspendu</v>
          </cell>
          <cell r="F74" t="str">
            <v>INSTITUT NATIONAL DE CARDIOLOGIE</v>
          </cell>
          <cell r="G74">
            <v>777765287</v>
          </cell>
          <cell r="H74" t="str">
            <v>BOUAKE</v>
          </cell>
          <cell r="I74" t="str">
            <v>-</v>
          </cell>
          <cell r="J74" t="str">
            <v>SYTRAN</v>
          </cell>
          <cell r="K74" t="str">
            <v>fo</v>
          </cell>
          <cell r="L74" t="str">
            <v>LSI</v>
          </cell>
          <cell r="M74" t="str">
            <v>Nominale</v>
          </cell>
          <cell r="N74" t="str">
            <v>Offert</v>
          </cell>
          <cell r="O74" t="str">
            <v>XXXX</v>
          </cell>
          <cell r="P74" t="str">
            <v>-</v>
          </cell>
          <cell r="Q74">
            <v>850887</v>
          </cell>
          <cell r="R74">
            <v>48</v>
          </cell>
          <cell r="S74" t="str">
            <v>Non</v>
          </cell>
          <cell r="T74" t="str">
            <v xml:space="preserve">CLIENT </v>
          </cell>
          <cell r="U74"/>
        </row>
        <row r="75">
          <cell r="A75">
            <v>55694485</v>
          </cell>
          <cell r="B75">
            <v>46015.420092592591</v>
          </cell>
          <cell r="C75">
            <v>56752240</v>
          </cell>
          <cell r="D75">
            <v>46037.705520833333</v>
          </cell>
          <cell r="E75" t="str">
            <v>Travaux Suspendu</v>
          </cell>
          <cell r="F75" t="str">
            <v>DISTRICT AUTONOME DES LACS</v>
          </cell>
          <cell r="G75">
            <v>749338073</v>
          </cell>
          <cell r="H75" t="str">
            <v>DIMBOKRO</v>
          </cell>
          <cell r="I75" t="str">
            <v>-</v>
          </cell>
          <cell r="J75" t="str">
            <v>SYTRAN</v>
          </cell>
          <cell r="K75" t="str">
            <v>fo</v>
          </cell>
          <cell r="L75" t="str">
            <v>LSI</v>
          </cell>
          <cell r="M75" t="str">
            <v>Nominale</v>
          </cell>
          <cell r="N75" t="str">
            <v>Offert</v>
          </cell>
          <cell r="O75" t="str">
            <v>X</v>
          </cell>
          <cell r="P75" t="str">
            <v>-</v>
          </cell>
          <cell r="Q75">
            <v>638462</v>
          </cell>
          <cell r="R75">
            <v>48</v>
          </cell>
          <cell r="S75" t="str">
            <v>Non</v>
          </cell>
          <cell r="T75" t="str">
            <v xml:space="preserve">CLIENT </v>
          </cell>
          <cell r="U75"/>
        </row>
        <row r="76">
          <cell r="A76">
            <v>56181778</v>
          </cell>
          <cell r="B76">
            <v>46027.499212962961</v>
          </cell>
          <cell r="C76">
            <v>58134558</v>
          </cell>
          <cell r="D76">
            <v>46064.396203703705</v>
          </cell>
          <cell r="E76" t="str">
            <v>Cordonnateur Prestatataire: Affectation Technicien</v>
          </cell>
          <cell r="F76" t="str">
            <v>HOTEL LA GRACE KREGBE</v>
          </cell>
          <cell r="G76">
            <v>585990976</v>
          </cell>
          <cell r="H76" t="str">
            <v>KREGBE//VOIE INCONNUE/DAOUKRO KREGBE</v>
          </cell>
          <cell r="I76">
            <v>1765416</v>
          </cell>
          <cell r="J76" t="str">
            <v>LIAISON SPECIALISEE</v>
          </cell>
          <cell r="K76" t="str">
            <v>fo</v>
          </cell>
          <cell r="L76" t="str">
            <v>LSI</v>
          </cell>
          <cell r="M76" t="str">
            <v>Nominale</v>
          </cell>
          <cell r="N76" t="str">
            <v>Offert</v>
          </cell>
          <cell r="O76" t="str">
            <v>SYTHD260009</v>
          </cell>
          <cell r="P76" t="str">
            <v>-</v>
          </cell>
          <cell r="Q76">
            <v>3000000</v>
          </cell>
          <cell r="R76">
            <v>40</v>
          </cell>
          <cell r="S76" t="str">
            <v>Non</v>
          </cell>
          <cell r="T76" t="str">
            <v>N/A</v>
          </cell>
          <cell r="U76" t="str">
            <v>Congection dans la zone</v>
          </cell>
        </row>
        <row r="77">
          <cell r="A77">
            <v>56312533</v>
          </cell>
          <cell r="B77">
            <v>46029.462465277778</v>
          </cell>
          <cell r="C77">
            <v>58622103</v>
          </cell>
          <cell r="D77">
            <v>46072.742013888892</v>
          </cell>
          <cell r="E77" t="str">
            <v>Transmission Plans Equipe Numerisation</v>
          </cell>
          <cell r="F77" t="str">
            <v>ECOBANK</v>
          </cell>
          <cell r="G77">
            <v>708448850</v>
          </cell>
          <cell r="H77" t="str">
            <v>ABIDJAN-TREICHVILLE//VOIE INCONNUE/ZONE 3</v>
          </cell>
          <cell r="I77">
            <v>1775246</v>
          </cell>
          <cell r="J77" t="str">
            <v>IP Connect LL</v>
          </cell>
          <cell r="K77" t="str">
            <v>ftto</v>
          </cell>
          <cell r="L77" t="str">
            <v>LS</v>
          </cell>
          <cell r="M77" t="str">
            <v>NOM</v>
          </cell>
          <cell r="N77" t="str">
            <v>Offert</v>
          </cell>
          <cell r="O77" t="str">
            <v>BUVPN260031</v>
          </cell>
          <cell r="P77" t="str">
            <v>-</v>
          </cell>
          <cell r="Q77">
            <v>500000</v>
          </cell>
          <cell r="R77">
            <v>38</v>
          </cell>
          <cell r="S77" t="str">
            <v>Non</v>
          </cell>
          <cell r="T77" t="str">
            <v>OCI</v>
          </cell>
          <cell r="U77"/>
        </row>
        <row r="78">
          <cell r="A78">
            <v>56336786</v>
          </cell>
          <cell r="B78">
            <v>46029.651562500003</v>
          </cell>
          <cell r="C78">
            <v>58181391</v>
          </cell>
          <cell r="D78">
            <v>46064.764224537037</v>
          </cell>
          <cell r="E78" t="str">
            <v>Transmission Plans Equipe Numerisation</v>
          </cell>
          <cell r="F78" t="str">
            <v>MANTRA IVOIRE</v>
          </cell>
          <cell r="G78">
            <v>546008131</v>
          </cell>
          <cell r="H78" t="str">
            <v>ABIDJAN-TREICHVILLE//VOIE INCONNUE/EXTREMITE A TREICHVILLE VRIDI</v>
          </cell>
          <cell r="I78">
            <v>1773816</v>
          </cell>
          <cell r="J78" t="str">
            <v>IP Connect LL</v>
          </cell>
          <cell r="K78" t="str">
            <v>fo</v>
          </cell>
          <cell r="L78" t="str">
            <v>LS</v>
          </cell>
          <cell r="M78" t="str">
            <v>NOM</v>
          </cell>
          <cell r="N78" t="str">
            <v>Offert</v>
          </cell>
          <cell r="O78" t="str">
            <v>BUVPN260022</v>
          </cell>
          <cell r="P78" t="str">
            <v>-</v>
          </cell>
          <cell r="Q78">
            <v>1100000</v>
          </cell>
          <cell r="R78">
            <v>38</v>
          </cell>
          <cell r="S78" t="str">
            <v>Non</v>
          </cell>
          <cell r="T78" t="str">
            <v>OCI</v>
          </cell>
          <cell r="U78"/>
        </row>
        <row r="79">
          <cell r="A79">
            <v>56460494</v>
          </cell>
          <cell r="B79">
            <v>46031.688935185186</v>
          </cell>
          <cell r="C79">
            <v>58549829</v>
          </cell>
          <cell r="D79">
            <v>46071.689143518517</v>
          </cell>
          <cell r="E79" t="str">
            <v>Test et recette</v>
          </cell>
          <cell r="F79" t="str">
            <v>BGFI SERVICES SIMAO</v>
          </cell>
          <cell r="G79">
            <v>758513012</v>
          </cell>
          <cell r="H79" t="str">
            <v>ABIDJAN-COCODY//VOIE INCONNUE/COCODY</v>
          </cell>
          <cell r="I79">
            <v>1771006</v>
          </cell>
          <cell r="J79" t="str">
            <v>IP Connect LL</v>
          </cell>
          <cell r="K79" t="str">
            <v>ftto</v>
          </cell>
          <cell r="L79" t="str">
            <v>LS</v>
          </cell>
          <cell r="M79" t="str">
            <v>Nominale</v>
          </cell>
          <cell r="N79" t="str">
            <v>Offert</v>
          </cell>
          <cell r="O79" t="str">
            <v>BUVPN260017</v>
          </cell>
          <cell r="P79" t="str">
            <v>-</v>
          </cell>
          <cell r="Q79">
            <v>500000</v>
          </cell>
          <cell r="R79">
            <v>36</v>
          </cell>
          <cell r="S79" t="str">
            <v>Non</v>
          </cell>
          <cell r="T79" t="str">
            <v xml:space="preserve">CLIENT </v>
          </cell>
          <cell r="U79"/>
        </row>
        <row r="80">
          <cell r="A80">
            <v>56462874</v>
          </cell>
          <cell r="B80">
            <v>46031.708611111113</v>
          </cell>
          <cell r="C80">
            <v>58586039</v>
          </cell>
          <cell r="D80">
            <v>46072.458275462966</v>
          </cell>
          <cell r="E80" t="str">
            <v>Transmission Plans Equipe Numerisation</v>
          </cell>
          <cell r="F80" t="str">
            <v>BGFI SERVICES SIMAO</v>
          </cell>
          <cell r="G80">
            <v>758513012</v>
          </cell>
          <cell r="H80" t="str">
            <v>COCODY</v>
          </cell>
          <cell r="I80" t="str">
            <v>-</v>
          </cell>
          <cell r="J80" t="str">
            <v>SYTRAN</v>
          </cell>
          <cell r="K80" t="str">
            <v>fo</v>
          </cell>
          <cell r="L80" t="str">
            <v>LSI</v>
          </cell>
          <cell r="M80" t="str">
            <v>Nominale</v>
          </cell>
          <cell r="N80" t="str">
            <v>Offert</v>
          </cell>
          <cell r="O80" t="str">
            <v>XXXXXX</v>
          </cell>
          <cell r="P80" t="str">
            <v>-</v>
          </cell>
          <cell r="Q80">
            <v>500000</v>
          </cell>
          <cell r="R80">
            <v>36</v>
          </cell>
          <cell r="S80" t="str">
            <v>Non</v>
          </cell>
          <cell r="T80" t="str">
            <v xml:space="preserve">CLIENT </v>
          </cell>
          <cell r="U80"/>
        </row>
        <row r="81">
          <cell r="A81">
            <v>56551209</v>
          </cell>
          <cell r="B81">
            <v>46034.464270833334</v>
          </cell>
          <cell r="C81">
            <v>58307521</v>
          </cell>
          <cell r="D81">
            <v>46066.820775462962</v>
          </cell>
          <cell r="E81" t="str">
            <v>Transmission Plans Equipe Numerisation</v>
          </cell>
          <cell r="F81" t="str">
            <v>AUTORITE DE REGULATION DU SYSTEME DERECEPISSES D'ENTREPOSAGE</v>
          </cell>
          <cell r="G81">
            <v>707721915</v>
          </cell>
          <cell r="H81" t="str">
            <v>ABIDJAN-PLATEAU IMMEUBLE CAISTAB 7ème ETAGE</v>
          </cell>
          <cell r="I81" t="str">
            <v>-</v>
          </cell>
          <cell r="J81" t="str">
            <v>T0</v>
          </cell>
          <cell r="K81" t="str">
            <v>fo_virage</v>
          </cell>
          <cell r="L81" t="str">
            <v>numerique</v>
          </cell>
          <cell r="M81" t="str">
            <v>Nominale</v>
          </cell>
          <cell r="N81" t="str">
            <v>Offert</v>
          </cell>
          <cell r="O81" t="str">
            <v>XXXXXXXXX</v>
          </cell>
          <cell r="P81" t="str">
            <v>-</v>
          </cell>
          <cell r="Q81" t="str">
            <v>-</v>
          </cell>
          <cell r="R81">
            <v>35</v>
          </cell>
          <cell r="S81" t="str">
            <v>Non</v>
          </cell>
          <cell r="T81" t="str">
            <v>N/A</v>
          </cell>
          <cell r="U81"/>
        </row>
        <row r="82">
          <cell r="A82">
            <v>56601140</v>
          </cell>
          <cell r="B82">
            <v>46035.385555555556</v>
          </cell>
          <cell r="C82">
            <v>58682590</v>
          </cell>
          <cell r="D82">
            <v>46073.725775462961</v>
          </cell>
          <cell r="E82" t="str">
            <v>Travaux Suspendu</v>
          </cell>
          <cell r="F82" t="str">
            <v>DGTCP</v>
          </cell>
          <cell r="G82">
            <v>707003126</v>
          </cell>
          <cell r="H82" t="str">
            <v>GBELEBAN</v>
          </cell>
          <cell r="I82" t="str">
            <v>-</v>
          </cell>
          <cell r="J82" t="str">
            <v>BUVPN</v>
          </cell>
          <cell r="K82" t="str">
            <v>fo</v>
          </cell>
          <cell r="L82" t="str">
            <v>LS</v>
          </cell>
          <cell r="M82" t="str">
            <v>Nominale</v>
          </cell>
          <cell r="N82" t="str">
            <v>Offert</v>
          </cell>
          <cell r="O82" t="str">
            <v>xxxx</v>
          </cell>
          <cell r="P82" t="str">
            <v>-</v>
          </cell>
          <cell r="Q82">
            <v>7103410</v>
          </cell>
          <cell r="R82">
            <v>34</v>
          </cell>
          <cell r="S82" t="str">
            <v>Non</v>
          </cell>
          <cell r="T82" t="str">
            <v>OCI</v>
          </cell>
          <cell r="U82"/>
        </row>
        <row r="83">
          <cell r="A83">
            <v>56601982</v>
          </cell>
          <cell r="B83">
            <v>46035.393611111111</v>
          </cell>
          <cell r="C83">
            <v>57173944</v>
          </cell>
          <cell r="D83">
            <v>46045.731631944444</v>
          </cell>
          <cell r="E83" t="str">
            <v>Etude Suspendu</v>
          </cell>
          <cell r="F83" t="str">
            <v>DGTCP</v>
          </cell>
          <cell r="G83">
            <v>707003126</v>
          </cell>
          <cell r="H83" t="str">
            <v>GOULIA</v>
          </cell>
          <cell r="I83" t="str">
            <v>-</v>
          </cell>
          <cell r="J83" t="str">
            <v>BUVPN</v>
          </cell>
          <cell r="K83" t="str">
            <v>fo</v>
          </cell>
          <cell r="L83" t="str">
            <v>LS</v>
          </cell>
          <cell r="M83" t="str">
            <v>Nominale</v>
          </cell>
          <cell r="N83" t="str">
            <v>Offert</v>
          </cell>
          <cell r="O83" t="str">
            <v>xxxx</v>
          </cell>
          <cell r="P83" t="str">
            <v>-</v>
          </cell>
          <cell r="Q83">
            <v>7103410</v>
          </cell>
          <cell r="R83">
            <v>34</v>
          </cell>
          <cell r="S83" t="str">
            <v>Non</v>
          </cell>
          <cell r="T83" t="str">
            <v xml:space="preserve">CLIENT </v>
          </cell>
          <cell r="U83"/>
        </row>
        <row r="84">
          <cell r="A84">
            <v>56603158</v>
          </cell>
          <cell r="B84">
            <v>46035.405011574076</v>
          </cell>
          <cell r="C84">
            <v>57145671</v>
          </cell>
          <cell r="D84">
            <v>46045.510034722225</v>
          </cell>
          <cell r="E84" t="str">
            <v>Prestataire : Travaux</v>
          </cell>
          <cell r="F84" t="str">
            <v>QUIPUX AFRIQUE</v>
          </cell>
          <cell r="G84">
            <v>504041812</v>
          </cell>
          <cell r="H84" t="str">
            <v>BOUNA</v>
          </cell>
          <cell r="I84" t="str">
            <v>-</v>
          </cell>
          <cell r="J84" t="str">
            <v>SYTRAN</v>
          </cell>
          <cell r="K84" t="str">
            <v>fo</v>
          </cell>
          <cell r="L84" t="str">
            <v>LSI</v>
          </cell>
          <cell r="M84" t="str">
            <v>Nominale</v>
          </cell>
          <cell r="N84" t="str">
            <v>Offert</v>
          </cell>
          <cell r="O84" t="str">
            <v>XXX</v>
          </cell>
          <cell r="P84" t="str">
            <v>-</v>
          </cell>
          <cell r="Q84">
            <v>2000000</v>
          </cell>
          <cell r="R84">
            <v>34</v>
          </cell>
          <cell r="S84" t="str">
            <v>Oui</v>
          </cell>
          <cell r="T84" t="str">
            <v>N/A</v>
          </cell>
          <cell r="U84"/>
        </row>
        <row r="85">
          <cell r="A85">
            <v>56603297</v>
          </cell>
          <cell r="B85">
            <v>46035.405925925923</v>
          </cell>
          <cell r="C85">
            <v>58311851</v>
          </cell>
          <cell r="D85">
            <v>46067.025682870371</v>
          </cell>
          <cell r="E85" t="str">
            <v>Transmission Plans Equipe Numerisation</v>
          </cell>
          <cell r="F85" t="str">
            <v>ACECI</v>
          </cell>
          <cell r="G85">
            <v>758133813</v>
          </cell>
          <cell r="H85" t="str">
            <v>PLATEAU</v>
          </cell>
          <cell r="I85" t="str">
            <v>-</v>
          </cell>
          <cell r="J85" t="str">
            <v>SYTRAN</v>
          </cell>
          <cell r="K85" t="str">
            <v>fo</v>
          </cell>
          <cell r="L85" t="str">
            <v>LSI</v>
          </cell>
          <cell r="M85" t="str">
            <v>Nominale</v>
          </cell>
          <cell r="N85" t="str">
            <v>Offert</v>
          </cell>
          <cell r="O85" t="str">
            <v>XXXXX</v>
          </cell>
          <cell r="P85" t="str">
            <v>-</v>
          </cell>
          <cell r="Q85">
            <v>1200000</v>
          </cell>
          <cell r="R85">
            <v>34</v>
          </cell>
          <cell r="S85" t="str">
            <v>Non</v>
          </cell>
          <cell r="T85" t="str">
            <v>N/A</v>
          </cell>
          <cell r="U85"/>
        </row>
        <row r="86">
          <cell r="A86">
            <v>56603495</v>
          </cell>
          <cell r="B86">
            <v>46035.408518518518</v>
          </cell>
          <cell r="C86">
            <v>58682422</v>
          </cell>
          <cell r="D86">
            <v>46073.724178240744</v>
          </cell>
          <cell r="E86" t="str">
            <v>Travaux Suspendu</v>
          </cell>
          <cell r="F86" t="str">
            <v>DGTCP</v>
          </cell>
          <cell r="G86">
            <v>707003126</v>
          </cell>
          <cell r="H86" t="str">
            <v>SAMAGO</v>
          </cell>
          <cell r="I86" t="str">
            <v>-</v>
          </cell>
          <cell r="J86" t="str">
            <v>BUVPN</v>
          </cell>
          <cell r="K86" t="str">
            <v>fo</v>
          </cell>
          <cell r="L86" t="str">
            <v>LS</v>
          </cell>
          <cell r="M86" t="str">
            <v>Nominale</v>
          </cell>
          <cell r="N86" t="str">
            <v>Offert</v>
          </cell>
          <cell r="O86" t="str">
            <v>xxxx</v>
          </cell>
          <cell r="P86" t="str">
            <v>-</v>
          </cell>
          <cell r="Q86">
            <v>7103410</v>
          </cell>
          <cell r="R86">
            <v>34</v>
          </cell>
          <cell r="S86" t="str">
            <v>Non</v>
          </cell>
          <cell r="T86" t="str">
            <v>OCI</v>
          </cell>
          <cell r="U86"/>
        </row>
        <row r="87">
          <cell r="A87">
            <v>56606469</v>
          </cell>
          <cell r="B87">
            <v>46035.43072916667</v>
          </cell>
          <cell r="C87">
            <v>58080473</v>
          </cell>
          <cell r="D87">
            <v>46063.478414351855</v>
          </cell>
          <cell r="E87" t="str">
            <v>Travaux Suspendu</v>
          </cell>
          <cell r="F87" t="str">
            <v>QUIPUX AFRIQUE</v>
          </cell>
          <cell r="G87">
            <v>504041812</v>
          </cell>
          <cell r="H87" t="str">
            <v>COCODY</v>
          </cell>
          <cell r="I87" t="str">
            <v>-</v>
          </cell>
          <cell r="J87" t="str">
            <v>BUVPN</v>
          </cell>
          <cell r="K87" t="str">
            <v>fo</v>
          </cell>
          <cell r="L87" t="str">
            <v>LS</v>
          </cell>
          <cell r="M87" t="str">
            <v>Nominale</v>
          </cell>
          <cell r="N87" t="str">
            <v>Offert</v>
          </cell>
          <cell r="O87" t="str">
            <v>XXXXXXX</v>
          </cell>
          <cell r="P87" t="str">
            <v>-</v>
          </cell>
          <cell r="Q87">
            <v>1000000</v>
          </cell>
          <cell r="R87">
            <v>34</v>
          </cell>
          <cell r="S87" t="str">
            <v>Non</v>
          </cell>
          <cell r="T87" t="str">
            <v xml:space="preserve">CLIENT </v>
          </cell>
          <cell r="U87"/>
        </row>
        <row r="88">
          <cell r="A88">
            <v>56607988</v>
          </cell>
          <cell r="B88">
            <v>46035.443668981483</v>
          </cell>
          <cell r="C88">
            <v>58404447</v>
          </cell>
          <cell r="D88">
            <v>46069.522615740738</v>
          </cell>
          <cell r="E88" t="str">
            <v>Raccordement Suspendu</v>
          </cell>
          <cell r="F88" t="str">
            <v>QUIPUX AFRIQUE</v>
          </cell>
          <cell r="G88">
            <v>504041812</v>
          </cell>
          <cell r="H88" t="str">
            <v>TOUMODI</v>
          </cell>
          <cell r="I88" t="str">
            <v>-</v>
          </cell>
          <cell r="J88" t="str">
            <v>BUVPN</v>
          </cell>
          <cell r="K88" t="str">
            <v>fo</v>
          </cell>
          <cell r="L88" t="str">
            <v>LS</v>
          </cell>
          <cell r="M88" t="str">
            <v>Nominale</v>
          </cell>
          <cell r="N88" t="str">
            <v>Offert</v>
          </cell>
          <cell r="O88" t="str">
            <v>BUVPN260027</v>
          </cell>
          <cell r="P88" t="str">
            <v>-</v>
          </cell>
          <cell r="Q88">
            <v>2000000</v>
          </cell>
          <cell r="R88">
            <v>34</v>
          </cell>
          <cell r="S88" t="str">
            <v>Non</v>
          </cell>
          <cell r="T88" t="str">
            <v>OCI</v>
          </cell>
          <cell r="U88"/>
        </row>
        <row r="89">
          <cell r="A89">
            <v>56609018</v>
          </cell>
          <cell r="B89">
            <v>46035.452465277776</v>
          </cell>
          <cell r="C89">
            <v>58089216</v>
          </cell>
          <cell r="D89">
            <v>46063.544803240744</v>
          </cell>
          <cell r="E89" t="str">
            <v>Travaux Suspendu</v>
          </cell>
          <cell r="F89" t="str">
            <v>QUIPUX AFRIQUE</v>
          </cell>
          <cell r="G89">
            <v>504041812</v>
          </cell>
          <cell r="H89" t="str">
            <v>BONGOUANOU</v>
          </cell>
          <cell r="I89" t="str">
            <v>-</v>
          </cell>
          <cell r="J89" t="str">
            <v>BUVPN</v>
          </cell>
          <cell r="K89" t="str">
            <v>fo</v>
          </cell>
          <cell r="L89" t="str">
            <v>LS</v>
          </cell>
          <cell r="M89" t="str">
            <v>Nominale</v>
          </cell>
          <cell r="N89" t="str">
            <v>Offert</v>
          </cell>
          <cell r="O89" t="str">
            <v>XXX</v>
          </cell>
          <cell r="P89" t="str">
            <v>-</v>
          </cell>
          <cell r="Q89">
            <v>2000000</v>
          </cell>
          <cell r="R89">
            <v>34</v>
          </cell>
          <cell r="S89" t="str">
            <v>Non</v>
          </cell>
          <cell r="T89" t="str">
            <v>OCI</v>
          </cell>
          <cell r="U89"/>
        </row>
        <row r="90">
          <cell r="A90">
            <v>56611212</v>
          </cell>
          <cell r="B90">
            <v>46035.471886574072</v>
          </cell>
          <cell r="C90">
            <v>57137676</v>
          </cell>
          <cell r="D90">
            <v>46045.45140046296</v>
          </cell>
          <cell r="E90" t="str">
            <v>Raccordement Suspendu</v>
          </cell>
          <cell r="F90" t="str">
            <v>QUIPUX</v>
          </cell>
          <cell r="G90">
            <v>504041812</v>
          </cell>
          <cell r="H90" t="str">
            <v>MANKONO</v>
          </cell>
          <cell r="I90" t="str">
            <v>-</v>
          </cell>
          <cell r="J90" t="str">
            <v>BUVPN</v>
          </cell>
          <cell r="K90" t="str">
            <v>fo</v>
          </cell>
          <cell r="L90" t="str">
            <v>LS</v>
          </cell>
          <cell r="M90" t="str">
            <v>Nominale</v>
          </cell>
          <cell r="N90" t="str">
            <v>Offert</v>
          </cell>
          <cell r="O90" t="str">
            <v>ND : BUVPN260014</v>
          </cell>
          <cell r="P90" t="str">
            <v>-</v>
          </cell>
          <cell r="Q90">
            <v>2000000</v>
          </cell>
          <cell r="R90">
            <v>34</v>
          </cell>
          <cell r="S90" t="str">
            <v>Non</v>
          </cell>
          <cell r="T90" t="str">
            <v>OCI</v>
          </cell>
          <cell r="U90"/>
        </row>
        <row r="91">
          <cell r="A91">
            <v>56612479</v>
          </cell>
          <cell r="B91">
            <v>46035.481446759259</v>
          </cell>
          <cell r="C91">
            <v>57824193</v>
          </cell>
          <cell r="D91">
            <v>46058.408449074072</v>
          </cell>
          <cell r="E91" t="str">
            <v>Test et recette</v>
          </cell>
          <cell r="F91" t="str">
            <v>QUIPUX</v>
          </cell>
          <cell r="G91">
            <v>504041812</v>
          </cell>
          <cell r="H91" t="str">
            <v>AGBOVILLE</v>
          </cell>
          <cell r="I91" t="str">
            <v>-</v>
          </cell>
          <cell r="J91" t="str">
            <v>BUVPN</v>
          </cell>
          <cell r="K91" t="str">
            <v>fo</v>
          </cell>
          <cell r="L91" t="str">
            <v>LS</v>
          </cell>
          <cell r="M91" t="str">
            <v>Nominale</v>
          </cell>
          <cell r="N91" t="str">
            <v>Offert</v>
          </cell>
          <cell r="O91" t="str">
            <v>xxxxx</v>
          </cell>
          <cell r="P91" t="str">
            <v>-</v>
          </cell>
          <cell r="Q91">
            <v>2000000</v>
          </cell>
          <cell r="R91">
            <v>34</v>
          </cell>
          <cell r="S91" t="str">
            <v>Non</v>
          </cell>
          <cell r="T91" t="str">
            <v>OCI</v>
          </cell>
          <cell r="U91"/>
        </row>
        <row r="92">
          <cell r="A92">
            <v>56613961</v>
          </cell>
          <cell r="B92">
            <v>46035.492175925923</v>
          </cell>
          <cell r="C92">
            <v>57137551</v>
          </cell>
          <cell r="D92">
            <v>46045.450266203705</v>
          </cell>
          <cell r="E92" t="str">
            <v>Raccordement Suspendu</v>
          </cell>
          <cell r="F92" t="str">
            <v>QUIPUX</v>
          </cell>
          <cell r="G92">
            <v>504041812</v>
          </cell>
          <cell r="H92" t="str">
            <v>KATIOLA</v>
          </cell>
          <cell r="I92" t="str">
            <v>-</v>
          </cell>
          <cell r="J92" t="str">
            <v>BUVPN</v>
          </cell>
          <cell r="K92" t="str">
            <v>fo</v>
          </cell>
          <cell r="L92" t="str">
            <v>LS</v>
          </cell>
          <cell r="M92" t="str">
            <v>Nominale</v>
          </cell>
          <cell r="N92" t="str">
            <v>Offert</v>
          </cell>
          <cell r="O92" t="str">
            <v>BUVPN260013</v>
          </cell>
          <cell r="P92" t="str">
            <v>-</v>
          </cell>
          <cell r="Q92">
            <v>2000000</v>
          </cell>
          <cell r="R92">
            <v>34</v>
          </cell>
          <cell r="S92" t="str">
            <v>Non</v>
          </cell>
          <cell r="T92" t="str">
            <v>OCI</v>
          </cell>
          <cell r="U92"/>
        </row>
        <row r="93">
          <cell r="A93">
            <v>56615304</v>
          </cell>
          <cell r="B93">
            <v>46035.500856481478</v>
          </cell>
          <cell r="C93">
            <v>57503899</v>
          </cell>
          <cell r="D93">
            <v>46052.420104166667</v>
          </cell>
          <cell r="E93" t="str">
            <v>Test et recette</v>
          </cell>
          <cell r="F93" t="str">
            <v>QUIPUX AFRIQUE ( SASANDRA )</v>
          </cell>
          <cell r="G93">
            <v>504041812</v>
          </cell>
          <cell r="H93" t="str">
            <v>SASSANDRA BATIMENT QUIPUX</v>
          </cell>
          <cell r="I93" t="str">
            <v>-</v>
          </cell>
          <cell r="J93" t="str">
            <v>BUVPN</v>
          </cell>
          <cell r="K93" t="str">
            <v>fo</v>
          </cell>
          <cell r="L93" t="str">
            <v>LS</v>
          </cell>
          <cell r="M93" t="str">
            <v>Nominale</v>
          </cell>
          <cell r="N93" t="str">
            <v>Offert</v>
          </cell>
          <cell r="O93" t="str">
            <v>BUVPN260020</v>
          </cell>
          <cell r="P93" t="str">
            <v>-</v>
          </cell>
          <cell r="Q93">
            <v>2000000</v>
          </cell>
          <cell r="R93">
            <v>34</v>
          </cell>
          <cell r="S93" t="str">
            <v>Non</v>
          </cell>
          <cell r="T93" t="str">
            <v>N/A</v>
          </cell>
          <cell r="U93"/>
        </row>
        <row r="94">
          <cell r="A94">
            <v>56615604</v>
          </cell>
          <cell r="B94">
            <v>46035.50341435185</v>
          </cell>
          <cell r="C94">
            <v>57484583</v>
          </cell>
          <cell r="D94">
            <v>46051.731689814813</v>
          </cell>
          <cell r="E94" t="str">
            <v>Test et recette</v>
          </cell>
          <cell r="F94" t="str">
            <v>QUIPUX</v>
          </cell>
          <cell r="G94">
            <v>504041812</v>
          </cell>
          <cell r="H94" t="str">
            <v>COCODY ANGRE DJIBI</v>
          </cell>
          <cell r="I94" t="str">
            <v>-</v>
          </cell>
          <cell r="J94" t="str">
            <v>BUVPN</v>
          </cell>
          <cell r="K94" t="str">
            <v>ftto</v>
          </cell>
          <cell r="L94" t="str">
            <v>LS</v>
          </cell>
          <cell r="M94" t="str">
            <v>Nominale</v>
          </cell>
          <cell r="N94" t="str">
            <v>Offert</v>
          </cell>
          <cell r="O94" t="str">
            <v>BUVPN260012</v>
          </cell>
          <cell r="P94" t="str">
            <v>-</v>
          </cell>
          <cell r="Q94">
            <v>1000000</v>
          </cell>
          <cell r="R94">
            <v>34</v>
          </cell>
          <cell r="S94" t="str">
            <v>Non</v>
          </cell>
          <cell r="T94" t="str">
            <v>N/A</v>
          </cell>
          <cell r="U94"/>
        </row>
        <row r="95">
          <cell r="A95">
            <v>56618123</v>
          </cell>
          <cell r="B95">
            <v>46035.520821759259</v>
          </cell>
          <cell r="C95">
            <v>58857998</v>
          </cell>
          <cell r="D95">
            <v>46077.428530092591</v>
          </cell>
          <cell r="E95" t="str">
            <v>Responsable Zone: Validation pour intervention</v>
          </cell>
          <cell r="F95" t="str">
            <v>QUIPUX AFRIQUE (TOUBA )</v>
          </cell>
          <cell r="G95">
            <v>504041812</v>
          </cell>
          <cell r="H95" t="str">
            <v>TOUBA//VOIE INCONNUE/M. LOHI FEH IBRAHIM 0504041812</v>
          </cell>
          <cell r="I95">
            <v>1775236</v>
          </cell>
          <cell r="J95" t="str">
            <v>IP Connect LL</v>
          </cell>
          <cell r="K95" t="str">
            <v>fo</v>
          </cell>
          <cell r="L95" t="str">
            <v>LS</v>
          </cell>
          <cell r="M95" t="str">
            <v>Nominale</v>
          </cell>
          <cell r="N95" t="str">
            <v>Encours</v>
          </cell>
          <cell r="O95" t="str">
            <v>BUVPN260034</v>
          </cell>
          <cell r="P95" t="str">
            <v>-</v>
          </cell>
          <cell r="Q95">
            <v>2000000</v>
          </cell>
          <cell r="R95">
            <v>34</v>
          </cell>
          <cell r="S95" t="str">
            <v>Non</v>
          </cell>
          <cell r="T95" t="str">
            <v>OCI</v>
          </cell>
          <cell r="U95"/>
        </row>
        <row r="96">
          <cell r="A96">
            <v>56675050</v>
          </cell>
          <cell r="B96">
            <v>46036.516423611109</v>
          </cell>
          <cell r="C96">
            <v>58216664</v>
          </cell>
          <cell r="D96">
            <v>46065.536226851851</v>
          </cell>
          <cell r="E96" t="str">
            <v>Travaux Suspendu</v>
          </cell>
          <cell r="F96" t="str">
            <v>MOTA ENGIL COTE D'IVOIRE MINING</v>
          </cell>
          <cell r="G96">
            <v>748512613</v>
          </cell>
          <cell r="H96" t="str">
            <v>DABAKALA</v>
          </cell>
          <cell r="I96" t="str">
            <v>-</v>
          </cell>
          <cell r="J96" t="str">
            <v>SYTRAN</v>
          </cell>
          <cell r="K96" t="str">
            <v>fo</v>
          </cell>
          <cell r="L96" t="str">
            <v>LSI</v>
          </cell>
          <cell r="M96" t="str">
            <v>Nominale</v>
          </cell>
          <cell r="N96" t="str">
            <v>Offert</v>
          </cell>
          <cell r="O96" t="str">
            <v>xxxx</v>
          </cell>
          <cell r="P96" t="str">
            <v>-</v>
          </cell>
          <cell r="Q96">
            <v>4362401</v>
          </cell>
          <cell r="R96">
            <v>33</v>
          </cell>
          <cell r="S96" t="str">
            <v>Non</v>
          </cell>
          <cell r="T96" t="str">
            <v xml:space="preserve">CLIENT </v>
          </cell>
          <cell r="U96"/>
        </row>
        <row r="97">
          <cell r="A97">
            <v>56698652</v>
          </cell>
          <cell r="B97">
            <v>46036.710810185185</v>
          </cell>
          <cell r="C97">
            <v>58311775</v>
          </cell>
          <cell r="D97">
            <v>46067.008194444446</v>
          </cell>
          <cell r="E97" t="str">
            <v>Transmission Plans Equipe Numerisation</v>
          </cell>
          <cell r="F97" t="str">
            <v>OFFICE D'AIDE A LA COMMERCIALISATION, DES PRODUITS VIVRIERS</v>
          </cell>
          <cell r="G97">
            <v>707681527</v>
          </cell>
          <cell r="H97" t="str">
            <v>ABIDJAN-ABOBO K18 ROUTE D'ANYAMA EX AGRIPAC</v>
          </cell>
          <cell r="I97" t="str">
            <v>-</v>
          </cell>
          <cell r="J97" t="str">
            <v>SYTRAN</v>
          </cell>
          <cell r="K97" t="str">
            <v>fo</v>
          </cell>
          <cell r="L97" t="str">
            <v>LSI</v>
          </cell>
          <cell r="M97" t="str">
            <v>Nominale</v>
          </cell>
          <cell r="N97" t="str">
            <v>Offert</v>
          </cell>
          <cell r="O97" t="str">
            <v>XXXXXXX</v>
          </cell>
          <cell r="P97" t="str">
            <v>-</v>
          </cell>
          <cell r="Q97">
            <v>1200000</v>
          </cell>
          <cell r="R97">
            <v>33</v>
          </cell>
          <cell r="S97" t="str">
            <v>Non</v>
          </cell>
          <cell r="T97" t="str">
            <v>N/A</v>
          </cell>
          <cell r="U97" t="str">
            <v>FH</v>
          </cell>
        </row>
        <row r="98">
          <cell r="A98">
            <v>56800015</v>
          </cell>
          <cell r="B98">
            <v>46038.638506944444</v>
          </cell>
          <cell r="C98">
            <v>58668806</v>
          </cell>
          <cell r="D98">
            <v>46073.619537037041</v>
          </cell>
          <cell r="E98" t="str">
            <v>Prestataire : Travaux</v>
          </cell>
          <cell r="F98" t="str">
            <v>DEMANDE INTERNE PERMANENT : SITE ODA RIVIERA GOLF 4</v>
          </cell>
          <cell r="G98">
            <v>777748203</v>
          </cell>
          <cell r="H98" t="str">
            <v>ABIDJAN-COCODY RIVIERA GOLF SITE ODA</v>
          </cell>
          <cell r="I98" t="str">
            <v>-</v>
          </cell>
          <cell r="J98" t="str">
            <v>BUVPN</v>
          </cell>
          <cell r="K98" t="str">
            <v>fo</v>
          </cell>
          <cell r="L98" t="str">
            <v>LS</v>
          </cell>
          <cell r="M98" t="str">
            <v>Nominale</v>
          </cell>
          <cell r="N98" t="str">
            <v>Offert</v>
          </cell>
          <cell r="O98" t="str">
            <v>XXXXXXX</v>
          </cell>
          <cell r="P98" t="str">
            <v>-</v>
          </cell>
          <cell r="Q98">
            <v>293000</v>
          </cell>
          <cell r="R98">
            <v>31</v>
          </cell>
          <cell r="S98" t="str">
            <v>Oui</v>
          </cell>
          <cell r="T98" t="str">
            <v>OCI</v>
          </cell>
          <cell r="U98"/>
        </row>
        <row r="99">
          <cell r="A99">
            <v>56970346</v>
          </cell>
          <cell r="B99">
            <v>46042.557280092595</v>
          </cell>
          <cell r="C99">
            <v>57359238</v>
          </cell>
          <cell r="D99">
            <v>46049.729108796295</v>
          </cell>
          <cell r="E99" t="str">
            <v>Prestataire : Travaux</v>
          </cell>
          <cell r="F99" t="str">
            <v>STE INTERNATIONALE D'ASSURANCE MULTIRISQUES</v>
          </cell>
          <cell r="G99">
            <v>708667658</v>
          </cell>
          <cell r="H99" t="str">
            <v>ABIDJAN-PLATEAU AVENUE HOUDAI</v>
          </cell>
          <cell r="I99" t="str">
            <v>-</v>
          </cell>
          <cell r="J99" t="str">
            <v>SYTRAN</v>
          </cell>
          <cell r="K99" t="str">
            <v>fo</v>
          </cell>
          <cell r="L99" t="str">
            <v>LSI</v>
          </cell>
          <cell r="M99" t="str">
            <v>Nominale</v>
          </cell>
          <cell r="N99" t="str">
            <v>Offert</v>
          </cell>
          <cell r="O99" t="str">
            <v>XXXXXXX</v>
          </cell>
          <cell r="P99" t="str">
            <v>-</v>
          </cell>
          <cell r="Q99">
            <v>2871414</v>
          </cell>
          <cell r="R99">
            <v>29</v>
          </cell>
          <cell r="S99" t="str">
            <v>Non</v>
          </cell>
          <cell r="T99" t="str">
            <v>N/A</v>
          </cell>
          <cell r="U99"/>
        </row>
        <row r="100">
          <cell r="A100">
            <v>57048937</v>
          </cell>
          <cell r="B100">
            <v>46043.701111111113</v>
          </cell>
          <cell r="C100">
            <v>58311881</v>
          </cell>
          <cell r="D100">
            <v>46067.027986111112</v>
          </cell>
          <cell r="E100" t="str">
            <v>Transmission Plans Equipe Numerisation</v>
          </cell>
          <cell r="F100" t="str">
            <v>STE VISTA GROUP HOLDING SA</v>
          </cell>
          <cell r="G100">
            <v>702219958</v>
          </cell>
          <cell r="H100" t="str">
            <v>ABIDJAN-COCODY RIVIERA 3</v>
          </cell>
          <cell r="I100" t="str">
            <v>-</v>
          </cell>
          <cell r="J100" t="str">
            <v>SYTRAN</v>
          </cell>
          <cell r="K100" t="str">
            <v>ftto</v>
          </cell>
          <cell r="L100" t="str">
            <v>LSI</v>
          </cell>
          <cell r="M100" t="str">
            <v>Nominale</v>
          </cell>
          <cell r="N100" t="str">
            <v>Offert</v>
          </cell>
          <cell r="O100" t="str">
            <v>SYHD260057</v>
          </cell>
          <cell r="P100" t="str">
            <v>-</v>
          </cell>
          <cell r="Q100">
            <v>350000</v>
          </cell>
          <cell r="R100">
            <v>28</v>
          </cell>
          <cell r="S100" t="str">
            <v>Non</v>
          </cell>
          <cell r="T100" t="str">
            <v>OCI</v>
          </cell>
          <cell r="U100"/>
        </row>
        <row r="101">
          <cell r="A101">
            <v>57109300</v>
          </cell>
          <cell r="B101">
            <v>46044.678263888891</v>
          </cell>
          <cell r="C101">
            <v>58180729</v>
          </cell>
          <cell r="D101">
            <v>46064.758611111109</v>
          </cell>
          <cell r="E101" t="str">
            <v>Transmission Plans Equipe Numerisation</v>
          </cell>
          <cell r="F101" t="str">
            <v>NOVA DISTRIBUTION</v>
          </cell>
          <cell r="G101">
            <v>788728899</v>
          </cell>
          <cell r="H101" t="str">
            <v>ABIDJAN-TREICHVILLE//VOIE INCONNUE/ZONE PORTUAIRE</v>
          </cell>
          <cell r="I101">
            <v>1782806</v>
          </cell>
          <cell r="J101" t="str">
            <v>LIAISON SPECIALISEE</v>
          </cell>
          <cell r="K101" t="str">
            <v>ftto</v>
          </cell>
          <cell r="L101" t="str">
            <v>LSI</v>
          </cell>
          <cell r="M101" t="str">
            <v>Nominale</v>
          </cell>
          <cell r="N101" t="str">
            <v>Offert</v>
          </cell>
          <cell r="O101" t="str">
            <v>SYTHD260046</v>
          </cell>
          <cell r="P101" t="str">
            <v>-</v>
          </cell>
          <cell r="Q101">
            <v>1474962</v>
          </cell>
          <cell r="R101">
            <v>27</v>
          </cell>
          <cell r="S101" t="str">
            <v>Non</v>
          </cell>
          <cell r="T101" t="str">
            <v>N/A</v>
          </cell>
          <cell r="U101"/>
        </row>
        <row r="102">
          <cell r="A102">
            <v>57111758</v>
          </cell>
          <cell r="B102">
            <v>46044.694849537038</v>
          </cell>
          <cell r="C102">
            <v>57898966</v>
          </cell>
          <cell r="D102">
            <v>46059.499050925922</v>
          </cell>
          <cell r="E102" t="str">
            <v>Test et recette</v>
          </cell>
          <cell r="F102" t="str">
            <v>LCF GROUP SARL</v>
          </cell>
          <cell r="G102">
            <v>171161677</v>
          </cell>
          <cell r="H102" t="str">
            <v>ABIDJAN-PLATEAU//VOIE INCONNUE/M.KPINSO 0171161677</v>
          </cell>
          <cell r="I102">
            <v>1784416</v>
          </cell>
          <cell r="J102" t="str">
            <v>LIAISON SPECIALISEE</v>
          </cell>
          <cell r="K102" t="str">
            <v>fo</v>
          </cell>
          <cell r="L102" t="str">
            <v>LSI</v>
          </cell>
          <cell r="M102" t="str">
            <v>Backup</v>
          </cell>
          <cell r="N102" t="str">
            <v>Offert</v>
          </cell>
          <cell r="O102" t="str">
            <v>SYTHD260043</v>
          </cell>
          <cell r="P102" t="str">
            <v>-</v>
          </cell>
          <cell r="Q102" t="str">
            <v>-</v>
          </cell>
          <cell r="R102">
            <v>27</v>
          </cell>
          <cell r="S102" t="str">
            <v>Non</v>
          </cell>
          <cell r="T102" t="str">
            <v>N/A</v>
          </cell>
          <cell r="U102"/>
        </row>
        <row r="103">
          <cell r="A103">
            <v>57111764</v>
          </cell>
          <cell r="B103">
            <v>46044.694884259261</v>
          </cell>
          <cell r="C103">
            <v>57901159</v>
          </cell>
          <cell r="D103">
            <v>46059.513090277775</v>
          </cell>
          <cell r="E103" t="str">
            <v>Test et recette</v>
          </cell>
          <cell r="F103" t="str">
            <v>LCF GROUP SARL</v>
          </cell>
          <cell r="G103">
            <v>171161677</v>
          </cell>
          <cell r="H103" t="str">
            <v>ABIDJAN PORT-BOUET VITIB</v>
          </cell>
          <cell r="I103" t="str">
            <v>-</v>
          </cell>
          <cell r="J103" t="str">
            <v>SYTRAN</v>
          </cell>
          <cell r="K103" t="str">
            <v>fo</v>
          </cell>
          <cell r="L103" t="str">
            <v>LSI</v>
          </cell>
          <cell r="M103" t="str">
            <v>Principale (avec backup)</v>
          </cell>
          <cell r="N103" t="str">
            <v>Offert</v>
          </cell>
          <cell r="O103" t="str">
            <v>SYTHD260041</v>
          </cell>
          <cell r="P103" t="str">
            <v>-</v>
          </cell>
          <cell r="Q103">
            <v>0</v>
          </cell>
          <cell r="R103">
            <v>27</v>
          </cell>
          <cell r="S103" t="str">
            <v>Non</v>
          </cell>
          <cell r="T103" t="str">
            <v>N/A</v>
          </cell>
          <cell r="U103"/>
        </row>
        <row r="104">
          <cell r="A104">
            <v>57157406</v>
          </cell>
          <cell r="B104">
            <v>46045.608391203707</v>
          </cell>
          <cell r="C104">
            <v>57671501</v>
          </cell>
          <cell r="D104">
            <v>46055.709131944444</v>
          </cell>
          <cell r="E104" t="str">
            <v>Test et recette</v>
          </cell>
          <cell r="F104" t="str">
            <v>STE CFAO MOBILTY COTE D'IVOIRE</v>
          </cell>
          <cell r="G104">
            <v>787682110</v>
          </cell>
          <cell r="H104" t="str">
            <v>ABIDJAN-PLATEAU//VOIE INCONNUE/0709173657 / pngoran@cfao.com</v>
          </cell>
          <cell r="I104">
            <v>1787266</v>
          </cell>
          <cell r="J104" t="str">
            <v>LIAISON SPECIALISEE</v>
          </cell>
          <cell r="K104" t="str">
            <v>fo</v>
          </cell>
          <cell r="L104" t="str">
            <v>LSI</v>
          </cell>
          <cell r="M104" t="str">
            <v>Backup</v>
          </cell>
          <cell r="N104" t="str">
            <v>Offert</v>
          </cell>
          <cell r="O104" t="str">
            <v>SYTHD260040</v>
          </cell>
          <cell r="P104" t="str">
            <v>-</v>
          </cell>
          <cell r="Q104" t="str">
            <v>-</v>
          </cell>
          <cell r="R104">
            <v>26</v>
          </cell>
          <cell r="S104" t="str">
            <v>Non</v>
          </cell>
          <cell r="T104" t="str">
            <v>N/A</v>
          </cell>
          <cell r="U104"/>
        </row>
        <row r="105">
          <cell r="A105">
            <v>57157435</v>
          </cell>
          <cell r="B105">
            <v>46045.608460648145</v>
          </cell>
          <cell r="C105">
            <v>57671608</v>
          </cell>
          <cell r="D105">
            <v>46055.709560185183</v>
          </cell>
          <cell r="E105" t="str">
            <v>Test et recette</v>
          </cell>
          <cell r="F105" t="str">
            <v>STE CFAO MOBILTY COTE D'IVOIRE</v>
          </cell>
          <cell r="G105">
            <v>787682110</v>
          </cell>
          <cell r="H105" t="str">
            <v>GRAND-BASSAM VITIB</v>
          </cell>
          <cell r="I105" t="str">
            <v>-</v>
          </cell>
          <cell r="J105" t="str">
            <v>SYTRAN</v>
          </cell>
          <cell r="K105" t="str">
            <v>fo</v>
          </cell>
          <cell r="L105" t="str">
            <v>LSI</v>
          </cell>
          <cell r="M105" t="str">
            <v>Principale (avec backup)</v>
          </cell>
          <cell r="N105" t="str">
            <v>Offert</v>
          </cell>
          <cell r="O105" t="str">
            <v>XXXXXX</v>
          </cell>
          <cell r="P105" t="str">
            <v>-</v>
          </cell>
          <cell r="Q105">
            <v>0</v>
          </cell>
          <cell r="R105">
            <v>26</v>
          </cell>
          <cell r="S105" t="str">
            <v>Non</v>
          </cell>
          <cell r="T105" t="str">
            <v>N/A</v>
          </cell>
          <cell r="U105"/>
        </row>
        <row r="106">
          <cell r="A106">
            <v>57173200</v>
          </cell>
          <cell r="B106">
            <v>46045.724965277775</v>
          </cell>
          <cell r="C106">
            <v>58586018</v>
          </cell>
          <cell r="D106">
            <v>46072.458067129628</v>
          </cell>
          <cell r="E106" t="str">
            <v>Transmission Plans Equipe Numerisation</v>
          </cell>
          <cell r="F106" t="str">
            <v>STE STANDARD CHARTERED BANK COTE D'IVOIRE SA</v>
          </cell>
          <cell r="G106">
            <v>707966030</v>
          </cell>
          <cell r="H106" t="str">
            <v>EXTREMITE A : PLATEAU EXTREMITE B : GRAND-BASSAM RAXIO VITIB</v>
          </cell>
          <cell r="I106" t="str">
            <v>-</v>
          </cell>
          <cell r="J106" t="str">
            <v>SYTRAN</v>
          </cell>
          <cell r="K106" t="str">
            <v>ftto</v>
          </cell>
          <cell r="L106" t="str">
            <v>LS</v>
          </cell>
          <cell r="M106" t="str">
            <v>Nominale</v>
          </cell>
          <cell r="N106" t="str">
            <v>Offert</v>
          </cell>
          <cell r="O106" t="str">
            <v>SYTHD260053</v>
          </cell>
          <cell r="P106" t="str">
            <v>-</v>
          </cell>
          <cell r="Q106">
            <v>2000000</v>
          </cell>
          <cell r="R106">
            <v>26</v>
          </cell>
          <cell r="S106" t="str">
            <v>Non</v>
          </cell>
          <cell r="T106" t="str">
            <v xml:space="preserve">CLIENT </v>
          </cell>
          <cell r="U106"/>
        </row>
        <row r="107">
          <cell r="A107">
            <v>57282124</v>
          </cell>
          <cell r="B107">
            <v>46048.616273148145</v>
          </cell>
          <cell r="C107">
            <v>58180482</v>
          </cell>
          <cell r="D107">
            <v>46064.756631944445</v>
          </cell>
          <cell r="E107" t="str">
            <v>Transmission Plans Equipe Numerisation</v>
          </cell>
          <cell r="F107" t="str">
            <v>NOVAGO CI</v>
          </cell>
          <cell r="G107">
            <v>584401986</v>
          </cell>
          <cell r="H107" t="str">
            <v>TREICHVILLE</v>
          </cell>
          <cell r="I107" t="str">
            <v>-</v>
          </cell>
          <cell r="J107" t="str">
            <v>SYTRAN</v>
          </cell>
          <cell r="K107" t="str">
            <v>fo</v>
          </cell>
          <cell r="L107" t="str">
            <v>LSI</v>
          </cell>
          <cell r="M107" t="str">
            <v>Nominale</v>
          </cell>
          <cell r="N107" t="str">
            <v>Offert</v>
          </cell>
          <cell r="O107" t="str">
            <v>XXXXXX</v>
          </cell>
          <cell r="P107" t="str">
            <v>-</v>
          </cell>
          <cell r="Q107">
            <v>900000</v>
          </cell>
          <cell r="R107">
            <v>25</v>
          </cell>
          <cell r="S107" t="str">
            <v>Non</v>
          </cell>
          <cell r="T107" t="str">
            <v>N/A</v>
          </cell>
          <cell r="U107"/>
        </row>
        <row r="108">
          <cell r="A108">
            <v>57313786</v>
          </cell>
          <cell r="B108">
            <v>46049.385208333333</v>
          </cell>
          <cell r="C108">
            <v>58183666</v>
          </cell>
          <cell r="D108">
            <v>46064.791666666664</v>
          </cell>
          <cell r="E108" t="str">
            <v>Transmission Plans Equipe Numerisation</v>
          </cell>
          <cell r="F108" t="str">
            <v>TEDIS PHARMA</v>
          </cell>
          <cell r="G108">
            <v>777308038</v>
          </cell>
          <cell r="H108" t="str">
            <v>YOPOUGON</v>
          </cell>
          <cell r="I108" t="str">
            <v>-</v>
          </cell>
          <cell r="J108" t="str">
            <v>SYTRAN</v>
          </cell>
          <cell r="K108" t="str">
            <v>ftto</v>
          </cell>
          <cell r="L108" t="str">
            <v>LSI</v>
          </cell>
          <cell r="M108" t="str">
            <v>Nominale</v>
          </cell>
          <cell r="N108" t="str">
            <v>Offert</v>
          </cell>
          <cell r="O108" t="str">
            <v>SYTHD260050</v>
          </cell>
          <cell r="P108" t="str">
            <v>-</v>
          </cell>
          <cell r="Q108">
            <v>420853</v>
          </cell>
          <cell r="R108">
            <v>24</v>
          </cell>
          <cell r="S108" t="str">
            <v>Non</v>
          </cell>
          <cell r="T108" t="str">
            <v>N/A</v>
          </cell>
          <cell r="U108"/>
        </row>
        <row r="109">
          <cell r="A109">
            <v>57322690</v>
          </cell>
          <cell r="B109">
            <v>46049.464016203703</v>
          </cell>
          <cell r="C109">
            <v>58110836</v>
          </cell>
          <cell r="D109">
            <v>46063.702256944445</v>
          </cell>
          <cell r="E109" t="str">
            <v>Transmission Plans Equipe Numerisation</v>
          </cell>
          <cell r="F109" t="str">
            <v>CHALLENGER TRAVEL AGENCY</v>
          </cell>
          <cell r="G109">
            <v>707119686</v>
          </cell>
          <cell r="H109" t="str">
            <v>PLATEAU IMMEUBLE LA CORNICHE</v>
          </cell>
          <cell r="I109" t="str">
            <v>-</v>
          </cell>
          <cell r="J109" t="str">
            <v>T0</v>
          </cell>
          <cell r="K109" t="str">
            <v>ftto_virage</v>
          </cell>
          <cell r="L109" t="str">
            <v>numerique</v>
          </cell>
          <cell r="M109" t="str">
            <v>Nominale</v>
          </cell>
          <cell r="N109" t="str">
            <v>Offert</v>
          </cell>
          <cell r="O109">
            <v>2720333212</v>
          </cell>
          <cell r="P109" t="str">
            <v>-</v>
          </cell>
          <cell r="Q109" t="str">
            <v>-</v>
          </cell>
          <cell r="R109">
            <v>24</v>
          </cell>
          <cell r="S109" t="str">
            <v>Non</v>
          </cell>
          <cell r="T109" t="str">
            <v>N/A</v>
          </cell>
          <cell r="U109"/>
        </row>
        <row r="110">
          <cell r="A110">
            <v>57398181</v>
          </cell>
          <cell r="B110">
            <v>46050.584374999999</v>
          </cell>
          <cell r="C110">
            <v>58920344</v>
          </cell>
          <cell r="D110">
            <v>46078.391504629632</v>
          </cell>
          <cell r="E110" t="str">
            <v>BBF : Validation Etude</v>
          </cell>
          <cell r="F110" t="str">
            <v>EMPIRE CIMENT CI</v>
          </cell>
          <cell r="G110">
            <v>720631500</v>
          </cell>
          <cell r="H110" t="str">
            <v>M'BRAGO</v>
          </cell>
          <cell r="I110" t="str">
            <v>-</v>
          </cell>
          <cell r="J110" t="str">
            <v>SYTRAN</v>
          </cell>
          <cell r="K110" t="str">
            <v>fo</v>
          </cell>
          <cell r="L110" t="str">
            <v>LSI</v>
          </cell>
          <cell r="M110" t="str">
            <v>Nominale</v>
          </cell>
          <cell r="N110" t="str">
            <v>Encours</v>
          </cell>
          <cell r="O110" t="str">
            <v>XXXXXXXXX</v>
          </cell>
          <cell r="P110" t="str">
            <v>-</v>
          </cell>
          <cell r="Q110">
            <v>4406780</v>
          </cell>
          <cell r="R110">
            <v>23</v>
          </cell>
          <cell r="S110" t="str">
            <v>Non</v>
          </cell>
          <cell r="T110" t="str">
            <v>OCI</v>
          </cell>
          <cell r="U110"/>
        </row>
        <row r="111">
          <cell r="A111">
            <v>57417024</v>
          </cell>
          <cell r="B111">
            <v>46050.710856481484</v>
          </cell>
          <cell r="C111">
            <v>58867279</v>
          </cell>
          <cell r="D111">
            <v>46077.491469907407</v>
          </cell>
          <cell r="E111" t="str">
            <v>Cordonnateur Prestatataire: Affectation Technicien</v>
          </cell>
          <cell r="F111" t="str">
            <v>UNISERV CI</v>
          </cell>
          <cell r="G111">
            <v>708063696</v>
          </cell>
          <cell r="H111" t="str">
            <v>MACORY RESIDENTIEL</v>
          </cell>
          <cell r="I111" t="str">
            <v>-</v>
          </cell>
          <cell r="J111" t="str">
            <v>T0</v>
          </cell>
          <cell r="K111" t="str">
            <v>ftto_virage</v>
          </cell>
          <cell r="L111" t="str">
            <v>numerique</v>
          </cell>
          <cell r="M111" t="str">
            <v>Nominale</v>
          </cell>
          <cell r="N111" t="str">
            <v>Encours</v>
          </cell>
          <cell r="O111">
            <v>2721710775</v>
          </cell>
          <cell r="P111" t="str">
            <v>-</v>
          </cell>
          <cell r="Q111" t="str">
            <v>-</v>
          </cell>
          <cell r="R111">
            <v>23</v>
          </cell>
          <cell r="S111" t="str">
            <v>Non</v>
          </cell>
          <cell r="T111" t="str">
            <v xml:space="preserve">CLIENT </v>
          </cell>
          <cell r="U111"/>
        </row>
        <row r="112">
          <cell r="A112">
            <v>57467788</v>
          </cell>
          <cell r="B112">
            <v>46051.611944444441</v>
          </cell>
          <cell r="C112">
            <v>58311795</v>
          </cell>
          <cell r="D112">
            <v>46067.020405092589</v>
          </cell>
          <cell r="E112" t="str">
            <v>Transmission Plans Equipe Numerisation</v>
          </cell>
          <cell r="F112" t="str">
            <v>STE DGEM</v>
          </cell>
          <cell r="G112">
            <v>707121361</v>
          </cell>
          <cell r="H112" t="str">
            <v>ABIDJAN-COCODY//VOIE INCONNUE/COCODY</v>
          </cell>
          <cell r="I112">
            <v>1799256</v>
          </cell>
          <cell r="J112" t="str">
            <v>LIAISON SPECIALISEE</v>
          </cell>
          <cell r="K112" t="str">
            <v>ftto</v>
          </cell>
          <cell r="L112" t="str">
            <v>LSI</v>
          </cell>
          <cell r="M112" t="str">
            <v>Nominale</v>
          </cell>
          <cell r="N112" t="str">
            <v>Offert</v>
          </cell>
          <cell r="O112" t="str">
            <v>SYTHD260056</v>
          </cell>
          <cell r="P112" t="str">
            <v>-</v>
          </cell>
          <cell r="Q112">
            <v>150000</v>
          </cell>
          <cell r="R112">
            <v>22</v>
          </cell>
          <cell r="S112" t="str">
            <v>Non</v>
          </cell>
          <cell r="T112" t="str">
            <v>N/A</v>
          </cell>
          <cell r="U112"/>
        </row>
        <row r="113">
          <cell r="A113">
            <v>57537844</v>
          </cell>
          <cell r="B113">
            <v>46052.703877314816</v>
          </cell>
          <cell r="C113">
            <v>58181882</v>
          </cell>
          <cell r="D113">
            <v>46064.770868055559</v>
          </cell>
          <cell r="E113" t="str">
            <v>Transmission Plans Equipe Numerisation</v>
          </cell>
          <cell r="F113" t="str">
            <v>PLUSS / PRIMATURE</v>
          </cell>
          <cell r="G113">
            <v>709803233</v>
          </cell>
          <cell r="H113" t="str">
            <v>COCODY 2PLATEAUX</v>
          </cell>
          <cell r="I113" t="str">
            <v>-</v>
          </cell>
          <cell r="J113" t="str">
            <v>T2</v>
          </cell>
          <cell r="K113" t="str">
            <v>ftto_virage</v>
          </cell>
          <cell r="L113" t="str">
            <v>numerique</v>
          </cell>
          <cell r="M113" t="str">
            <v>Nominale</v>
          </cell>
          <cell r="N113" t="str">
            <v>Offert</v>
          </cell>
          <cell r="O113">
            <v>2722229850</v>
          </cell>
          <cell r="P113" t="str">
            <v>-</v>
          </cell>
          <cell r="Q113" t="str">
            <v>-</v>
          </cell>
          <cell r="R113">
            <v>21</v>
          </cell>
          <cell r="S113" t="str">
            <v>Non</v>
          </cell>
          <cell r="T113" t="str">
            <v>N/A</v>
          </cell>
          <cell r="U113"/>
        </row>
        <row r="114">
          <cell r="A114">
            <v>57625803</v>
          </cell>
          <cell r="B114">
            <v>46055.363078703704</v>
          </cell>
          <cell r="C114">
            <v>58690206</v>
          </cell>
          <cell r="D114">
            <v>46073.846446759257</v>
          </cell>
          <cell r="E114" t="str">
            <v>Transmission Plans Equipe Numerisation</v>
          </cell>
          <cell r="F114" t="str">
            <v>EVOLU CI</v>
          </cell>
          <cell r="G114">
            <v>789487283</v>
          </cell>
          <cell r="H114" t="str">
            <v>COCODY</v>
          </cell>
          <cell r="I114" t="str">
            <v>-</v>
          </cell>
          <cell r="J114" t="str">
            <v>T2</v>
          </cell>
          <cell r="K114" t="str">
            <v>fo_virage</v>
          </cell>
          <cell r="L114" t="str">
            <v>numerique</v>
          </cell>
          <cell r="M114" t="str">
            <v>Nominale</v>
          </cell>
          <cell r="N114" t="str">
            <v>Offert</v>
          </cell>
          <cell r="O114" t="str">
            <v>XXXXXXXX</v>
          </cell>
          <cell r="P114" t="str">
            <v>-</v>
          </cell>
          <cell r="Q114" t="str">
            <v>-</v>
          </cell>
          <cell r="R114">
            <v>20</v>
          </cell>
          <cell r="S114" t="str">
            <v>Non</v>
          </cell>
          <cell r="T114" t="str">
            <v>N/A</v>
          </cell>
          <cell r="U114"/>
        </row>
        <row r="115">
          <cell r="A115">
            <v>57643823</v>
          </cell>
          <cell r="B115">
            <v>46055.5309837963</v>
          </cell>
          <cell r="C115">
            <v>58690117</v>
          </cell>
          <cell r="D115">
            <v>46073.8434837963</v>
          </cell>
          <cell r="E115" t="str">
            <v>Transmission Plans Equipe Numerisation</v>
          </cell>
          <cell r="F115" t="str">
            <v>USICAF &amp; MANTRA IVOIRE SA</v>
          </cell>
          <cell r="G115">
            <v>546017582</v>
          </cell>
          <cell r="H115" t="str">
            <v>ABIDJAN-TREICHVILLE//VOIE INCONNUE/VRIDI ZONE PORTUAIRE</v>
          </cell>
          <cell r="I115">
            <v>1803636</v>
          </cell>
          <cell r="J115" t="str">
            <v>IP Connect LL</v>
          </cell>
          <cell r="K115" t="str">
            <v>fo</v>
          </cell>
          <cell r="L115" t="str">
            <v>LS</v>
          </cell>
          <cell r="M115" t="str">
            <v>NOM</v>
          </cell>
          <cell r="N115" t="str">
            <v>Offert</v>
          </cell>
          <cell r="O115" t="str">
            <v>BUVPN260026</v>
          </cell>
          <cell r="P115" t="str">
            <v>-</v>
          </cell>
          <cell r="Q115">
            <v>1100000</v>
          </cell>
          <cell r="R115">
            <v>20</v>
          </cell>
          <cell r="S115" t="str">
            <v>Non</v>
          </cell>
          <cell r="T115" t="str">
            <v>OCI</v>
          </cell>
          <cell r="U115"/>
        </row>
        <row r="116">
          <cell r="A116">
            <v>57651441</v>
          </cell>
          <cell r="B116">
            <v>46055.58011574074</v>
          </cell>
          <cell r="C116">
            <v>58955875</v>
          </cell>
          <cell r="D116">
            <v>46078.639594907407</v>
          </cell>
          <cell r="E116" t="str">
            <v>Raccordement Suspendu</v>
          </cell>
          <cell r="F116" t="str">
            <v>NSIA BANQUE</v>
          </cell>
          <cell r="G116">
            <v>707079088</v>
          </cell>
          <cell r="H116" t="str">
            <v>BONDOUKOU//VOIE INCONNUE/BONDOUKOU</v>
          </cell>
          <cell r="I116">
            <v>1800606</v>
          </cell>
          <cell r="J116" t="str">
            <v>IP Connect LL</v>
          </cell>
          <cell r="K116" t="str">
            <v>fo</v>
          </cell>
          <cell r="L116" t="str">
            <v>LS</v>
          </cell>
          <cell r="M116" t="str">
            <v>Nominale</v>
          </cell>
          <cell r="N116" t="str">
            <v>Offert</v>
          </cell>
          <cell r="O116" t="str">
            <v>BUVPN260033</v>
          </cell>
          <cell r="P116" t="str">
            <v>-</v>
          </cell>
          <cell r="Q116" t="str">
            <v>1.635.147</v>
          </cell>
          <cell r="R116">
            <v>20</v>
          </cell>
          <cell r="S116" t="str">
            <v>Non</v>
          </cell>
          <cell r="T116" t="str">
            <v>OCI</v>
          </cell>
          <cell r="U116"/>
        </row>
        <row r="117">
          <cell r="A117">
            <v>57651473</v>
          </cell>
          <cell r="B117">
            <v>46055.580393518518</v>
          </cell>
          <cell r="C117">
            <v>58307996</v>
          </cell>
          <cell r="D117">
            <v>46066.830451388887</v>
          </cell>
          <cell r="E117" t="str">
            <v>Transmission Plans Equipe Numerisation</v>
          </cell>
          <cell r="F117" t="str">
            <v>NSIA BANQUE</v>
          </cell>
          <cell r="G117">
            <v>707079088</v>
          </cell>
          <cell r="H117" t="str">
            <v>GRAND-LAHOU</v>
          </cell>
          <cell r="I117" t="str">
            <v>-</v>
          </cell>
          <cell r="J117" t="str">
            <v>BUVPN</v>
          </cell>
          <cell r="K117" t="str">
            <v>fo</v>
          </cell>
          <cell r="L117" t="str">
            <v>LS</v>
          </cell>
          <cell r="M117" t="str">
            <v>Nominale</v>
          </cell>
          <cell r="N117" t="str">
            <v>Offert</v>
          </cell>
          <cell r="O117" t="str">
            <v>BUVPN260028</v>
          </cell>
          <cell r="P117" t="str">
            <v>-</v>
          </cell>
          <cell r="Q117">
            <v>1987902</v>
          </cell>
          <cell r="R117">
            <v>20</v>
          </cell>
          <cell r="S117" t="str">
            <v>Non</v>
          </cell>
          <cell r="T117" t="str">
            <v>N/A</v>
          </cell>
          <cell r="U117"/>
        </row>
        <row r="118">
          <cell r="A118">
            <v>57660842</v>
          </cell>
          <cell r="B118">
            <v>46055.645902777775</v>
          </cell>
          <cell r="C118">
            <v>58969534</v>
          </cell>
          <cell r="D118">
            <v>46078.748969907407</v>
          </cell>
          <cell r="E118" t="str">
            <v>Transmission Plans Equipe Numerisation</v>
          </cell>
          <cell r="F118" t="str">
            <v>STE NSIA BANQUE</v>
          </cell>
          <cell r="G118">
            <v>707079088</v>
          </cell>
          <cell r="H118" t="str">
            <v>RIUE DU COMMERCE PLATEAU DERRIERE L'HOTEL MOVENPICK</v>
          </cell>
          <cell r="I118" t="str">
            <v>-</v>
          </cell>
          <cell r="J118" t="str">
            <v>VPNLL</v>
          </cell>
          <cell r="K118" t="str">
            <v>fo</v>
          </cell>
          <cell r="L118" t="str">
            <v>LS</v>
          </cell>
          <cell r="M118" t="str">
            <v>Nominale</v>
          </cell>
          <cell r="N118" t="str">
            <v>Offert</v>
          </cell>
          <cell r="O118" t="str">
            <v>XXXXXXXX</v>
          </cell>
          <cell r="P118" t="str">
            <v>-</v>
          </cell>
          <cell r="Q118">
            <v>693500</v>
          </cell>
          <cell r="R118">
            <v>20</v>
          </cell>
          <cell r="S118" t="str">
            <v>Non</v>
          </cell>
          <cell r="T118" t="str">
            <v xml:space="preserve">CLIENT </v>
          </cell>
          <cell r="U118"/>
        </row>
        <row r="119">
          <cell r="A119">
            <v>57664431</v>
          </cell>
          <cell r="B119">
            <v>46055.665300925924</v>
          </cell>
          <cell r="C119">
            <v>58978926</v>
          </cell>
          <cell r="D119">
            <v>46079.268020833333</v>
          </cell>
          <cell r="E119" t="str">
            <v>Technicien zone: Intervention</v>
          </cell>
          <cell r="F119" t="str">
            <v>STANDARD CHARTERED BANK COTE D'IVOIRE SA</v>
          </cell>
          <cell r="G119">
            <v>707966030</v>
          </cell>
          <cell r="H119" t="str">
            <v>SYTRAN 2 EXTREMITES: A : COCODY-ANGRE B : GRAND BASSAM -VITIB</v>
          </cell>
          <cell r="I119" t="str">
            <v>-</v>
          </cell>
          <cell r="J119" t="str">
            <v>SYTRAN</v>
          </cell>
          <cell r="K119" t="str">
            <v>ftto</v>
          </cell>
          <cell r="L119" t="str">
            <v>LS</v>
          </cell>
          <cell r="M119" t="str">
            <v>Nominale</v>
          </cell>
          <cell r="N119" t="str">
            <v>Encours</v>
          </cell>
          <cell r="O119" t="str">
            <v>SYTHD260054</v>
          </cell>
          <cell r="P119" t="str">
            <v>-</v>
          </cell>
          <cell r="Q119">
            <v>2500000</v>
          </cell>
          <cell r="R119">
            <v>20</v>
          </cell>
          <cell r="S119" t="str">
            <v>Non</v>
          </cell>
          <cell r="T119" t="str">
            <v>N/A</v>
          </cell>
          <cell r="U119"/>
        </row>
        <row r="120">
          <cell r="A120">
            <v>57672103</v>
          </cell>
          <cell r="B120">
            <v>46055.712083333332</v>
          </cell>
          <cell r="C120">
            <v>58477217</v>
          </cell>
          <cell r="D120">
            <v>46070.620787037034</v>
          </cell>
          <cell r="E120" t="str">
            <v>Raccordement Suspendu</v>
          </cell>
          <cell r="F120" t="str">
            <v>STE NSIA BANQUE / TREICHVILLE</v>
          </cell>
          <cell r="G120">
            <v>707079088</v>
          </cell>
          <cell r="H120" t="str">
            <v>ABIDJAN-TREICHVILLE//VOIE INCONNUE/NOTRE DAME D'AFRIQUE0707079088</v>
          </cell>
          <cell r="I120">
            <v>1801436</v>
          </cell>
          <cell r="J120" t="str">
            <v>IP Connect LL</v>
          </cell>
          <cell r="K120" t="str">
            <v>ftto</v>
          </cell>
          <cell r="L120" t="str">
            <v>LS</v>
          </cell>
          <cell r="M120" t="str">
            <v>Nominale</v>
          </cell>
          <cell r="N120" t="str">
            <v>Offert</v>
          </cell>
          <cell r="O120" t="str">
            <v>BUVPN260029</v>
          </cell>
          <cell r="P120" t="str">
            <v>-</v>
          </cell>
          <cell r="Q120">
            <v>1426700</v>
          </cell>
          <cell r="R120">
            <v>20</v>
          </cell>
          <cell r="S120" t="str">
            <v>Non</v>
          </cell>
          <cell r="T120" t="str">
            <v>OCI</v>
          </cell>
          <cell r="U120"/>
        </row>
        <row r="121">
          <cell r="A121">
            <v>57692887</v>
          </cell>
          <cell r="B121">
            <v>46056.394780092596</v>
          </cell>
          <cell r="C121">
            <v>58962398</v>
          </cell>
          <cell r="D121">
            <v>46078.688888888886</v>
          </cell>
          <cell r="E121" t="str">
            <v>Prestataire : Etude</v>
          </cell>
          <cell r="F121" t="str">
            <v>SONATEL</v>
          </cell>
          <cell r="G121">
            <v>707109668</v>
          </cell>
          <cell r="H121" t="str">
            <v>BCEAO PLATEAU</v>
          </cell>
          <cell r="I121" t="str">
            <v>-</v>
          </cell>
          <cell r="J121" t="str">
            <v>VPNLL</v>
          </cell>
          <cell r="K121" t="str">
            <v>fo</v>
          </cell>
          <cell r="L121" t="str">
            <v>LS</v>
          </cell>
          <cell r="M121" t="str">
            <v>Backup</v>
          </cell>
          <cell r="N121" t="str">
            <v>Offert</v>
          </cell>
          <cell r="O121" t="str">
            <v>XXXXXXX</v>
          </cell>
          <cell r="P121" t="str">
            <v>-</v>
          </cell>
          <cell r="Q121" t="str">
            <v>-</v>
          </cell>
          <cell r="R121">
            <v>19</v>
          </cell>
          <cell r="S121" t="str">
            <v>Non</v>
          </cell>
          <cell r="T121" t="str">
            <v xml:space="preserve">CLIENT </v>
          </cell>
          <cell r="U121"/>
        </row>
        <row r="122">
          <cell r="A122">
            <v>57706849</v>
          </cell>
          <cell r="B122">
            <v>46056.499166666668</v>
          </cell>
          <cell r="C122">
            <v>58968509</v>
          </cell>
          <cell r="D122">
            <v>46078.738981481481</v>
          </cell>
          <cell r="E122" t="str">
            <v>Prestataire : Etude</v>
          </cell>
          <cell r="F122" t="str">
            <v>STE MUGEFCI</v>
          </cell>
          <cell r="G122">
            <v>708086472</v>
          </cell>
          <cell r="H122" t="str">
            <v>PLATEAU</v>
          </cell>
          <cell r="I122" t="str">
            <v>-</v>
          </cell>
          <cell r="J122" t="str">
            <v>SYTRAN</v>
          </cell>
          <cell r="K122" t="str">
            <v>fo</v>
          </cell>
          <cell r="L122" t="str">
            <v>LSI</v>
          </cell>
          <cell r="M122" t="str">
            <v>Backup</v>
          </cell>
          <cell r="N122" t="str">
            <v>Offert</v>
          </cell>
          <cell r="O122" t="str">
            <v>XXXXXX</v>
          </cell>
          <cell r="P122" t="str">
            <v>-</v>
          </cell>
          <cell r="Q122">
            <v>0</v>
          </cell>
          <cell r="R122">
            <v>19</v>
          </cell>
          <cell r="S122" t="str">
            <v>Non</v>
          </cell>
          <cell r="T122" t="str">
            <v xml:space="preserve">CLIENT </v>
          </cell>
          <cell r="U122"/>
        </row>
        <row r="123">
          <cell r="A123">
            <v>57766874</v>
          </cell>
          <cell r="B123">
            <v>46057.483344907407</v>
          </cell>
          <cell r="C123">
            <v>58542371</v>
          </cell>
          <cell r="D123">
            <v>46071.636203703703</v>
          </cell>
          <cell r="E123" t="str">
            <v>Transmission Plans Equipe Numerisation</v>
          </cell>
          <cell r="F123" t="str">
            <v>SIA RESTAURATION RAPIDE COTE D'IVOIRE</v>
          </cell>
          <cell r="G123">
            <v>768324405</v>
          </cell>
          <cell r="H123" t="str">
            <v>MARCORY</v>
          </cell>
          <cell r="I123" t="str">
            <v>-</v>
          </cell>
          <cell r="J123" t="str">
            <v>T0</v>
          </cell>
          <cell r="K123" t="str">
            <v>ftto_virage</v>
          </cell>
          <cell r="L123" t="str">
            <v>numerique</v>
          </cell>
          <cell r="M123" t="str">
            <v>Nominale</v>
          </cell>
          <cell r="N123" t="str">
            <v>Offert</v>
          </cell>
          <cell r="O123">
            <v>2721711780</v>
          </cell>
          <cell r="P123" t="str">
            <v>-</v>
          </cell>
          <cell r="Q123" t="str">
            <v>-</v>
          </cell>
          <cell r="R123">
            <v>18</v>
          </cell>
          <cell r="S123" t="str">
            <v>Non</v>
          </cell>
          <cell r="T123" t="str">
            <v>N/A</v>
          </cell>
          <cell r="U123"/>
        </row>
        <row r="124">
          <cell r="A124">
            <v>57771694</v>
          </cell>
          <cell r="B124">
            <v>46057.509652777779</v>
          </cell>
          <cell r="C124">
            <v>58091715</v>
          </cell>
          <cell r="D124">
            <v>46063.566319444442</v>
          </cell>
          <cell r="E124" t="str">
            <v>Prestataire : Travaux</v>
          </cell>
          <cell r="F124" t="str">
            <v>BASE AERIENN D’ABIDJAN</v>
          </cell>
          <cell r="G124">
            <v>758333146</v>
          </cell>
          <cell r="H124" t="str">
            <v>ABIDJAN AEROPORT</v>
          </cell>
          <cell r="I124" t="str">
            <v>-</v>
          </cell>
          <cell r="J124" t="str">
            <v>SYTRAN</v>
          </cell>
          <cell r="K124" t="str">
            <v>fo</v>
          </cell>
          <cell r="L124" t="str">
            <v>LSI</v>
          </cell>
          <cell r="M124" t="str">
            <v>Nominale</v>
          </cell>
          <cell r="N124" t="str">
            <v>Offert</v>
          </cell>
          <cell r="O124" t="str">
            <v>XXXXXXXXXXX</v>
          </cell>
          <cell r="P124" t="str">
            <v>-</v>
          </cell>
          <cell r="Q124">
            <v>400000</v>
          </cell>
          <cell r="R124">
            <v>18</v>
          </cell>
          <cell r="S124" t="str">
            <v>Oui</v>
          </cell>
          <cell r="T124" t="str">
            <v>N/A</v>
          </cell>
          <cell r="U124"/>
        </row>
        <row r="125">
          <cell r="A125">
            <v>57773018</v>
          </cell>
          <cell r="B125">
            <v>46057.517175925925</v>
          </cell>
          <cell r="C125">
            <v>58863220</v>
          </cell>
          <cell r="D125">
            <v>46077.46539351852</v>
          </cell>
          <cell r="E125" t="str">
            <v>Saisie ASCOM</v>
          </cell>
          <cell r="F125" t="str">
            <v>BASE AERIENN KORHOGO</v>
          </cell>
          <cell r="G125">
            <v>758333146</v>
          </cell>
          <cell r="H125" t="str">
            <v>KORHOGO</v>
          </cell>
          <cell r="I125" t="str">
            <v>-</v>
          </cell>
          <cell r="J125" t="str">
            <v>SYTRAN</v>
          </cell>
          <cell r="K125" t="str">
            <v>fo</v>
          </cell>
          <cell r="L125" t="str">
            <v>LSI</v>
          </cell>
          <cell r="M125" t="str">
            <v>Nominale</v>
          </cell>
          <cell r="N125" t="str">
            <v>Encours</v>
          </cell>
          <cell r="O125" t="str">
            <v>XXXXXX</v>
          </cell>
          <cell r="P125" t="str">
            <v>-</v>
          </cell>
          <cell r="Q125">
            <v>400000</v>
          </cell>
          <cell r="R125">
            <v>18</v>
          </cell>
          <cell r="S125" t="str">
            <v>Non</v>
          </cell>
          <cell r="T125" t="str">
            <v>N/A</v>
          </cell>
          <cell r="U125" t="str">
            <v>FH</v>
          </cell>
        </row>
        <row r="126">
          <cell r="A126">
            <v>57782724</v>
          </cell>
          <cell r="B126">
            <v>46057.593252314815</v>
          </cell>
          <cell r="C126">
            <v>58668478</v>
          </cell>
          <cell r="D126">
            <v>46073.616851851853</v>
          </cell>
          <cell r="E126" t="str">
            <v>SIE : Mise en service GAIA</v>
          </cell>
          <cell r="F126" t="str">
            <v>HK STUDIO</v>
          </cell>
          <cell r="G126">
            <v>708075673</v>
          </cell>
          <cell r="H126" t="str">
            <v>BINGERVILLE CITE BELLE VUE</v>
          </cell>
          <cell r="I126" t="str">
            <v>-</v>
          </cell>
          <cell r="J126" t="str">
            <v>T0</v>
          </cell>
          <cell r="K126" t="str">
            <v>ftto_virage</v>
          </cell>
          <cell r="L126" t="str">
            <v>numerique</v>
          </cell>
          <cell r="M126" t="str">
            <v>Nominale</v>
          </cell>
          <cell r="N126"/>
          <cell r="O126">
            <v>2722229745</v>
          </cell>
          <cell r="P126" t="str">
            <v>-</v>
          </cell>
          <cell r="Q126" t="str">
            <v>-</v>
          </cell>
          <cell r="R126">
            <v>18</v>
          </cell>
          <cell r="S126" t="str">
            <v>Non</v>
          </cell>
          <cell r="T126" t="str">
            <v>N/A</v>
          </cell>
          <cell r="U126"/>
        </row>
        <row r="127">
          <cell r="A127">
            <v>57847231</v>
          </cell>
          <cell r="B127">
            <v>46058.589849537035</v>
          </cell>
          <cell r="C127">
            <v>58975552</v>
          </cell>
          <cell r="D127">
            <v>46078.883587962962</v>
          </cell>
          <cell r="E127" t="str">
            <v>Test et recette</v>
          </cell>
          <cell r="F127" t="str">
            <v>CONSEIL REGIONAL SUD COMOE</v>
          </cell>
          <cell r="G127">
            <v>757233377</v>
          </cell>
          <cell r="H127" t="str">
            <v>ABOISSO</v>
          </cell>
          <cell r="I127" t="str">
            <v>-</v>
          </cell>
          <cell r="J127" t="str">
            <v>SYTRAN</v>
          </cell>
          <cell r="K127" t="str">
            <v>fo</v>
          </cell>
          <cell r="L127" t="str">
            <v>LSI</v>
          </cell>
          <cell r="M127" t="str">
            <v>Nominale</v>
          </cell>
          <cell r="N127" t="str">
            <v>Offert</v>
          </cell>
          <cell r="O127" t="str">
            <v>SYTHD260061</v>
          </cell>
          <cell r="P127" t="str">
            <v>-</v>
          </cell>
          <cell r="Q127">
            <v>485500</v>
          </cell>
          <cell r="R127">
            <v>17</v>
          </cell>
          <cell r="S127" t="str">
            <v>Non</v>
          </cell>
          <cell r="T127" t="str">
            <v>N/A</v>
          </cell>
          <cell r="U127"/>
        </row>
        <row r="128">
          <cell r="A128">
            <v>57849095</v>
          </cell>
          <cell r="B128">
            <v>46058.603668981479</v>
          </cell>
          <cell r="C128">
            <v>58967976</v>
          </cell>
          <cell r="D128">
            <v>46078.733090277776</v>
          </cell>
          <cell r="E128" t="str">
            <v>Prestataire : Etude</v>
          </cell>
          <cell r="F128" t="str">
            <v>SONATEL</v>
          </cell>
          <cell r="G128">
            <v>707109668</v>
          </cell>
          <cell r="H128" t="str">
            <v>BCEAO PLATEAU</v>
          </cell>
          <cell r="I128" t="str">
            <v>-</v>
          </cell>
          <cell r="J128" t="str">
            <v>VPNLL</v>
          </cell>
          <cell r="K128" t="str">
            <v>fo</v>
          </cell>
          <cell r="L128" t="str">
            <v>LS</v>
          </cell>
          <cell r="M128" t="str">
            <v>Nominale</v>
          </cell>
          <cell r="N128" t="str">
            <v>Offert</v>
          </cell>
          <cell r="O128" t="str">
            <v>SYTHD260049</v>
          </cell>
          <cell r="P128" t="str">
            <v>-</v>
          </cell>
          <cell r="Q128" t="str">
            <v>-</v>
          </cell>
          <cell r="R128">
            <v>17</v>
          </cell>
          <cell r="S128" t="str">
            <v>Non</v>
          </cell>
          <cell r="T128" t="str">
            <v xml:space="preserve">CLIENT </v>
          </cell>
          <cell r="U128"/>
        </row>
        <row r="129">
          <cell r="A129">
            <v>57849289</v>
          </cell>
          <cell r="B129">
            <v>46058.605011574073</v>
          </cell>
          <cell r="C129">
            <v>58459402</v>
          </cell>
          <cell r="D129">
            <v>46070.48028935185</v>
          </cell>
          <cell r="E129" t="str">
            <v>Transmission Plans Equipe Numerisation</v>
          </cell>
          <cell r="F129" t="str">
            <v>CONSEIL REGIONAL SUD COMOE</v>
          </cell>
          <cell r="G129">
            <v>757233377</v>
          </cell>
          <cell r="H129" t="str">
            <v>ABOISSO</v>
          </cell>
          <cell r="I129" t="str">
            <v>-</v>
          </cell>
          <cell r="J129" t="str">
            <v>T0</v>
          </cell>
          <cell r="K129" t="str">
            <v>fo_virage</v>
          </cell>
          <cell r="L129" t="str">
            <v>numerique</v>
          </cell>
          <cell r="M129" t="str">
            <v>Nominale</v>
          </cell>
          <cell r="N129" t="str">
            <v>Offert</v>
          </cell>
          <cell r="O129">
            <v>2721711780</v>
          </cell>
          <cell r="P129" t="str">
            <v>-</v>
          </cell>
          <cell r="Q129" t="str">
            <v>-</v>
          </cell>
          <cell r="R129">
            <v>17</v>
          </cell>
          <cell r="S129" t="str">
            <v>Non</v>
          </cell>
          <cell r="T129" t="str">
            <v>N/A</v>
          </cell>
          <cell r="U129"/>
        </row>
        <row r="130">
          <cell r="A130">
            <v>57868769</v>
          </cell>
          <cell r="B130">
            <v>46058.739907407406</v>
          </cell>
          <cell r="C130">
            <v>58091821</v>
          </cell>
          <cell r="D130">
            <v>46063.567060185182</v>
          </cell>
          <cell r="E130" t="str">
            <v>Prestataire : Travaux</v>
          </cell>
          <cell r="F130" t="str">
            <v>EGLISE DE JESUS CHRIST DES SAINTS DES DERNIERS JOURS</v>
          </cell>
          <cell r="G130">
            <v>575480452</v>
          </cell>
          <cell r="H130" t="str">
            <v>COCODY</v>
          </cell>
          <cell r="I130" t="str">
            <v>-</v>
          </cell>
          <cell r="J130" t="str">
            <v>SYTRAN</v>
          </cell>
          <cell r="K130" t="str">
            <v>fo</v>
          </cell>
          <cell r="L130" t="str">
            <v>LSI</v>
          </cell>
          <cell r="M130" t="str">
            <v>Nominale</v>
          </cell>
          <cell r="N130" t="str">
            <v>Offert</v>
          </cell>
          <cell r="O130" t="str">
            <v>-</v>
          </cell>
          <cell r="P130" t="str">
            <v>-</v>
          </cell>
          <cell r="Q130">
            <v>0</v>
          </cell>
          <cell r="R130">
            <v>17</v>
          </cell>
          <cell r="S130" t="str">
            <v>Non</v>
          </cell>
          <cell r="T130" t="str">
            <v>N/A</v>
          </cell>
          <cell r="U130"/>
        </row>
        <row r="131">
          <cell r="A131">
            <v>57899728</v>
          </cell>
          <cell r="B131">
            <v>46059.503668981481</v>
          </cell>
          <cell r="C131">
            <v>58780624</v>
          </cell>
          <cell r="D131">
            <v>46076.388275462959</v>
          </cell>
          <cell r="E131" t="str">
            <v>Cordonnateur Prestatataire: Affectation Technicien</v>
          </cell>
          <cell r="F131" t="str">
            <v>HUAWEI TECHNOLOGIE SAU</v>
          </cell>
          <cell r="G131">
            <v>505980067</v>
          </cell>
          <cell r="H131" t="str">
            <v>MARCORY IMMEUBLE CAPSTONE 9E ETAGE</v>
          </cell>
          <cell r="I131" t="str">
            <v>-</v>
          </cell>
          <cell r="J131" t="str">
            <v>SYTRAN</v>
          </cell>
          <cell r="K131" t="str">
            <v>fo</v>
          </cell>
          <cell r="L131" t="str">
            <v>LS</v>
          </cell>
          <cell r="M131" t="str">
            <v>Nominale</v>
          </cell>
          <cell r="N131" t="str">
            <v>Encours</v>
          </cell>
          <cell r="O131" t="str">
            <v>SYTHD260058</v>
          </cell>
          <cell r="P131" t="str">
            <v>-</v>
          </cell>
          <cell r="Q131">
            <v>1002937</v>
          </cell>
          <cell r="R131">
            <v>16</v>
          </cell>
          <cell r="S131" t="str">
            <v>Non</v>
          </cell>
          <cell r="T131" t="str">
            <v>N/A</v>
          </cell>
          <cell r="U131"/>
        </row>
        <row r="132">
          <cell r="A132">
            <v>57900967</v>
          </cell>
          <cell r="B132">
            <v>46059.51226851852</v>
          </cell>
          <cell r="C132">
            <v>59005729</v>
          </cell>
          <cell r="D132">
            <v>46079.535138888888</v>
          </cell>
          <cell r="E132" t="str">
            <v>Test et recette</v>
          </cell>
          <cell r="F132" t="str">
            <v>Huawei Technologies Cote d'Ivoire SAU</v>
          </cell>
          <cell r="G132">
            <v>505980067</v>
          </cell>
          <cell r="H132" t="str">
            <v>ABIDJAN-PLATEAU//VOIE INCONNUE/PLATEAU IMMEUBLE PLAZZA</v>
          </cell>
          <cell r="I132">
            <v>1811806</v>
          </cell>
          <cell r="J132" t="str">
            <v>IP Connect LL</v>
          </cell>
          <cell r="K132" t="str">
            <v>fo</v>
          </cell>
          <cell r="L132" t="str">
            <v>LS</v>
          </cell>
          <cell r="M132" t="str">
            <v>NOM</v>
          </cell>
          <cell r="N132" t="str">
            <v>Offert</v>
          </cell>
          <cell r="O132" t="str">
            <v>SYTHD260059</v>
          </cell>
          <cell r="P132" t="str">
            <v>-</v>
          </cell>
          <cell r="Q132">
            <v>1388682</v>
          </cell>
          <cell r="R132">
            <v>16</v>
          </cell>
          <cell r="S132" t="str">
            <v>Non</v>
          </cell>
          <cell r="T132" t="str">
            <v>N/A</v>
          </cell>
          <cell r="U132"/>
        </row>
        <row r="133">
          <cell r="A133">
            <v>57917222</v>
          </cell>
          <cell r="B133">
            <v>46059.640532407408</v>
          </cell>
          <cell r="C133">
            <v>58471099</v>
          </cell>
          <cell r="D133">
            <v>46070.569340277776</v>
          </cell>
          <cell r="E133" t="str">
            <v>Prestataire : Travaux</v>
          </cell>
          <cell r="F133" t="str">
            <v>BANQUE AFRICAIN DE DEVELOPPEMENT</v>
          </cell>
          <cell r="G133">
            <v>575750228</v>
          </cell>
          <cell r="H133" t="str">
            <v>SOFITEL HOTEL IVOIRE AUDITORIUM</v>
          </cell>
          <cell r="I133" t="str">
            <v>-</v>
          </cell>
          <cell r="J133" t="str">
            <v>SYTRAN</v>
          </cell>
          <cell r="K133" t="str">
            <v>fo</v>
          </cell>
          <cell r="L133" t="str">
            <v>LSI</v>
          </cell>
          <cell r="M133" t="str">
            <v>Temporaire</v>
          </cell>
          <cell r="N133" t="str">
            <v>Offert</v>
          </cell>
          <cell r="O133" t="str">
            <v>XXXXXXX</v>
          </cell>
          <cell r="P133" t="str">
            <v>-</v>
          </cell>
          <cell r="Q133">
            <v>577058</v>
          </cell>
          <cell r="R133">
            <v>16</v>
          </cell>
          <cell r="S133" t="str">
            <v>Non</v>
          </cell>
          <cell r="T133" t="str">
            <v>N/A</v>
          </cell>
          <cell r="U133"/>
        </row>
        <row r="134">
          <cell r="A134">
            <v>57932962</v>
          </cell>
          <cell r="B134">
            <v>46059.784583333334</v>
          </cell>
          <cell r="C134">
            <v>58097696</v>
          </cell>
          <cell r="D134">
            <v>46063.609976851854</v>
          </cell>
          <cell r="E134" t="str">
            <v>Prestataire : Travaux</v>
          </cell>
          <cell r="F134" t="str">
            <v>GEK CAPITAL</v>
          </cell>
          <cell r="G134">
            <v>708392808</v>
          </cell>
          <cell r="H134" t="str">
            <v>COCODY RIVIERA GOLF 4, CITE RIVIERA BEACH</v>
          </cell>
          <cell r="I134" t="str">
            <v>-</v>
          </cell>
          <cell r="J134" t="str">
            <v>SYTRAN</v>
          </cell>
          <cell r="K134" t="str">
            <v>fo</v>
          </cell>
          <cell r="L134" t="str">
            <v>LSI</v>
          </cell>
          <cell r="M134" t="str">
            <v>Nominale</v>
          </cell>
          <cell r="N134" t="str">
            <v>Offert</v>
          </cell>
          <cell r="O134" t="str">
            <v>XXXXXXXXX</v>
          </cell>
          <cell r="P134" t="str">
            <v>-</v>
          </cell>
          <cell r="Q134">
            <v>500000</v>
          </cell>
          <cell r="R134">
            <v>16</v>
          </cell>
          <cell r="S134" t="str">
            <v>Non</v>
          </cell>
          <cell r="T134" t="str">
            <v>N/A</v>
          </cell>
          <cell r="U134"/>
        </row>
        <row r="135">
          <cell r="A135">
            <v>58016116</v>
          </cell>
          <cell r="B135">
            <v>46062.471516203703</v>
          </cell>
          <cell r="C135">
            <v>58622006</v>
          </cell>
          <cell r="D135">
            <v>46072.740682870368</v>
          </cell>
          <cell r="E135" t="str">
            <v>Transmission Plans Equipe Numerisation</v>
          </cell>
          <cell r="F135" t="str">
            <v>OPAL PROPERTIES</v>
          </cell>
          <cell r="G135">
            <v>777552960</v>
          </cell>
          <cell r="H135" t="str">
            <v>MARCORY ZONZ 4</v>
          </cell>
          <cell r="I135" t="str">
            <v>-</v>
          </cell>
          <cell r="J135" t="str">
            <v>T0</v>
          </cell>
          <cell r="K135" t="str">
            <v>ftto_virage</v>
          </cell>
          <cell r="L135" t="str">
            <v>numerique</v>
          </cell>
          <cell r="M135" t="str">
            <v>Nominale</v>
          </cell>
          <cell r="N135" t="str">
            <v>Offert</v>
          </cell>
          <cell r="O135">
            <v>2721711770</v>
          </cell>
          <cell r="P135" t="str">
            <v>-</v>
          </cell>
          <cell r="Q135" t="str">
            <v>-</v>
          </cell>
          <cell r="R135">
            <v>15</v>
          </cell>
          <cell r="S135" t="str">
            <v>Non</v>
          </cell>
          <cell r="T135" t="str">
            <v>N/A</v>
          </cell>
          <cell r="U135"/>
        </row>
        <row r="136">
          <cell r="A136">
            <v>58040642</v>
          </cell>
          <cell r="B136">
            <v>46062.648090277777</v>
          </cell>
          <cell r="C136">
            <v>58989085</v>
          </cell>
          <cell r="D136">
            <v>46079.423888888887</v>
          </cell>
          <cell r="E136" t="str">
            <v>BO Homologation: Mise en service GAIA</v>
          </cell>
          <cell r="F136" t="str">
            <v>BCP EMPLOI</v>
          </cell>
          <cell r="G136">
            <v>171656545</v>
          </cell>
          <cell r="H136" t="str">
            <v>ABIDJAN-COCODY//VOIE INCONNUE/RUE DES JARDINS</v>
          </cell>
          <cell r="I136">
            <v>1806016</v>
          </cell>
          <cell r="J136" t="str">
            <v>LIAISON SPECIALISEE</v>
          </cell>
          <cell r="K136" t="str">
            <v>ftto</v>
          </cell>
          <cell r="L136" t="str">
            <v>LSI</v>
          </cell>
          <cell r="M136" t="str">
            <v>Temporaire</v>
          </cell>
          <cell r="N136" t="str">
            <v>Encours</v>
          </cell>
          <cell r="O136" t="str">
            <v>SYTHD260060</v>
          </cell>
          <cell r="P136" t="str">
            <v>-</v>
          </cell>
          <cell r="Q136">
            <v>842820</v>
          </cell>
          <cell r="R136">
            <v>15</v>
          </cell>
          <cell r="S136" t="str">
            <v>Non</v>
          </cell>
          <cell r="T136" t="str">
            <v>OCI</v>
          </cell>
          <cell r="U136"/>
        </row>
        <row r="137">
          <cell r="A137">
            <v>58055656</v>
          </cell>
          <cell r="B137">
            <v>46062.760023148148</v>
          </cell>
          <cell r="C137">
            <v>58688846</v>
          </cell>
          <cell r="D137">
            <v>46073.816388888888</v>
          </cell>
          <cell r="E137" t="str">
            <v>Prestataire : Travaux</v>
          </cell>
          <cell r="F137" t="str">
            <v>MAIRIE DE NIABLE</v>
          </cell>
          <cell r="G137">
            <v>758224257</v>
          </cell>
          <cell r="H137" t="str">
            <v>NIABLE A LA MAIRIE</v>
          </cell>
          <cell r="I137" t="str">
            <v>-</v>
          </cell>
          <cell r="J137" t="str">
            <v>SYTRAN</v>
          </cell>
          <cell r="K137" t="str">
            <v>fo</v>
          </cell>
          <cell r="L137" t="str">
            <v>LSI</v>
          </cell>
          <cell r="M137" t="str">
            <v>Nominale</v>
          </cell>
          <cell r="N137" t="str">
            <v>Offert</v>
          </cell>
          <cell r="O137" t="str">
            <v>xxxxx</v>
          </cell>
          <cell r="P137" t="str">
            <v>-</v>
          </cell>
          <cell r="Q137">
            <v>1800000</v>
          </cell>
          <cell r="R137">
            <v>15</v>
          </cell>
          <cell r="S137" t="str">
            <v>Non</v>
          </cell>
          <cell r="T137" t="str">
            <v>OCI</v>
          </cell>
          <cell r="U137"/>
        </row>
        <row r="138">
          <cell r="A138">
            <v>58093827</v>
          </cell>
          <cell r="B138">
            <v>46063.583402777775</v>
          </cell>
          <cell r="C138">
            <v>58952418</v>
          </cell>
          <cell r="D138">
            <v>46078.616655092592</v>
          </cell>
          <cell r="E138" t="str">
            <v>Responsable Zone: Coordination etude et travaux</v>
          </cell>
          <cell r="F138" t="str">
            <v>SIMDCI SA</v>
          </cell>
          <cell r="G138">
            <v>708086759</v>
          </cell>
          <cell r="H138" t="str">
            <v>TAABO LAMTO</v>
          </cell>
          <cell r="I138" t="str">
            <v>-</v>
          </cell>
          <cell r="J138" t="str">
            <v>SYTRAN</v>
          </cell>
          <cell r="K138" t="str">
            <v>fo</v>
          </cell>
          <cell r="L138" t="str">
            <v>LSI</v>
          </cell>
          <cell r="M138" t="str">
            <v>Backup</v>
          </cell>
          <cell r="N138" t="str">
            <v>Offert</v>
          </cell>
          <cell r="O138" t="str">
            <v>XXXXXXX</v>
          </cell>
          <cell r="P138" t="str">
            <v>-</v>
          </cell>
          <cell r="Q138" t="str">
            <v>-</v>
          </cell>
          <cell r="R138">
            <v>14</v>
          </cell>
          <cell r="S138" t="str">
            <v>Non</v>
          </cell>
          <cell r="T138" t="str">
            <v>N/A</v>
          </cell>
          <cell r="U138" t="str">
            <v>Survey en cours</v>
          </cell>
        </row>
        <row r="139">
          <cell r="A139">
            <v>58093843</v>
          </cell>
          <cell r="B139">
            <v>46063.583460648151</v>
          </cell>
          <cell r="C139">
            <v>58667700</v>
          </cell>
          <cell r="D139">
            <v>46073.611655092594</v>
          </cell>
          <cell r="E139" t="str">
            <v>Test et recette</v>
          </cell>
          <cell r="F139" t="str">
            <v>SIMDCI SA</v>
          </cell>
          <cell r="G139">
            <v>708086759</v>
          </cell>
          <cell r="H139" t="str">
            <v>TAABO LAMTO</v>
          </cell>
          <cell r="I139" t="str">
            <v>-</v>
          </cell>
          <cell r="J139" t="str">
            <v>SYTRAN</v>
          </cell>
          <cell r="K139" t="str">
            <v>fo</v>
          </cell>
          <cell r="L139" t="str">
            <v>LSI</v>
          </cell>
          <cell r="M139" t="str">
            <v>Principale (avec backup)</v>
          </cell>
          <cell r="N139" t="str">
            <v>Offert</v>
          </cell>
          <cell r="O139" t="str">
            <v>SYTHD250359</v>
          </cell>
          <cell r="P139" t="str">
            <v>-</v>
          </cell>
          <cell r="Q139">
            <v>0</v>
          </cell>
          <cell r="R139">
            <v>14</v>
          </cell>
          <cell r="S139" t="str">
            <v>Non</v>
          </cell>
          <cell r="T139" t="str">
            <v>N/A</v>
          </cell>
          <cell r="U139" t="str">
            <v>Demande à annuler</v>
          </cell>
        </row>
        <row r="140">
          <cell r="A140">
            <v>58096761</v>
          </cell>
          <cell r="B140">
            <v>46063.603229166663</v>
          </cell>
          <cell r="C140">
            <v>58688791</v>
          </cell>
          <cell r="D140">
            <v>46073.814432870371</v>
          </cell>
          <cell r="E140" t="str">
            <v>Prestataire : Travaux</v>
          </cell>
          <cell r="F140" t="str">
            <v>SIMDCI SA</v>
          </cell>
          <cell r="G140">
            <v>708086759</v>
          </cell>
          <cell r="H140" t="str">
            <v>TAABO LAMTO</v>
          </cell>
          <cell r="I140" t="str">
            <v>-</v>
          </cell>
          <cell r="J140" t="str">
            <v>BUVPN</v>
          </cell>
          <cell r="K140" t="str">
            <v>fo</v>
          </cell>
          <cell r="L140" t="str">
            <v>LS</v>
          </cell>
          <cell r="M140" t="str">
            <v>Backup</v>
          </cell>
          <cell r="N140" t="str">
            <v>Offert</v>
          </cell>
          <cell r="O140" t="str">
            <v>xxxxxxxxxx</v>
          </cell>
          <cell r="P140" t="str">
            <v>-</v>
          </cell>
          <cell r="Q140" t="str">
            <v>-</v>
          </cell>
          <cell r="R140">
            <v>14</v>
          </cell>
          <cell r="S140" t="str">
            <v>Non</v>
          </cell>
          <cell r="T140" t="str">
            <v>N/A</v>
          </cell>
          <cell r="U140" t="str">
            <v>Survey en cours</v>
          </cell>
        </row>
        <row r="141">
          <cell r="A141">
            <v>58096775</v>
          </cell>
          <cell r="B141">
            <v>46063.603263888886</v>
          </cell>
          <cell r="C141">
            <v>58655959</v>
          </cell>
          <cell r="D141">
            <v>46073.525740740741</v>
          </cell>
          <cell r="E141" t="str">
            <v>Test et recette</v>
          </cell>
          <cell r="F141" t="str">
            <v>SIMDCI SA</v>
          </cell>
          <cell r="G141">
            <v>708086759</v>
          </cell>
          <cell r="H141" t="str">
            <v>TAABO LAMTO</v>
          </cell>
          <cell r="I141" t="str">
            <v>-</v>
          </cell>
          <cell r="J141" t="str">
            <v>BUVPN</v>
          </cell>
          <cell r="K141" t="str">
            <v>fo</v>
          </cell>
          <cell r="L141" t="str">
            <v>LS</v>
          </cell>
          <cell r="M141" t="str">
            <v>Principale (avec backup)</v>
          </cell>
          <cell r="N141" t="str">
            <v>Offert</v>
          </cell>
          <cell r="O141" t="str">
            <v>BUVPN250213</v>
          </cell>
          <cell r="P141" t="str">
            <v>-</v>
          </cell>
          <cell r="Q141">
            <v>0</v>
          </cell>
          <cell r="R141">
            <v>14</v>
          </cell>
          <cell r="S141" t="str">
            <v>Non</v>
          </cell>
          <cell r="T141" t="str">
            <v>N/A</v>
          </cell>
          <cell r="U141" t="str">
            <v>Demande à annuler</v>
          </cell>
        </row>
        <row r="142">
          <cell r="A142">
            <v>58136263</v>
          </cell>
          <cell r="B142">
            <v>46064.412870370368</v>
          </cell>
          <cell r="C142">
            <v>58593684</v>
          </cell>
          <cell r="D142">
            <v>46072.514490740738</v>
          </cell>
          <cell r="E142" t="str">
            <v>Prestataire : Etude</v>
          </cell>
          <cell r="F142" t="str">
            <v>AFRIX TELECOM</v>
          </cell>
          <cell r="G142">
            <v>707109668</v>
          </cell>
          <cell r="H142" t="str">
            <v>EXT A : KM4 EXT B: CLS ACE ACCRA</v>
          </cell>
          <cell r="I142" t="str">
            <v>-</v>
          </cell>
          <cell r="J142" t="str">
            <v>VPNLL</v>
          </cell>
          <cell r="K142" t="str">
            <v>fo</v>
          </cell>
          <cell r="L142" t="str">
            <v>LS</v>
          </cell>
          <cell r="M142" t="str">
            <v>Nominale</v>
          </cell>
          <cell r="N142" t="str">
            <v>Offert</v>
          </cell>
          <cell r="O142" t="str">
            <v>XXXXXX</v>
          </cell>
          <cell r="P142" t="str">
            <v>-</v>
          </cell>
          <cell r="Q142" t="str">
            <v>-</v>
          </cell>
          <cell r="R142">
            <v>13</v>
          </cell>
          <cell r="S142" t="str">
            <v>Non</v>
          </cell>
          <cell r="T142" t="str">
            <v>N/A</v>
          </cell>
          <cell r="U142"/>
        </row>
        <row r="143">
          <cell r="A143">
            <v>58143414</v>
          </cell>
          <cell r="B143">
            <v>46064.471539351849</v>
          </cell>
          <cell r="C143">
            <v>59020495</v>
          </cell>
          <cell r="D143">
            <v>46079.644444444442</v>
          </cell>
          <cell r="E143" t="str">
            <v>Responsable Zone: Coordination etude et travaux</v>
          </cell>
          <cell r="F143" t="str">
            <v>LYCEE PROFESSIONNEL METIER ENERGIES RENOUVELABLES</v>
          </cell>
          <cell r="G143">
            <v>757687227</v>
          </cell>
          <cell r="H143" t="str">
            <v>YOPOUGON LYCEE TECHNIQUE</v>
          </cell>
          <cell r="I143" t="str">
            <v>-</v>
          </cell>
          <cell r="J143" t="str">
            <v>SYTRAN</v>
          </cell>
          <cell r="K143" t="str">
            <v>fo</v>
          </cell>
          <cell r="L143" t="str">
            <v>LSI</v>
          </cell>
          <cell r="M143" t="str">
            <v>Nominale</v>
          </cell>
          <cell r="N143" t="str">
            <v>Offert</v>
          </cell>
          <cell r="O143" t="str">
            <v>XXXXXX</v>
          </cell>
          <cell r="P143" t="str">
            <v>-</v>
          </cell>
          <cell r="Q143">
            <v>0</v>
          </cell>
          <cell r="R143">
            <v>13</v>
          </cell>
          <cell r="S143" t="str">
            <v>Non</v>
          </cell>
          <cell r="T143" t="str">
            <v>N/A</v>
          </cell>
          <cell r="U143"/>
        </row>
        <row r="144">
          <cell r="A144">
            <v>58144220</v>
          </cell>
          <cell r="B144">
            <v>46064.478425925925</v>
          </cell>
          <cell r="C144">
            <v>58688899</v>
          </cell>
          <cell r="D144">
            <v>46073.817407407405</v>
          </cell>
          <cell r="E144" t="str">
            <v>Prestataire : Travaux</v>
          </cell>
          <cell r="F144" t="str">
            <v>COMPAGNIE DE TRANSFORMATION DU CAOUCHOUC IVOIRIEN</v>
          </cell>
          <cell r="G144">
            <v>2722418166</v>
          </cell>
          <cell r="H144" t="str">
            <v>COCODY 2 PLATEAUX</v>
          </cell>
          <cell r="I144" t="str">
            <v>-</v>
          </cell>
          <cell r="J144" t="str">
            <v>BUVPN</v>
          </cell>
          <cell r="K144" t="str">
            <v>fo</v>
          </cell>
          <cell r="L144" t="str">
            <v>LS</v>
          </cell>
          <cell r="M144" t="str">
            <v>Backup</v>
          </cell>
          <cell r="N144" t="str">
            <v>Offert</v>
          </cell>
          <cell r="O144" t="str">
            <v>XXXXXX</v>
          </cell>
          <cell r="P144" t="str">
            <v>-</v>
          </cell>
          <cell r="Q144">
            <v>0</v>
          </cell>
          <cell r="R144">
            <v>13</v>
          </cell>
          <cell r="S144" t="str">
            <v>Non</v>
          </cell>
          <cell r="T144" t="str">
            <v>N/A</v>
          </cell>
          <cell r="U144"/>
        </row>
        <row r="145">
          <cell r="A145">
            <v>58150208</v>
          </cell>
          <cell r="B145">
            <v>46064.520543981482</v>
          </cell>
          <cell r="C145">
            <v>58689221</v>
          </cell>
          <cell r="D145">
            <v>46073.82199074074</v>
          </cell>
          <cell r="E145" t="str">
            <v>Prestataire : Travaux</v>
          </cell>
          <cell r="F145" t="str">
            <v>DOUANES</v>
          </cell>
          <cell r="G145">
            <v>779491369</v>
          </cell>
          <cell r="H145" t="str">
            <v>MARCORY ZONE 4 EUROFIND</v>
          </cell>
          <cell r="I145" t="str">
            <v>-</v>
          </cell>
          <cell r="J145" t="str">
            <v>BUVPN</v>
          </cell>
          <cell r="K145" t="str">
            <v>fo</v>
          </cell>
          <cell r="L145" t="str">
            <v>LS</v>
          </cell>
          <cell r="M145" t="str">
            <v>Nominale</v>
          </cell>
          <cell r="N145" t="str">
            <v>Offert</v>
          </cell>
          <cell r="O145" t="str">
            <v>XXXXX</v>
          </cell>
          <cell r="P145" t="str">
            <v>-</v>
          </cell>
          <cell r="Q145">
            <v>2000000</v>
          </cell>
          <cell r="R145">
            <v>13</v>
          </cell>
          <cell r="S145" t="str">
            <v>Non</v>
          </cell>
          <cell r="T145" t="str">
            <v>N/A</v>
          </cell>
          <cell r="U145"/>
        </row>
        <row r="146">
          <cell r="A146">
            <v>58151683</v>
          </cell>
          <cell r="B146">
            <v>46064.532222222224</v>
          </cell>
          <cell r="C146">
            <v>58469953</v>
          </cell>
          <cell r="D146">
            <v>46070.55940972222</v>
          </cell>
          <cell r="E146" t="str">
            <v>Prestataire : Travaux</v>
          </cell>
          <cell r="F146" t="str">
            <v>OPERATION DE TRANSIT ET DE LOGISTIQUE</v>
          </cell>
          <cell r="G146">
            <v>2721271444</v>
          </cell>
          <cell r="H146" t="str">
            <v>PORT BOUET VRIDI ZONE INDUSTRIELLE</v>
          </cell>
          <cell r="I146" t="str">
            <v>-</v>
          </cell>
          <cell r="J146" t="str">
            <v>SYTRAN</v>
          </cell>
          <cell r="K146" t="str">
            <v>fo</v>
          </cell>
          <cell r="L146" t="str">
            <v>LSI</v>
          </cell>
          <cell r="M146" t="str">
            <v>Nominale</v>
          </cell>
          <cell r="N146" t="str">
            <v>Offert</v>
          </cell>
          <cell r="O146" t="str">
            <v>XXXXXX</v>
          </cell>
          <cell r="P146" t="str">
            <v>-</v>
          </cell>
          <cell r="Q146">
            <v>1495965</v>
          </cell>
          <cell r="R146">
            <v>13</v>
          </cell>
          <cell r="S146" t="str">
            <v>Non</v>
          </cell>
          <cell r="T146" t="str">
            <v>N/A</v>
          </cell>
          <cell r="U146"/>
        </row>
        <row r="147">
          <cell r="A147">
            <v>58163711</v>
          </cell>
          <cell r="B147">
            <v>46064.629108796296</v>
          </cell>
          <cell r="C147">
            <v>58883124</v>
          </cell>
          <cell r="D147">
            <v>46077.623981481483</v>
          </cell>
          <cell r="E147" t="str">
            <v>Responsable Zone: Coordination etude et travaux</v>
          </cell>
          <cell r="F147" t="str">
            <v>BERNABE CI</v>
          </cell>
          <cell r="G147">
            <v>504001081</v>
          </cell>
          <cell r="H147" t="str">
            <v>BOUAKE N'GATTAKRO</v>
          </cell>
          <cell r="I147" t="str">
            <v>-</v>
          </cell>
          <cell r="J147" t="str">
            <v>BUVPN</v>
          </cell>
          <cell r="K147" t="str">
            <v>ftto</v>
          </cell>
          <cell r="L147" t="str">
            <v>LSI</v>
          </cell>
          <cell r="M147" t="str">
            <v>Nominale</v>
          </cell>
          <cell r="N147" t="str">
            <v>Offert</v>
          </cell>
          <cell r="O147" t="str">
            <v>XXXXXXXXXXXXXXX</v>
          </cell>
          <cell r="P147" t="str">
            <v>-</v>
          </cell>
          <cell r="Q147">
            <v>0</v>
          </cell>
          <cell r="R147">
            <v>13</v>
          </cell>
          <cell r="S147" t="str">
            <v>Non</v>
          </cell>
          <cell r="T147" t="str">
            <v>N/A</v>
          </cell>
          <cell r="U147"/>
        </row>
        <row r="148">
          <cell r="A148">
            <v>58166885</v>
          </cell>
          <cell r="B148">
            <v>46064.649965277778</v>
          </cell>
          <cell r="C148">
            <v>58689383</v>
          </cell>
          <cell r="D148">
            <v>46073.825555555559</v>
          </cell>
          <cell r="E148" t="str">
            <v>Prestataire : Travaux</v>
          </cell>
          <cell r="F148" t="str">
            <v>QUIPUX AFRIQUE</v>
          </cell>
          <cell r="G148">
            <v>504041812</v>
          </cell>
          <cell r="H148" t="str">
            <v>KONG</v>
          </cell>
          <cell r="I148" t="str">
            <v>-</v>
          </cell>
          <cell r="J148" t="str">
            <v>BUVPN</v>
          </cell>
          <cell r="K148" t="str">
            <v>fo</v>
          </cell>
          <cell r="L148" t="str">
            <v>LS</v>
          </cell>
          <cell r="M148" t="str">
            <v>Nominale</v>
          </cell>
          <cell r="N148" t="str">
            <v>Offert</v>
          </cell>
          <cell r="O148" t="str">
            <v>XXXX</v>
          </cell>
          <cell r="P148" t="str">
            <v>-</v>
          </cell>
          <cell r="Q148">
            <v>2000000</v>
          </cell>
          <cell r="R148">
            <v>13</v>
          </cell>
          <cell r="S148" t="str">
            <v>Non</v>
          </cell>
          <cell r="T148" t="str">
            <v>OCI</v>
          </cell>
          <cell r="U148"/>
        </row>
        <row r="149">
          <cell r="A149">
            <v>58167492</v>
          </cell>
          <cell r="B149">
            <v>46064.653935185182</v>
          </cell>
          <cell r="C149">
            <v>58688826</v>
          </cell>
          <cell r="D149">
            <v>46073.81554398148</v>
          </cell>
          <cell r="E149" t="str">
            <v>Prestataire : Travaux</v>
          </cell>
          <cell r="F149" t="str">
            <v>BANQUE DE L'UNION</v>
          </cell>
          <cell r="G149">
            <v>707501026</v>
          </cell>
          <cell r="H149" t="str">
            <v>YAMOUSSOUKRO</v>
          </cell>
          <cell r="I149" t="str">
            <v>-</v>
          </cell>
          <cell r="J149" t="str">
            <v>BUVPN</v>
          </cell>
          <cell r="K149" t="str">
            <v>fo</v>
          </cell>
          <cell r="L149" t="str">
            <v>LS</v>
          </cell>
          <cell r="M149" t="str">
            <v>Nominale</v>
          </cell>
          <cell r="N149" t="str">
            <v>Offert</v>
          </cell>
          <cell r="O149" t="str">
            <v>XXXXX</v>
          </cell>
          <cell r="P149" t="str">
            <v>-</v>
          </cell>
          <cell r="Q149">
            <v>650000</v>
          </cell>
          <cell r="R149">
            <v>13</v>
          </cell>
          <cell r="S149" t="str">
            <v>Non</v>
          </cell>
          <cell r="T149" t="str">
            <v>N/A</v>
          </cell>
          <cell r="U149"/>
        </row>
        <row r="150">
          <cell r="A150">
            <v>58168004</v>
          </cell>
          <cell r="B150">
            <v>46064.657037037039</v>
          </cell>
          <cell r="C150">
            <v>58405959</v>
          </cell>
          <cell r="D150">
            <v>46069.532650462963</v>
          </cell>
          <cell r="E150" t="str">
            <v>Ingenieur Projet: Suspension Travaux DOB</v>
          </cell>
          <cell r="F150" t="str">
            <v>QUIPUX AFRIQUE</v>
          </cell>
          <cell r="G150">
            <v>504041812</v>
          </cell>
          <cell r="H150" t="str">
            <v>DIMBOKRO</v>
          </cell>
          <cell r="I150" t="str">
            <v>-</v>
          </cell>
          <cell r="J150" t="str">
            <v>BUVPN</v>
          </cell>
          <cell r="K150" t="str">
            <v>fo</v>
          </cell>
          <cell r="L150" t="str">
            <v>LS</v>
          </cell>
          <cell r="M150" t="str">
            <v>Nominale</v>
          </cell>
          <cell r="N150" t="str">
            <v>Encours</v>
          </cell>
          <cell r="O150" t="str">
            <v>x</v>
          </cell>
          <cell r="P150" t="str">
            <v>-</v>
          </cell>
          <cell r="Q150">
            <v>2000000</v>
          </cell>
          <cell r="R150">
            <v>13</v>
          </cell>
          <cell r="S150" t="str">
            <v>Non</v>
          </cell>
          <cell r="T150" t="str">
            <v xml:space="preserve">CLIENT </v>
          </cell>
          <cell r="U150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0"/>
  <sheetViews>
    <sheetView tabSelected="1" topLeftCell="F1" workbookViewId="0">
      <selection sqref="A1:U180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hidden="1" customWidth="1"/>
    <col min="10" max="14" width="0" hidden="1" customWidth="1"/>
    <col min="15" max="15" width="11.08984375" bestFit="1" customWidth="1"/>
    <col min="17" max="17" width="11.08984375" bestFit="1" customWidth="1"/>
    <col min="21" max="21" width="49.08984375" style="10" customWidth="1"/>
  </cols>
  <sheetData>
    <row r="1" spans="1:21" ht="24" customHeight="1" x14ac:dyDescent="0.35">
      <c r="A1" s="4" t="s">
        <v>362</v>
      </c>
      <c r="B1" s="5" t="s">
        <v>363</v>
      </c>
      <c r="C1" s="4" t="s">
        <v>364</v>
      </c>
      <c r="D1" s="5" t="s">
        <v>365</v>
      </c>
      <c r="E1" s="4" t="s">
        <v>366</v>
      </c>
      <c r="F1" s="4" t="s">
        <v>367</v>
      </c>
      <c r="G1" s="4" t="s">
        <v>368</v>
      </c>
      <c r="H1" s="4" t="s">
        <v>369</v>
      </c>
      <c r="I1" s="4" t="s">
        <v>370</v>
      </c>
      <c r="J1" s="4" t="s">
        <v>371</v>
      </c>
      <c r="K1" s="4" t="s">
        <v>372</v>
      </c>
      <c r="L1" s="4" t="s">
        <v>373</v>
      </c>
      <c r="M1" s="4" t="s">
        <v>374</v>
      </c>
      <c r="N1" s="4" t="s">
        <v>375</v>
      </c>
      <c r="O1" s="4" t="s">
        <v>376</v>
      </c>
      <c r="P1" s="4" t="s">
        <v>377</v>
      </c>
      <c r="Q1" s="4" t="s">
        <v>378</v>
      </c>
      <c r="R1" s="6" t="s">
        <v>379</v>
      </c>
      <c r="S1" s="6" t="s">
        <v>380</v>
      </c>
      <c r="T1" s="6" t="s">
        <v>381</v>
      </c>
      <c r="U1" s="8" t="s">
        <v>382</v>
      </c>
    </row>
    <row r="2" spans="1:21" ht="52" x14ac:dyDescent="0.35">
      <c r="A2" s="1">
        <v>44970444</v>
      </c>
      <c r="B2" s="2">
        <v>45798.444131944445</v>
      </c>
      <c r="C2" s="1">
        <v>57086157</v>
      </c>
      <c r="D2" s="2">
        <v>46044.497789351852</v>
      </c>
      <c r="E2" s="1" t="s">
        <v>7</v>
      </c>
      <c r="F2" s="1" t="s">
        <v>0</v>
      </c>
      <c r="G2" s="1">
        <v>777545168</v>
      </c>
      <c r="H2" s="1" t="s">
        <v>1</v>
      </c>
      <c r="I2" s="1" t="s">
        <v>2</v>
      </c>
      <c r="J2" s="1" t="s">
        <v>3</v>
      </c>
      <c r="K2" s="1" t="s">
        <v>4</v>
      </c>
      <c r="L2" s="1" t="s">
        <v>5</v>
      </c>
      <c r="M2" s="1" t="s">
        <v>6</v>
      </c>
      <c r="N2" s="1"/>
      <c r="O2" s="1">
        <v>2723489300</v>
      </c>
      <c r="P2" s="1" t="s">
        <v>2</v>
      </c>
      <c r="Q2" s="1" t="s">
        <v>2</v>
      </c>
      <c r="R2" s="7">
        <f>VLOOKUP(A2,[1]pipe!$A$1:$U$150,18,FALSE)</f>
        <v>203</v>
      </c>
      <c r="S2" s="7" t="str">
        <f>VLOOKUP(A2,[1]pipe!$A$1:$U$150,19,FALSE)</f>
        <v>Oui</v>
      </c>
      <c r="T2" s="7" t="s">
        <v>384</v>
      </c>
      <c r="U2" s="9" t="s">
        <v>383</v>
      </c>
    </row>
    <row r="3" spans="1:21" ht="55" customHeight="1" x14ac:dyDescent="0.35">
      <c r="A3" s="1">
        <v>47899159</v>
      </c>
      <c r="B3" s="2">
        <v>45861.733657407407</v>
      </c>
      <c r="C3" s="1">
        <v>57637756</v>
      </c>
      <c r="D3" s="2">
        <v>46055.480682870373</v>
      </c>
      <c r="E3" s="1" t="s">
        <v>7</v>
      </c>
      <c r="F3" s="1" t="s">
        <v>8</v>
      </c>
      <c r="G3" s="1">
        <v>824923429</v>
      </c>
      <c r="H3" s="1" t="s">
        <v>9</v>
      </c>
      <c r="I3" s="1" t="s">
        <v>2</v>
      </c>
      <c r="J3" s="1" t="s">
        <v>10</v>
      </c>
      <c r="K3" s="1" t="s">
        <v>11</v>
      </c>
      <c r="L3" s="1" t="s">
        <v>12</v>
      </c>
      <c r="M3" s="1" t="s">
        <v>6</v>
      </c>
      <c r="N3" s="1" t="s">
        <v>13</v>
      </c>
      <c r="O3" s="1" t="s">
        <v>14</v>
      </c>
      <c r="P3" s="1" t="s">
        <v>2</v>
      </c>
      <c r="Q3" s="1" t="s">
        <v>2</v>
      </c>
      <c r="R3" s="7">
        <f>VLOOKUP(A3,[1]pipe!$A$1:$U$150,18,FALSE)</f>
        <v>158</v>
      </c>
      <c r="S3" s="7" t="str">
        <f>VLOOKUP(A3,[1]pipe!$A$1:$U$150,19,FALSE)</f>
        <v>Oui</v>
      </c>
      <c r="T3" s="7" t="e">
        <f>VLOOKUP(A3,[1]pipe!$A$16:$U$150,20,FALSE)</f>
        <v>#N/A</v>
      </c>
      <c r="U3" s="9" t="s">
        <v>385</v>
      </c>
    </row>
    <row r="4" spans="1:21" ht="78" x14ac:dyDescent="0.35">
      <c r="A4" s="1">
        <v>48425163</v>
      </c>
      <c r="B4" s="2">
        <v>45873.484803240739</v>
      </c>
      <c r="C4" s="1">
        <v>57991344</v>
      </c>
      <c r="D4" s="2">
        <v>46061.783773148149</v>
      </c>
      <c r="E4" s="1" t="s">
        <v>7</v>
      </c>
      <c r="F4" s="1" t="s">
        <v>8</v>
      </c>
      <c r="G4" s="1">
        <v>824923429</v>
      </c>
      <c r="H4" s="1" t="s">
        <v>16</v>
      </c>
      <c r="I4" s="1" t="s">
        <v>2</v>
      </c>
      <c r="J4" s="1" t="s">
        <v>10</v>
      </c>
      <c r="K4" s="1" t="s">
        <v>11</v>
      </c>
      <c r="L4" s="1" t="s">
        <v>12</v>
      </c>
      <c r="M4" s="1" t="s">
        <v>6</v>
      </c>
      <c r="N4" s="1" t="s">
        <v>13</v>
      </c>
      <c r="O4" s="1" t="s">
        <v>17</v>
      </c>
      <c r="P4" s="1" t="s">
        <v>2</v>
      </c>
      <c r="Q4" s="1" t="s">
        <v>2</v>
      </c>
      <c r="R4" s="7">
        <f>VLOOKUP(A4,[1]pipe!$A$1:$U$150,18,FALSE)</f>
        <v>150</v>
      </c>
      <c r="S4" s="7" t="str">
        <f>VLOOKUP(A4,[1]pipe!$A$1:$U$150,19,FALSE)</f>
        <v>Oui</v>
      </c>
      <c r="T4" s="7" t="e">
        <f>VLOOKUP(A4,[1]pipe!$A$16:$U$150,20,FALSE)</f>
        <v>#N/A</v>
      </c>
      <c r="U4" s="9" t="s">
        <v>385</v>
      </c>
    </row>
    <row r="5" spans="1:21" ht="52" x14ac:dyDescent="0.35">
      <c r="A5" s="1">
        <v>50732535</v>
      </c>
      <c r="B5" s="2">
        <v>45918.466006944444</v>
      </c>
      <c r="C5" s="1">
        <v>57713964</v>
      </c>
      <c r="D5" s="2">
        <v>46056.553460648145</v>
      </c>
      <c r="E5" s="1" t="s">
        <v>15</v>
      </c>
      <c r="F5" s="1" t="s">
        <v>18</v>
      </c>
      <c r="G5" s="1">
        <v>707269600</v>
      </c>
      <c r="H5" s="1" t="s">
        <v>19</v>
      </c>
      <c r="I5" s="1">
        <v>2753435</v>
      </c>
      <c r="J5" s="1" t="s">
        <v>20</v>
      </c>
      <c r="K5" s="1" t="s">
        <v>11</v>
      </c>
      <c r="L5" s="1" t="s">
        <v>12</v>
      </c>
      <c r="M5" s="1" t="s">
        <v>21</v>
      </c>
      <c r="N5" s="1" t="s">
        <v>13</v>
      </c>
      <c r="O5" s="1" t="s">
        <v>22</v>
      </c>
      <c r="P5" s="1" t="s">
        <v>2</v>
      </c>
      <c r="Q5" s="1" t="s">
        <v>2</v>
      </c>
      <c r="R5" s="7">
        <f>VLOOKUP(A5,[1]pipe!$A$1:$U$150,18,FALSE)</f>
        <v>117</v>
      </c>
      <c r="S5" s="7" t="str">
        <f>VLOOKUP(A5,[1]pipe!$A$1:$U$150,19,FALSE)</f>
        <v>Non</v>
      </c>
      <c r="T5" s="7" t="e">
        <f>VLOOKUP(A5,[1]pipe!$A$16:$U$150,20,FALSE)</f>
        <v>#N/A</v>
      </c>
      <c r="U5" s="9" t="e">
        <f>VLOOKUP(A5,[1]pipe!$A$16:$U$150,21,FALSE)</f>
        <v>#N/A</v>
      </c>
    </row>
    <row r="6" spans="1:21" ht="78" x14ac:dyDescent="0.35">
      <c r="A6" s="1">
        <v>51760632</v>
      </c>
      <c r="B6" s="2">
        <v>45938.521469907406</v>
      </c>
      <c r="C6" s="1">
        <v>59332667</v>
      </c>
      <c r="D6" s="2">
        <v>46085.453263888892</v>
      </c>
      <c r="E6" s="1" t="s">
        <v>27</v>
      </c>
      <c r="F6" s="1" t="s">
        <v>23</v>
      </c>
      <c r="G6" s="1">
        <v>556999292</v>
      </c>
      <c r="H6" s="1" t="s">
        <v>24</v>
      </c>
      <c r="I6" s="1" t="s">
        <v>2</v>
      </c>
      <c r="J6" s="1" t="s">
        <v>10</v>
      </c>
      <c r="K6" s="1" t="s">
        <v>11</v>
      </c>
      <c r="L6" s="1" t="s">
        <v>12</v>
      </c>
      <c r="M6" s="1" t="s">
        <v>25</v>
      </c>
      <c r="N6" s="1" t="s">
        <v>13</v>
      </c>
      <c r="O6" s="1" t="s">
        <v>26</v>
      </c>
      <c r="P6" s="1" t="s">
        <v>2</v>
      </c>
      <c r="Q6" s="1" t="s">
        <v>2</v>
      </c>
      <c r="R6" s="7">
        <f>VLOOKUP(A6,[1]pipe!$A$1:$U$150,18,FALSE)</f>
        <v>103</v>
      </c>
      <c r="S6" s="7" t="str">
        <f>VLOOKUP(A6,[1]pipe!$A$1:$U$150,19,FALSE)</f>
        <v>Non</v>
      </c>
      <c r="T6" s="7" t="s">
        <v>307</v>
      </c>
      <c r="U6" s="9" t="s">
        <v>386</v>
      </c>
    </row>
    <row r="7" spans="1:21" ht="39" x14ac:dyDescent="0.35">
      <c r="A7" s="1">
        <v>52448985</v>
      </c>
      <c r="B7" s="2">
        <v>45952.656354166669</v>
      </c>
      <c r="C7" s="1">
        <v>57267563</v>
      </c>
      <c r="D7" s="2">
        <v>46048.505671296298</v>
      </c>
      <c r="E7" s="1" t="s">
        <v>32</v>
      </c>
      <c r="F7" s="1" t="s">
        <v>28</v>
      </c>
      <c r="G7" s="1">
        <v>708086759</v>
      </c>
      <c r="H7" s="1" t="s">
        <v>29</v>
      </c>
      <c r="I7" s="1" t="s">
        <v>2</v>
      </c>
      <c r="J7" s="1" t="s">
        <v>10</v>
      </c>
      <c r="K7" s="1" t="s">
        <v>30</v>
      </c>
      <c r="L7" s="1" t="s">
        <v>12</v>
      </c>
      <c r="M7" s="1" t="s">
        <v>25</v>
      </c>
      <c r="N7" s="1" t="s">
        <v>13</v>
      </c>
      <c r="O7" s="1" t="s">
        <v>31</v>
      </c>
      <c r="P7" s="1" t="s">
        <v>2</v>
      </c>
      <c r="Q7" s="1" t="s">
        <v>2</v>
      </c>
      <c r="R7" s="7">
        <f>VLOOKUP(A7,[1]pipe!$A$1:$U$150,18,FALSE)</f>
        <v>93</v>
      </c>
      <c r="S7" s="7" t="str">
        <f>VLOOKUP(A7,[1]pipe!$A$1:$U$150,19,FALSE)</f>
        <v>Oui</v>
      </c>
      <c r="T7" s="7" t="s">
        <v>387</v>
      </c>
      <c r="U7" s="9" t="e">
        <f>VLOOKUP(A7,[1]pipe!$A$16:$U$150,21,FALSE)</f>
        <v>#N/A</v>
      </c>
    </row>
    <row r="8" spans="1:21" ht="26" x14ac:dyDescent="0.35">
      <c r="A8" s="1">
        <v>52561777</v>
      </c>
      <c r="B8" s="2">
        <v>45954.649918981479</v>
      </c>
      <c r="C8" s="1">
        <v>55451640</v>
      </c>
      <c r="D8" s="2">
        <v>46010.467245370368</v>
      </c>
      <c r="E8" s="1" t="s">
        <v>32</v>
      </c>
      <c r="F8" s="1" t="s">
        <v>33</v>
      </c>
      <c r="G8" s="1">
        <v>708086759</v>
      </c>
      <c r="H8" s="1" t="s">
        <v>34</v>
      </c>
      <c r="I8" s="1" t="s">
        <v>2</v>
      </c>
      <c r="J8" s="1" t="s">
        <v>35</v>
      </c>
      <c r="K8" s="1" t="s">
        <v>30</v>
      </c>
      <c r="L8" s="1" t="s">
        <v>36</v>
      </c>
      <c r="M8" s="1" t="s">
        <v>25</v>
      </c>
      <c r="N8" s="1" t="s">
        <v>13</v>
      </c>
      <c r="O8" s="1" t="s">
        <v>26</v>
      </c>
      <c r="P8" s="1" t="s">
        <v>2</v>
      </c>
      <c r="Q8" s="1" t="s">
        <v>2</v>
      </c>
      <c r="R8" s="7">
        <f>VLOOKUP(A8,[1]pipe!$A$1:$U$150,18,FALSE)</f>
        <v>91</v>
      </c>
      <c r="S8" s="7" t="str">
        <f>VLOOKUP(A8,[1]pipe!$A$1:$U$150,19,FALSE)</f>
        <v>Oui</v>
      </c>
      <c r="T8" s="7" t="s">
        <v>387</v>
      </c>
      <c r="U8" s="9" t="e">
        <f>VLOOKUP(A8,[1]pipe!$A$16:$U$150,21,FALSE)</f>
        <v>#N/A</v>
      </c>
    </row>
    <row r="9" spans="1:21" ht="39" x14ac:dyDescent="0.35">
      <c r="A9" s="1">
        <v>52691553</v>
      </c>
      <c r="B9" s="2">
        <v>45958.456122685187</v>
      </c>
      <c r="C9" s="1">
        <v>59242377</v>
      </c>
      <c r="D9" s="2">
        <v>46083.722071759257</v>
      </c>
      <c r="E9" s="1" t="s">
        <v>40</v>
      </c>
      <c r="F9" s="1" t="s">
        <v>37</v>
      </c>
      <c r="G9" s="1">
        <v>708473548</v>
      </c>
      <c r="H9" s="1" t="s">
        <v>38</v>
      </c>
      <c r="I9" s="1" t="s">
        <v>2</v>
      </c>
      <c r="J9" s="1" t="s">
        <v>35</v>
      </c>
      <c r="K9" s="1" t="s">
        <v>11</v>
      </c>
      <c r="L9" s="1" t="s">
        <v>36</v>
      </c>
      <c r="M9" s="1" t="s">
        <v>25</v>
      </c>
      <c r="N9" s="1" t="s">
        <v>13</v>
      </c>
      <c r="O9" s="1" t="s">
        <v>39</v>
      </c>
      <c r="P9" s="1" t="s">
        <v>2</v>
      </c>
      <c r="Q9" s="3">
        <v>1000000</v>
      </c>
      <c r="R9" s="7">
        <f>VLOOKUP(A9,[1]pipe!$A$1:$U$150,18,FALSE)</f>
        <v>89</v>
      </c>
      <c r="S9" s="7" t="str">
        <f>VLOOKUP(A9,[1]pipe!$A$1:$U$150,19,FALSE)</f>
        <v>Non</v>
      </c>
      <c r="T9" s="7" t="s">
        <v>384</v>
      </c>
      <c r="U9" s="9" t="s">
        <v>388</v>
      </c>
    </row>
    <row r="10" spans="1:21" ht="52" x14ac:dyDescent="0.35">
      <c r="A10" s="1">
        <v>52778382</v>
      </c>
      <c r="B10" s="2">
        <v>45959.67696759259</v>
      </c>
      <c r="C10" s="1">
        <v>55073470</v>
      </c>
      <c r="D10" s="2">
        <v>46003.678194444445</v>
      </c>
      <c r="E10" s="1" t="s">
        <v>40</v>
      </c>
      <c r="F10" s="1" t="s">
        <v>41</v>
      </c>
      <c r="G10" s="1">
        <v>708086759</v>
      </c>
      <c r="H10" s="1" t="s">
        <v>42</v>
      </c>
      <c r="I10" s="1">
        <v>2788625</v>
      </c>
      <c r="J10" s="1" t="s">
        <v>20</v>
      </c>
      <c r="K10" s="1" t="s">
        <v>30</v>
      </c>
      <c r="L10" s="1" t="s">
        <v>12</v>
      </c>
      <c r="M10" s="1" t="s">
        <v>21</v>
      </c>
      <c r="N10" s="1" t="s">
        <v>13</v>
      </c>
      <c r="O10" s="1" t="s">
        <v>43</v>
      </c>
      <c r="P10" s="1" t="s">
        <v>2</v>
      </c>
      <c r="Q10" s="1" t="s">
        <v>2</v>
      </c>
      <c r="R10" s="7">
        <f>VLOOKUP(A10,[1]pipe!$A$1:$U$150,18,FALSE)</f>
        <v>88</v>
      </c>
      <c r="S10" s="7" t="str">
        <f>VLOOKUP(A10,[1]pipe!$A$1:$U$150,19,FALSE)</f>
        <v>Non</v>
      </c>
      <c r="T10" s="7" t="str">
        <f>VLOOKUP(A10,[1]pipe!$A$16:$U$150,20,FALSE)</f>
        <v xml:space="preserve">CLIENT </v>
      </c>
      <c r="U10" s="9"/>
    </row>
    <row r="11" spans="1:21" ht="39" x14ac:dyDescent="0.35">
      <c r="A11" s="1">
        <v>52797879</v>
      </c>
      <c r="B11" s="2">
        <v>45960.361377314817</v>
      </c>
      <c r="C11" s="1">
        <v>53749284</v>
      </c>
      <c r="D11" s="2">
        <v>45979.595486111109</v>
      </c>
      <c r="E11" s="1" t="s">
        <v>15</v>
      </c>
      <c r="F11" s="1" t="s">
        <v>44</v>
      </c>
      <c r="G11" s="1">
        <v>709738605</v>
      </c>
      <c r="H11" s="1" t="s">
        <v>45</v>
      </c>
      <c r="I11" s="1" t="s">
        <v>2</v>
      </c>
      <c r="J11" s="1" t="s">
        <v>35</v>
      </c>
      <c r="K11" s="1" t="s">
        <v>30</v>
      </c>
      <c r="L11" s="1" t="s">
        <v>36</v>
      </c>
      <c r="M11" s="1" t="s">
        <v>25</v>
      </c>
      <c r="N11" s="1" t="s">
        <v>13</v>
      </c>
      <c r="O11" s="1" t="s">
        <v>46</v>
      </c>
      <c r="P11" s="1" t="s">
        <v>2</v>
      </c>
      <c r="Q11" s="1" t="s">
        <v>2</v>
      </c>
      <c r="R11" s="7">
        <f>VLOOKUP(A11,[1]pipe!$A$1:$U$150,18,FALSE)</f>
        <v>87</v>
      </c>
      <c r="S11" s="7" t="str">
        <f>VLOOKUP(A11,[1]pipe!$A$1:$U$150,19,FALSE)</f>
        <v>Non</v>
      </c>
      <c r="T11" s="7" t="str">
        <f>VLOOKUP(A11,[1]pipe!$A$16:$U$150,20,FALSE)</f>
        <v>N/A</v>
      </c>
      <c r="U11" s="9"/>
    </row>
    <row r="12" spans="1:21" ht="39" x14ac:dyDescent="0.35">
      <c r="A12" s="1">
        <v>52797893</v>
      </c>
      <c r="B12" s="2">
        <v>45960.361446759256</v>
      </c>
      <c r="C12" s="1">
        <v>53773910</v>
      </c>
      <c r="D12" s="2">
        <v>45979.785717592589</v>
      </c>
      <c r="E12" s="1" t="s">
        <v>15</v>
      </c>
      <c r="F12" s="1" t="s">
        <v>44</v>
      </c>
      <c r="G12" s="1">
        <v>709738605</v>
      </c>
      <c r="H12" s="1" t="s">
        <v>45</v>
      </c>
      <c r="I12" s="1" t="s">
        <v>2</v>
      </c>
      <c r="J12" s="1" t="s">
        <v>35</v>
      </c>
      <c r="K12" s="1" t="s">
        <v>30</v>
      </c>
      <c r="L12" s="1" t="s">
        <v>36</v>
      </c>
      <c r="M12" s="1" t="s">
        <v>47</v>
      </c>
      <c r="N12" s="1" t="s">
        <v>13</v>
      </c>
      <c r="O12" s="1" t="s">
        <v>48</v>
      </c>
      <c r="P12" s="1" t="s">
        <v>2</v>
      </c>
      <c r="Q12" s="1">
        <v>0</v>
      </c>
      <c r="R12" s="7">
        <f>VLOOKUP(A12,[1]pipe!$A$1:$U$150,18,FALSE)</f>
        <v>87</v>
      </c>
      <c r="S12" s="7" t="str">
        <f>VLOOKUP(A12,[1]pipe!$A$1:$U$150,19,FALSE)</f>
        <v>Non</v>
      </c>
      <c r="T12" s="7" t="str">
        <f>VLOOKUP(A12,[1]pipe!$A$16:$U$150,20,FALSE)</f>
        <v>N/A</v>
      </c>
      <c r="U12" s="9"/>
    </row>
    <row r="13" spans="1:21" ht="39" x14ac:dyDescent="0.35">
      <c r="A13" s="1">
        <v>52799560</v>
      </c>
      <c r="B13" s="2">
        <v>45960.379583333335</v>
      </c>
      <c r="C13" s="1">
        <v>53754612</v>
      </c>
      <c r="D13" s="2">
        <v>45979.635694444441</v>
      </c>
      <c r="E13" s="1" t="s">
        <v>15</v>
      </c>
      <c r="F13" s="1" t="s">
        <v>49</v>
      </c>
      <c r="G13" s="1">
        <v>709738605</v>
      </c>
      <c r="H13" s="1" t="s">
        <v>45</v>
      </c>
      <c r="I13" s="1" t="s">
        <v>2</v>
      </c>
      <c r="J13" s="1" t="s">
        <v>10</v>
      </c>
      <c r="K13" s="1" t="s">
        <v>30</v>
      </c>
      <c r="L13" s="1" t="s">
        <v>12</v>
      </c>
      <c r="M13" s="1" t="s">
        <v>25</v>
      </c>
      <c r="N13" s="1" t="s">
        <v>13</v>
      </c>
      <c r="O13" s="1" t="s">
        <v>50</v>
      </c>
      <c r="P13" s="1" t="s">
        <v>2</v>
      </c>
      <c r="Q13" s="1" t="s">
        <v>2</v>
      </c>
      <c r="R13" s="7">
        <f>VLOOKUP(A13,[1]pipe!$A$1:$U$150,18,FALSE)</f>
        <v>87</v>
      </c>
      <c r="S13" s="7" t="str">
        <f>VLOOKUP(A13,[1]pipe!$A$1:$U$150,19,FALSE)</f>
        <v>Non</v>
      </c>
      <c r="T13" s="7" t="str">
        <f>VLOOKUP(A13,[1]pipe!$A$16:$U$150,20,FALSE)</f>
        <v>N/A</v>
      </c>
      <c r="U13" s="9"/>
    </row>
    <row r="14" spans="1:21" ht="78" x14ac:dyDescent="0.35">
      <c r="A14" s="1">
        <v>52799573</v>
      </c>
      <c r="B14" s="2">
        <v>45960.379675925928</v>
      </c>
      <c r="C14" s="1">
        <v>53754729</v>
      </c>
      <c r="D14" s="2">
        <v>45979.636319444442</v>
      </c>
      <c r="E14" s="1" t="s">
        <v>15</v>
      </c>
      <c r="F14" s="1" t="s">
        <v>49</v>
      </c>
      <c r="G14" s="1">
        <v>709738605</v>
      </c>
      <c r="H14" s="1" t="s">
        <v>51</v>
      </c>
      <c r="I14" s="1">
        <v>2793835</v>
      </c>
      <c r="J14" s="1" t="s">
        <v>20</v>
      </c>
      <c r="K14" s="1" t="s">
        <v>30</v>
      </c>
      <c r="L14" s="1" t="s">
        <v>12</v>
      </c>
      <c r="M14" s="1" t="s">
        <v>47</v>
      </c>
      <c r="N14" s="1" t="s">
        <v>13</v>
      </c>
      <c r="O14" s="1" t="s">
        <v>52</v>
      </c>
      <c r="P14" s="1" t="s">
        <v>2</v>
      </c>
      <c r="Q14" s="1">
        <v>0</v>
      </c>
      <c r="R14" s="7">
        <f>VLOOKUP(A14,[1]pipe!$A$1:$U$150,18,FALSE)</f>
        <v>87</v>
      </c>
      <c r="S14" s="7" t="str">
        <f>VLOOKUP(A14,[1]pipe!$A$1:$U$150,19,FALSE)</f>
        <v>Non</v>
      </c>
      <c r="T14" s="7" t="str">
        <f>VLOOKUP(A14,[1]pipe!$A$16:$U$150,20,FALSE)</f>
        <v>N/A</v>
      </c>
      <c r="U14" s="9"/>
    </row>
    <row r="15" spans="1:21" ht="52" x14ac:dyDescent="0.35">
      <c r="A15" s="1">
        <v>52805083</v>
      </c>
      <c r="B15" s="2">
        <v>45960.429062499999</v>
      </c>
      <c r="C15" s="1">
        <v>56742683</v>
      </c>
      <c r="D15" s="2">
        <v>46037.629432870373</v>
      </c>
      <c r="E15" s="1" t="s">
        <v>7</v>
      </c>
      <c r="F15" s="1" t="s">
        <v>53</v>
      </c>
      <c r="G15" s="1">
        <v>708023881</v>
      </c>
      <c r="H15" s="1" t="s">
        <v>54</v>
      </c>
      <c r="I15" s="1" t="s">
        <v>2</v>
      </c>
      <c r="J15" s="1" t="s">
        <v>3</v>
      </c>
      <c r="K15" s="1" t="s">
        <v>55</v>
      </c>
      <c r="L15" s="1" t="s">
        <v>5</v>
      </c>
      <c r="M15" s="1" t="s">
        <v>6</v>
      </c>
      <c r="N15" s="1"/>
      <c r="O15" s="1">
        <v>2722229570</v>
      </c>
      <c r="P15" s="1" t="s">
        <v>2</v>
      </c>
      <c r="Q15" s="1" t="s">
        <v>2</v>
      </c>
      <c r="R15" s="7">
        <f>VLOOKUP(A15,[1]pipe!$A$1:$U$150,18,FALSE)</f>
        <v>87</v>
      </c>
      <c r="S15" s="7" t="str">
        <f>VLOOKUP(A15,[1]pipe!$A$1:$U$150,19,FALSE)</f>
        <v>Non</v>
      </c>
      <c r="T15" s="7" t="str">
        <f>VLOOKUP(A15,[1]pipe!$A$16:$U$150,20,FALSE)</f>
        <v>OCI</v>
      </c>
      <c r="U15" s="9"/>
    </row>
    <row r="16" spans="1:21" ht="91" x14ac:dyDescent="0.35">
      <c r="A16" s="1">
        <v>52808171</v>
      </c>
      <c r="B16" s="2">
        <v>45960.452361111114</v>
      </c>
      <c r="C16" s="1">
        <v>59297097</v>
      </c>
      <c r="D16" s="2">
        <v>46084.659699074073</v>
      </c>
      <c r="E16" s="1" t="s">
        <v>32</v>
      </c>
      <c r="F16" s="1" t="s">
        <v>56</v>
      </c>
      <c r="G16" s="1">
        <v>709738605</v>
      </c>
      <c r="H16" s="1" t="s">
        <v>57</v>
      </c>
      <c r="I16" s="1">
        <v>2793645</v>
      </c>
      <c r="J16" s="1" t="s">
        <v>20</v>
      </c>
      <c r="K16" s="1" t="s">
        <v>30</v>
      </c>
      <c r="L16" s="1" t="s">
        <v>12</v>
      </c>
      <c r="M16" s="1" t="s">
        <v>25</v>
      </c>
      <c r="N16" s="1" t="s">
        <v>13</v>
      </c>
      <c r="O16" s="1" t="s">
        <v>58</v>
      </c>
      <c r="P16" s="1" t="s">
        <v>2</v>
      </c>
      <c r="Q16" s="1" t="s">
        <v>2</v>
      </c>
      <c r="R16" s="7">
        <f>VLOOKUP(A16,[1]pipe!$A$1:$U$150,18,FALSE)</f>
        <v>87</v>
      </c>
      <c r="S16" s="7" t="str">
        <f>VLOOKUP(A16,[1]pipe!$A$1:$U$150,19,FALSE)</f>
        <v>Non</v>
      </c>
      <c r="T16" s="7" t="str">
        <f>VLOOKUP(A16,[1]pipe!$A$16:$U$150,20,FALSE)</f>
        <v>OCI</v>
      </c>
      <c r="U16" s="9"/>
    </row>
    <row r="17" spans="1:21" ht="91" x14ac:dyDescent="0.35">
      <c r="A17" s="1">
        <v>52808194</v>
      </c>
      <c r="B17" s="2">
        <v>45960.452476851853</v>
      </c>
      <c r="C17" s="1">
        <v>56705699</v>
      </c>
      <c r="D17" s="2">
        <v>46036.784629629627</v>
      </c>
      <c r="E17" s="1" t="s">
        <v>15</v>
      </c>
      <c r="F17" s="1" t="s">
        <v>56</v>
      </c>
      <c r="G17" s="1">
        <v>709738605</v>
      </c>
      <c r="H17" s="1" t="s">
        <v>59</v>
      </c>
      <c r="I17" s="1">
        <v>2793635</v>
      </c>
      <c r="J17" s="1" t="s">
        <v>20</v>
      </c>
      <c r="K17" s="1" t="s">
        <v>11</v>
      </c>
      <c r="L17" s="1" t="s">
        <v>12</v>
      </c>
      <c r="M17" s="1" t="s">
        <v>47</v>
      </c>
      <c r="N17" s="1" t="s">
        <v>13</v>
      </c>
      <c r="O17" s="1" t="s">
        <v>60</v>
      </c>
      <c r="P17" s="1" t="s">
        <v>2</v>
      </c>
      <c r="Q17" s="1">
        <v>0</v>
      </c>
      <c r="R17" s="7">
        <f>VLOOKUP(A17,[1]pipe!$A$1:$U$150,18,FALSE)</f>
        <v>87</v>
      </c>
      <c r="S17" s="7" t="str">
        <f>VLOOKUP(A17,[1]pipe!$A$1:$U$150,19,FALSE)</f>
        <v>Oui</v>
      </c>
      <c r="T17" s="7" t="str">
        <f>VLOOKUP(A17,[1]pipe!$A$16:$U$150,20,FALSE)</f>
        <v>N/A</v>
      </c>
      <c r="U17" s="9"/>
    </row>
    <row r="18" spans="1:21" ht="40.5" customHeight="1" x14ac:dyDescent="0.35">
      <c r="A18" s="1">
        <v>53673863</v>
      </c>
      <c r="B18" s="2">
        <v>45978.463900462964</v>
      </c>
      <c r="C18" s="1">
        <v>55002654</v>
      </c>
      <c r="D18" s="2">
        <v>46002.691574074073</v>
      </c>
      <c r="E18" s="1" t="s">
        <v>64</v>
      </c>
      <c r="F18" s="1" t="s">
        <v>61</v>
      </c>
      <c r="G18" s="1">
        <v>759826837</v>
      </c>
      <c r="H18" s="1" t="s">
        <v>62</v>
      </c>
      <c r="I18" s="1" t="s">
        <v>2</v>
      </c>
      <c r="J18" s="1" t="s">
        <v>35</v>
      </c>
      <c r="K18" s="1" t="s">
        <v>30</v>
      </c>
      <c r="L18" s="1" t="s">
        <v>36</v>
      </c>
      <c r="M18" s="1" t="s">
        <v>6</v>
      </c>
      <c r="N18" s="1" t="s">
        <v>13</v>
      </c>
      <c r="O18" s="1" t="s">
        <v>63</v>
      </c>
      <c r="P18" s="1" t="s">
        <v>2</v>
      </c>
      <c r="Q18" s="1" t="s">
        <v>2</v>
      </c>
      <c r="R18" s="7">
        <f>VLOOKUP(A18,[1]pipe!$A$1:$U$150,18,FALSE)</f>
        <v>75</v>
      </c>
      <c r="S18" s="7" t="str">
        <f>VLOOKUP(A18,[1]pipe!$A$1:$U$150,19,FALSE)</f>
        <v>Non</v>
      </c>
      <c r="T18" s="7" t="str">
        <f>VLOOKUP(A18,[1]pipe!$A$16:$U$150,20,FALSE)</f>
        <v>N/A</v>
      </c>
      <c r="U18" s="9"/>
    </row>
    <row r="19" spans="1:21" ht="52" x14ac:dyDescent="0.35">
      <c r="A19" s="1">
        <v>53702282</v>
      </c>
      <c r="B19" s="2">
        <v>45978.671550925923</v>
      </c>
      <c r="C19" s="1">
        <v>54614316</v>
      </c>
      <c r="D19" s="2">
        <v>45995.632673611108</v>
      </c>
      <c r="E19" s="1" t="s">
        <v>40</v>
      </c>
      <c r="F19" s="1" t="s">
        <v>65</v>
      </c>
      <c r="G19" s="1">
        <v>778036533</v>
      </c>
      <c r="H19" s="1" t="s">
        <v>66</v>
      </c>
      <c r="I19" s="1" t="s">
        <v>2</v>
      </c>
      <c r="J19" s="1" t="s">
        <v>3</v>
      </c>
      <c r="K19" s="1" t="s">
        <v>4</v>
      </c>
      <c r="L19" s="1" t="s">
        <v>5</v>
      </c>
      <c r="M19" s="1" t="s">
        <v>6</v>
      </c>
      <c r="N19" s="1" t="s">
        <v>13</v>
      </c>
      <c r="O19" s="1" t="s">
        <v>67</v>
      </c>
      <c r="P19" s="1" t="s">
        <v>2</v>
      </c>
      <c r="Q19" s="1" t="s">
        <v>2</v>
      </c>
      <c r="R19" s="7">
        <f>VLOOKUP(A19,[1]pipe!$A$1:$U$150,18,FALSE)</f>
        <v>75</v>
      </c>
      <c r="S19" s="7" t="str">
        <f>VLOOKUP(A19,[1]pipe!$A$1:$U$150,19,FALSE)</f>
        <v>Non</v>
      </c>
      <c r="T19" s="7" t="str">
        <f>VLOOKUP(A19,[1]pipe!$A$16:$U$150,20,FALSE)</f>
        <v>Oci</v>
      </c>
      <c r="U19" s="9" t="str">
        <f>VLOOKUP(A19,[1]pipe!$A$16:$U$150,21,FALSE)</f>
        <v>MAIRIE DU PLATEAU</v>
      </c>
    </row>
    <row r="20" spans="1:21" ht="26" x14ac:dyDescent="0.35">
      <c r="A20" s="1">
        <v>53749839</v>
      </c>
      <c r="B20" s="2">
        <v>45979.600694444445</v>
      </c>
      <c r="C20" s="1">
        <v>57266013</v>
      </c>
      <c r="D20" s="2">
        <v>46048.492129629631</v>
      </c>
      <c r="E20" s="1" t="s">
        <v>32</v>
      </c>
      <c r="F20" s="1" t="s">
        <v>68</v>
      </c>
      <c r="G20" s="1">
        <v>703333988</v>
      </c>
      <c r="H20" s="1" t="s">
        <v>69</v>
      </c>
      <c r="I20" s="1" t="s">
        <v>2</v>
      </c>
      <c r="J20" s="1" t="s">
        <v>35</v>
      </c>
      <c r="K20" s="1" t="s">
        <v>30</v>
      </c>
      <c r="L20" s="1" t="s">
        <v>36</v>
      </c>
      <c r="M20" s="1" t="s">
        <v>6</v>
      </c>
      <c r="N20" s="1" t="s">
        <v>13</v>
      </c>
      <c r="O20" s="1" t="s">
        <v>26</v>
      </c>
      <c r="P20" s="1" t="s">
        <v>2</v>
      </c>
      <c r="Q20" s="3">
        <v>10000000</v>
      </c>
      <c r="R20" s="7">
        <f>VLOOKUP(A20,[1]pipe!$A$1:$U$150,18,FALSE)</f>
        <v>74</v>
      </c>
      <c r="S20" s="7" t="str">
        <f>VLOOKUP(A20,[1]pipe!$A$1:$U$150,19,FALSE)</f>
        <v>Oui</v>
      </c>
      <c r="T20" s="7" t="str">
        <f>VLOOKUP(A20,[1]pipe!$A$16:$U$150,20,FALSE)</f>
        <v>N/A</v>
      </c>
      <c r="U20" s="9"/>
    </row>
    <row r="21" spans="1:21" ht="26" x14ac:dyDescent="0.35">
      <c r="A21" s="1">
        <v>53790357</v>
      </c>
      <c r="B21" s="2">
        <v>45980.438298611109</v>
      </c>
      <c r="C21" s="1">
        <v>59242274</v>
      </c>
      <c r="D21" s="2">
        <v>46083.721238425926</v>
      </c>
      <c r="E21" s="1" t="s">
        <v>40</v>
      </c>
      <c r="F21" s="1" t="s">
        <v>70</v>
      </c>
      <c r="G21" s="1">
        <v>708336404</v>
      </c>
      <c r="H21" s="1" t="s">
        <v>71</v>
      </c>
      <c r="I21" s="1" t="s">
        <v>2</v>
      </c>
      <c r="J21" s="1" t="s">
        <v>35</v>
      </c>
      <c r="K21" s="1" t="s">
        <v>11</v>
      </c>
      <c r="L21" s="1" t="s">
        <v>36</v>
      </c>
      <c r="M21" s="1" t="s">
        <v>6</v>
      </c>
      <c r="N21" s="1" t="s">
        <v>13</v>
      </c>
      <c r="O21" s="1" t="s">
        <v>72</v>
      </c>
      <c r="P21" s="1" t="s">
        <v>2</v>
      </c>
      <c r="Q21" s="3">
        <v>4430307</v>
      </c>
      <c r="R21" s="7">
        <f>VLOOKUP(A21,[1]pipe!$A$1:$U$150,18,FALSE)</f>
        <v>73</v>
      </c>
      <c r="S21" s="7" t="str">
        <f>VLOOKUP(A21,[1]pipe!$A$1:$U$150,19,FALSE)</f>
        <v>Oui</v>
      </c>
      <c r="T21" s="7" t="str">
        <f>VLOOKUP(A21,[1]pipe!$A$16:$U$150,20,FALSE)</f>
        <v xml:space="preserve">CLIENT </v>
      </c>
      <c r="U21" s="9"/>
    </row>
    <row r="22" spans="1:21" ht="39" x14ac:dyDescent="0.35">
      <c r="A22" s="1">
        <v>53899369</v>
      </c>
      <c r="B22" s="2">
        <v>45981.827430555553</v>
      </c>
      <c r="C22" s="1">
        <v>55146678</v>
      </c>
      <c r="D22" s="2">
        <v>46005.762916666667</v>
      </c>
      <c r="E22" s="1" t="s">
        <v>40</v>
      </c>
      <c r="F22" s="1" t="s">
        <v>74</v>
      </c>
      <c r="G22" s="1">
        <v>707003126</v>
      </c>
      <c r="H22" s="1" t="s">
        <v>75</v>
      </c>
      <c r="I22" s="1" t="s">
        <v>2</v>
      </c>
      <c r="J22" s="1" t="s">
        <v>35</v>
      </c>
      <c r="K22" s="1" t="s">
        <v>30</v>
      </c>
      <c r="L22" s="1" t="s">
        <v>36</v>
      </c>
      <c r="M22" s="1" t="s">
        <v>25</v>
      </c>
      <c r="N22" s="1" t="s">
        <v>13</v>
      </c>
      <c r="O22" s="1" t="s">
        <v>76</v>
      </c>
      <c r="P22" s="1" t="s">
        <v>2</v>
      </c>
      <c r="Q22" s="1">
        <v>0</v>
      </c>
      <c r="R22" s="7">
        <f>VLOOKUP(A22,[1]pipe!$A$1:$U$150,18,FALSE)</f>
        <v>72</v>
      </c>
      <c r="S22" s="7" t="str">
        <f>VLOOKUP(A22,[1]pipe!$A$1:$U$150,19,FALSE)</f>
        <v>Non</v>
      </c>
      <c r="T22" s="7" t="str">
        <f>VLOOKUP(A22,[1]pipe!$A$16:$U$150,20,FALSE)</f>
        <v>OCI</v>
      </c>
      <c r="U22" s="9"/>
    </row>
    <row r="23" spans="1:21" ht="52" x14ac:dyDescent="0.35">
      <c r="A23" s="1">
        <v>53934458</v>
      </c>
      <c r="B23" s="2">
        <v>45982.631261574075</v>
      </c>
      <c r="C23" s="1">
        <v>58120598</v>
      </c>
      <c r="D23" s="2">
        <v>46063.779618055552</v>
      </c>
      <c r="E23" s="1" t="s">
        <v>15</v>
      </c>
      <c r="F23" s="1" t="s">
        <v>77</v>
      </c>
      <c r="G23" s="1">
        <v>709263957</v>
      </c>
      <c r="H23" s="1" t="s">
        <v>42</v>
      </c>
      <c r="I23" s="1">
        <v>1775026</v>
      </c>
      <c r="J23" s="1" t="s">
        <v>78</v>
      </c>
      <c r="K23" s="1" t="s">
        <v>11</v>
      </c>
      <c r="L23" s="1" t="s">
        <v>12</v>
      </c>
      <c r="M23" s="1" t="s">
        <v>6</v>
      </c>
      <c r="N23" s="1" t="s">
        <v>13</v>
      </c>
      <c r="O23" s="1" t="s">
        <v>79</v>
      </c>
      <c r="P23" s="1" t="s">
        <v>2</v>
      </c>
      <c r="Q23" s="1" t="s">
        <v>2</v>
      </c>
      <c r="R23" s="7">
        <f>VLOOKUP(A23,[1]pipe!$A$1:$U$150,18,FALSE)</f>
        <v>71</v>
      </c>
      <c r="S23" s="7" t="str">
        <f>VLOOKUP(A23,[1]pipe!$A$1:$U$150,19,FALSE)</f>
        <v>Non</v>
      </c>
      <c r="T23" s="7" t="str">
        <f>VLOOKUP(A23,[1]pipe!$A$16:$U$150,20,FALSE)</f>
        <v xml:space="preserve">CLIENT </v>
      </c>
      <c r="U23" s="9" t="str">
        <f>VLOOKUP(A23,[1]pipe!$A$16:$U$150,21,FALSE)</f>
        <v>Problème de  commande routeur</v>
      </c>
    </row>
    <row r="24" spans="1:21" ht="56.5" customHeight="1" x14ac:dyDescent="0.35">
      <c r="A24" s="1">
        <v>54178346</v>
      </c>
      <c r="B24" s="2">
        <v>45987.646099537036</v>
      </c>
      <c r="C24" s="1">
        <v>55557489</v>
      </c>
      <c r="D24" s="2">
        <v>46013.31894675926</v>
      </c>
      <c r="E24" s="1" t="s">
        <v>84</v>
      </c>
      <c r="F24" s="1" t="s">
        <v>80</v>
      </c>
      <c r="G24" s="1">
        <v>757323203</v>
      </c>
      <c r="H24" s="1" t="s">
        <v>81</v>
      </c>
      <c r="I24" s="1" t="s">
        <v>2</v>
      </c>
      <c r="J24" s="1" t="s">
        <v>82</v>
      </c>
      <c r="K24" s="1" t="s">
        <v>30</v>
      </c>
      <c r="L24" s="1" t="s">
        <v>12</v>
      </c>
      <c r="M24" s="1" t="s">
        <v>6</v>
      </c>
      <c r="N24" s="1" t="s">
        <v>13</v>
      </c>
      <c r="O24" s="1" t="s">
        <v>83</v>
      </c>
      <c r="P24" s="1" t="s">
        <v>2</v>
      </c>
      <c r="Q24" s="1" t="s">
        <v>2</v>
      </c>
      <c r="R24" s="7">
        <f>VLOOKUP(A24,[1]pipe!$A$1:$U$150,18,FALSE)</f>
        <v>68</v>
      </c>
      <c r="S24" s="7" t="str">
        <f>VLOOKUP(A24,[1]pipe!$A$1:$U$150,19,FALSE)</f>
        <v>Non</v>
      </c>
      <c r="T24" s="7" t="str">
        <f>VLOOKUP(A24,[1]pipe!$A$16:$U$150,20,FALSE)</f>
        <v>N/A</v>
      </c>
      <c r="U24" s="9"/>
    </row>
    <row r="25" spans="1:21" ht="41.5" customHeight="1" x14ac:dyDescent="0.35">
      <c r="A25" s="1">
        <v>54449048</v>
      </c>
      <c r="B25" s="2">
        <v>45992.706157407411</v>
      </c>
      <c r="C25" s="1">
        <v>56341749</v>
      </c>
      <c r="D25" s="2">
        <v>46029.685115740744</v>
      </c>
      <c r="E25" s="1" t="s">
        <v>40</v>
      </c>
      <c r="F25" s="1" t="s">
        <v>85</v>
      </c>
      <c r="G25" s="1">
        <v>708086759</v>
      </c>
      <c r="H25" s="1" t="s">
        <v>86</v>
      </c>
      <c r="I25" s="1" t="s">
        <v>2</v>
      </c>
      <c r="J25" s="1" t="s">
        <v>10</v>
      </c>
      <c r="K25" s="1" t="s">
        <v>30</v>
      </c>
      <c r="L25" s="1" t="s">
        <v>12</v>
      </c>
      <c r="M25" s="1" t="s">
        <v>25</v>
      </c>
      <c r="N25" s="1" t="s">
        <v>13</v>
      </c>
      <c r="O25" s="1" t="s">
        <v>87</v>
      </c>
      <c r="P25" s="1" t="s">
        <v>2</v>
      </c>
      <c r="Q25" s="1" t="s">
        <v>2</v>
      </c>
      <c r="R25" s="7">
        <f>VLOOKUP(A25,[1]pipe!$A$1:$U$150,18,FALSE)</f>
        <v>65</v>
      </c>
      <c r="S25" s="7" t="str">
        <f>VLOOKUP(A25,[1]pipe!$A$1:$U$150,19,FALSE)</f>
        <v>Oui</v>
      </c>
      <c r="T25" s="7" t="str">
        <f>VLOOKUP(A25,[1]pipe!$A$16:$U$150,20,FALSE)</f>
        <v>OCI</v>
      </c>
      <c r="U25" s="9" t="str">
        <f>VLOOKUP(A25,[1]pipe!$A$16:$U$150,21,FALSE)</f>
        <v>AGEROUTE</v>
      </c>
    </row>
    <row r="26" spans="1:21" ht="43" customHeight="1" x14ac:dyDescent="0.35">
      <c r="A26" s="1">
        <v>54466861</v>
      </c>
      <c r="B26" s="2">
        <v>45993.373993055553</v>
      </c>
      <c r="C26" s="1">
        <v>59002966</v>
      </c>
      <c r="D26" s="2">
        <v>46079.51771990741</v>
      </c>
      <c r="E26" s="1" t="s">
        <v>15</v>
      </c>
      <c r="F26" s="1" t="s">
        <v>88</v>
      </c>
      <c r="G26" s="1">
        <v>748904608</v>
      </c>
      <c r="H26" s="1" t="s">
        <v>89</v>
      </c>
      <c r="I26" s="1" t="s">
        <v>2</v>
      </c>
      <c r="J26" s="1" t="s">
        <v>35</v>
      </c>
      <c r="K26" s="1" t="s">
        <v>30</v>
      </c>
      <c r="L26" s="1" t="s">
        <v>36</v>
      </c>
      <c r="M26" s="1" t="s">
        <v>6</v>
      </c>
      <c r="N26" s="1" t="s">
        <v>13</v>
      </c>
      <c r="O26" s="1" t="s">
        <v>90</v>
      </c>
      <c r="P26" s="1" t="s">
        <v>2</v>
      </c>
      <c r="Q26" s="3">
        <v>2932569</v>
      </c>
      <c r="R26" s="7">
        <f>VLOOKUP(A26,[1]pipe!$A$1:$U$150,18,FALSE)</f>
        <v>64</v>
      </c>
      <c r="S26" s="7" t="str">
        <f>VLOOKUP(A26,[1]pipe!$A$1:$U$150,19,FALSE)</f>
        <v>Oui</v>
      </c>
      <c r="T26" s="7" t="str">
        <f>VLOOKUP(A26,[1]pipe!$A$16:$U$150,20,FALSE)</f>
        <v>N/A</v>
      </c>
      <c r="U26" s="9"/>
    </row>
    <row r="27" spans="1:21" ht="52" x14ac:dyDescent="0.35">
      <c r="A27" s="1">
        <v>54588249</v>
      </c>
      <c r="B27" s="2">
        <v>45995.439513888887</v>
      </c>
      <c r="C27" s="1">
        <v>55718737</v>
      </c>
      <c r="D27" s="2">
        <v>46015.565625000003</v>
      </c>
      <c r="E27" s="1" t="s">
        <v>97</v>
      </c>
      <c r="F27" s="1" t="s">
        <v>91</v>
      </c>
      <c r="G27" s="1">
        <v>748415970</v>
      </c>
      <c r="H27" s="1" t="s">
        <v>92</v>
      </c>
      <c r="I27" s="1" t="s">
        <v>2</v>
      </c>
      <c r="J27" s="1" t="s">
        <v>35</v>
      </c>
      <c r="K27" s="1" t="s">
        <v>30</v>
      </c>
      <c r="L27" s="1" t="s">
        <v>12</v>
      </c>
      <c r="M27" s="1" t="s">
        <v>93</v>
      </c>
      <c r="N27" s="1" t="s">
        <v>96</v>
      </c>
      <c r="O27" s="1" t="s">
        <v>94</v>
      </c>
      <c r="P27" s="1" t="s">
        <v>2</v>
      </c>
      <c r="Q27" s="3">
        <v>5324000</v>
      </c>
      <c r="R27" s="7">
        <f>VLOOKUP(A27,[1]pipe!$A$1:$U$150,18,FALSE)</f>
        <v>62</v>
      </c>
      <c r="S27" s="7" t="str">
        <f>VLOOKUP(A27,[1]pipe!$A$1:$U$150,19,FALSE)</f>
        <v>Non</v>
      </c>
      <c r="T27" s="7" t="str">
        <f>VLOOKUP(A27,[1]pipe!$A$16:$U$150,20,FALSE)</f>
        <v>N/A</v>
      </c>
      <c r="U27" s="9"/>
    </row>
    <row r="28" spans="1:21" ht="91" x14ac:dyDescent="0.35">
      <c r="A28" s="1">
        <v>54793554</v>
      </c>
      <c r="B28" s="2">
        <v>45999.637916666667</v>
      </c>
      <c r="C28" s="1">
        <v>57172326</v>
      </c>
      <c r="D28" s="2">
        <v>46045.717013888891</v>
      </c>
      <c r="E28" s="1" t="s">
        <v>99</v>
      </c>
      <c r="F28" s="1" t="s">
        <v>80</v>
      </c>
      <c r="G28" s="1">
        <v>757323203</v>
      </c>
      <c r="H28" s="1" t="s">
        <v>98</v>
      </c>
      <c r="I28" s="1" t="s">
        <v>2</v>
      </c>
      <c r="J28" s="1" t="s">
        <v>82</v>
      </c>
      <c r="K28" s="1" t="s">
        <v>30</v>
      </c>
      <c r="L28" s="1" t="s">
        <v>12</v>
      </c>
      <c r="M28" s="1" t="s">
        <v>6</v>
      </c>
      <c r="N28" s="1" t="s">
        <v>13</v>
      </c>
      <c r="O28" s="1" t="s">
        <v>39</v>
      </c>
      <c r="P28" s="1" t="s">
        <v>2</v>
      </c>
      <c r="Q28" s="1" t="s">
        <v>2</v>
      </c>
      <c r="R28" s="7">
        <f>VLOOKUP(A28,[1]pipe!$A$1:$U$150,18,FALSE)</f>
        <v>60</v>
      </c>
      <c r="S28" s="7" t="str">
        <f>VLOOKUP(A28,[1]pipe!$A$1:$U$150,19,FALSE)</f>
        <v>Non</v>
      </c>
      <c r="T28" s="7" t="str">
        <f>VLOOKUP(A28,[1]pipe!$A$16:$U$150,20,FALSE)</f>
        <v xml:space="preserve">CLIENT </v>
      </c>
      <c r="U28" s="9"/>
    </row>
    <row r="29" spans="1:21" ht="39" x14ac:dyDescent="0.35">
      <c r="A29" s="1">
        <v>54955589</v>
      </c>
      <c r="B29" s="2">
        <v>46002.355798611112</v>
      </c>
      <c r="C29" s="1">
        <v>56044921</v>
      </c>
      <c r="D29" s="2">
        <v>46022.510208333333</v>
      </c>
      <c r="E29" s="1" t="s">
        <v>7</v>
      </c>
      <c r="F29" s="1" t="s">
        <v>100</v>
      </c>
      <c r="G29" s="1">
        <v>546703688</v>
      </c>
      <c r="H29" s="1" t="s">
        <v>101</v>
      </c>
      <c r="I29" s="1" t="s">
        <v>2</v>
      </c>
      <c r="J29" s="1" t="s">
        <v>3</v>
      </c>
      <c r="K29" s="1" t="s">
        <v>55</v>
      </c>
      <c r="L29" s="1" t="s">
        <v>5</v>
      </c>
      <c r="M29" s="1" t="s">
        <v>6</v>
      </c>
      <c r="N29" s="1"/>
      <c r="O29" s="1">
        <v>2722229185</v>
      </c>
      <c r="P29" s="1" t="s">
        <v>2</v>
      </c>
      <c r="Q29" s="1" t="s">
        <v>2</v>
      </c>
      <c r="R29" s="7">
        <f>VLOOKUP(A29,[1]pipe!$A$1:$U$150,18,FALSE)</f>
        <v>57</v>
      </c>
      <c r="S29" s="7" t="str">
        <f>VLOOKUP(A29,[1]pipe!$A$1:$U$150,19,FALSE)</f>
        <v>Non</v>
      </c>
      <c r="T29" s="7" t="str">
        <f>VLOOKUP(A29,[1]pipe!$A$16:$U$150,20,FALSE)</f>
        <v>N/A</v>
      </c>
      <c r="U29" s="9"/>
    </row>
    <row r="30" spans="1:21" ht="65" x14ac:dyDescent="0.35">
      <c r="A30" s="1">
        <v>54967903</v>
      </c>
      <c r="B30" s="2">
        <v>46002.459837962961</v>
      </c>
      <c r="C30" s="1">
        <v>59197300</v>
      </c>
      <c r="D30" s="2">
        <v>46083.390844907408</v>
      </c>
      <c r="E30" s="1" t="s">
        <v>15</v>
      </c>
      <c r="F30" s="1" t="s">
        <v>102</v>
      </c>
      <c r="G30" s="1">
        <v>504033918</v>
      </c>
      <c r="H30" s="1" t="s">
        <v>103</v>
      </c>
      <c r="I30" s="1">
        <v>1814616</v>
      </c>
      <c r="J30" s="1" t="s">
        <v>78</v>
      </c>
      <c r="K30" s="1" t="s">
        <v>30</v>
      </c>
      <c r="L30" s="1" t="s">
        <v>12</v>
      </c>
      <c r="M30" s="1" t="s">
        <v>104</v>
      </c>
      <c r="N30" s="1" t="s">
        <v>13</v>
      </c>
      <c r="O30" s="1" t="s">
        <v>105</v>
      </c>
      <c r="P30" s="1" t="s">
        <v>2</v>
      </c>
      <c r="Q30" s="3">
        <v>1000000</v>
      </c>
      <c r="R30" s="7">
        <f>VLOOKUP(A30,[1]pipe!$A$1:$U$150,18,FALSE)</f>
        <v>57</v>
      </c>
      <c r="S30" s="7" t="str">
        <f>VLOOKUP(A30,[1]pipe!$A$1:$U$150,19,FALSE)</f>
        <v>Oui</v>
      </c>
      <c r="T30" s="7" t="str">
        <f>VLOOKUP(A30,[1]pipe!$A$16:$U$150,20,FALSE)</f>
        <v>N/A</v>
      </c>
      <c r="U30" s="9"/>
    </row>
    <row r="31" spans="1:21" ht="26" x14ac:dyDescent="0.35">
      <c r="A31" s="1">
        <v>54968651</v>
      </c>
      <c r="B31" s="2">
        <v>46002.465752314813</v>
      </c>
      <c r="C31" s="1">
        <v>58783711</v>
      </c>
      <c r="D31" s="2">
        <v>46076.415439814817</v>
      </c>
      <c r="E31" s="1" t="s">
        <v>15</v>
      </c>
      <c r="F31" s="1" t="s">
        <v>106</v>
      </c>
      <c r="G31" s="1">
        <v>504033918</v>
      </c>
      <c r="H31" s="1" t="s">
        <v>107</v>
      </c>
      <c r="I31" s="1" t="s">
        <v>2</v>
      </c>
      <c r="J31" s="1" t="s">
        <v>10</v>
      </c>
      <c r="K31" s="1" t="s">
        <v>30</v>
      </c>
      <c r="L31" s="1" t="s">
        <v>12</v>
      </c>
      <c r="M31" s="1" t="s">
        <v>6</v>
      </c>
      <c r="N31" s="1" t="s">
        <v>13</v>
      </c>
      <c r="O31" s="1" t="s">
        <v>108</v>
      </c>
      <c r="P31" s="1" t="s">
        <v>2</v>
      </c>
      <c r="Q31" s="3">
        <v>1000000</v>
      </c>
      <c r="R31" s="7">
        <f>VLOOKUP(A31,[1]pipe!$A$1:$U$150,18,FALSE)</f>
        <v>57</v>
      </c>
      <c r="S31" s="7" t="str">
        <f>VLOOKUP(A31,[1]pipe!$A$1:$U$150,19,FALSE)</f>
        <v>Oui</v>
      </c>
      <c r="T31" s="7" t="str">
        <f>VLOOKUP(A31,[1]pipe!$A$16:$U$150,20,FALSE)</f>
        <v>N/A</v>
      </c>
      <c r="U31" s="9"/>
    </row>
    <row r="32" spans="1:21" ht="44" customHeight="1" x14ac:dyDescent="0.35">
      <c r="A32" s="1">
        <v>54970719</v>
      </c>
      <c r="B32" s="2">
        <v>46002.47859953704</v>
      </c>
      <c r="C32" s="1">
        <v>56201571</v>
      </c>
      <c r="D32" s="2">
        <v>46027.649004629631</v>
      </c>
      <c r="E32" s="1" t="s">
        <v>15</v>
      </c>
      <c r="F32" s="1" t="s">
        <v>102</v>
      </c>
      <c r="G32" s="1">
        <v>504033918</v>
      </c>
      <c r="H32" s="1" t="s">
        <v>109</v>
      </c>
      <c r="I32" s="1">
        <v>2843545</v>
      </c>
      <c r="J32" s="1" t="s">
        <v>78</v>
      </c>
      <c r="K32" s="1" t="s">
        <v>11</v>
      </c>
      <c r="L32" s="1" t="s">
        <v>12</v>
      </c>
      <c r="M32" s="1" t="s">
        <v>104</v>
      </c>
      <c r="N32" s="1" t="s">
        <v>13</v>
      </c>
      <c r="O32" s="1" t="s">
        <v>110</v>
      </c>
      <c r="P32" s="1" t="s">
        <v>2</v>
      </c>
      <c r="Q32" s="3">
        <v>1000000</v>
      </c>
      <c r="R32" s="7">
        <f>VLOOKUP(A32,[1]pipe!$A$1:$U$150,18,FALSE)</f>
        <v>57</v>
      </c>
      <c r="S32" s="7" t="str">
        <f>VLOOKUP(A32,[1]pipe!$A$1:$U$150,19,FALSE)</f>
        <v>Non</v>
      </c>
      <c r="T32" s="7" t="str">
        <f>VLOOKUP(A32,[1]pipe!$A$16:$U$150,20,FALSE)</f>
        <v>N/A</v>
      </c>
      <c r="U32" s="9"/>
    </row>
    <row r="33" spans="1:21" ht="50" customHeight="1" x14ac:dyDescent="0.35">
      <c r="A33" s="1">
        <v>54971775</v>
      </c>
      <c r="B33" s="2">
        <v>46002.484699074077</v>
      </c>
      <c r="C33" s="1">
        <v>57796216</v>
      </c>
      <c r="D33" s="2">
        <v>46057.688807870371</v>
      </c>
      <c r="E33" s="1" t="s">
        <v>15</v>
      </c>
      <c r="F33" s="1" t="s">
        <v>102</v>
      </c>
      <c r="G33" s="1">
        <v>504033918</v>
      </c>
      <c r="H33" s="1" t="s">
        <v>109</v>
      </c>
      <c r="I33" s="1">
        <v>2843555</v>
      </c>
      <c r="J33" s="1" t="s">
        <v>78</v>
      </c>
      <c r="K33" s="1" t="s">
        <v>30</v>
      </c>
      <c r="L33" s="1" t="s">
        <v>12</v>
      </c>
      <c r="M33" s="1" t="s">
        <v>104</v>
      </c>
      <c r="N33" s="1" t="s">
        <v>13</v>
      </c>
      <c r="O33" s="1" t="s">
        <v>111</v>
      </c>
      <c r="P33" s="1" t="s">
        <v>2</v>
      </c>
      <c r="Q33" s="3">
        <v>1000000</v>
      </c>
      <c r="R33" s="7">
        <f>VLOOKUP(A33,[1]pipe!$A$1:$U$150,18,FALSE)</f>
        <v>57</v>
      </c>
      <c r="S33" s="7" t="str">
        <f>VLOOKUP(A33,[1]pipe!$A$1:$U$150,19,FALSE)</f>
        <v>Oui</v>
      </c>
      <c r="T33" s="7" t="str">
        <f>VLOOKUP(A33,[1]pipe!$A$16:$U$150,20,FALSE)</f>
        <v>N/A</v>
      </c>
      <c r="U33" s="9"/>
    </row>
    <row r="34" spans="1:21" ht="44.5" customHeight="1" x14ac:dyDescent="0.35">
      <c r="A34" s="1">
        <v>54973195</v>
      </c>
      <c r="B34" s="2">
        <v>46002.492534722223</v>
      </c>
      <c r="C34" s="1">
        <v>56201625</v>
      </c>
      <c r="D34" s="2">
        <v>46027.649548611109</v>
      </c>
      <c r="E34" s="1" t="s">
        <v>15</v>
      </c>
      <c r="F34" s="1" t="s">
        <v>102</v>
      </c>
      <c r="G34" s="1">
        <v>504033918</v>
      </c>
      <c r="H34" s="1" t="s">
        <v>109</v>
      </c>
      <c r="I34" s="1">
        <v>2843865</v>
      </c>
      <c r="J34" s="1" t="s">
        <v>78</v>
      </c>
      <c r="K34" s="1" t="s">
        <v>30</v>
      </c>
      <c r="L34" s="1" t="s">
        <v>12</v>
      </c>
      <c r="M34" s="1" t="s">
        <v>104</v>
      </c>
      <c r="N34" s="1" t="s">
        <v>13</v>
      </c>
      <c r="O34" s="1" t="s">
        <v>112</v>
      </c>
      <c r="P34" s="1" t="s">
        <v>2</v>
      </c>
      <c r="Q34" s="3">
        <v>500000</v>
      </c>
      <c r="R34" s="7">
        <f>VLOOKUP(A34,[1]pipe!$A$1:$U$150,18,FALSE)</f>
        <v>57</v>
      </c>
      <c r="S34" s="7" t="str">
        <f>VLOOKUP(A34,[1]pipe!$A$1:$U$150,19,FALSE)</f>
        <v>Non</v>
      </c>
      <c r="T34" s="7" t="str">
        <f>VLOOKUP(A34,[1]pipe!$A$16:$U$150,20,FALSE)</f>
        <v>OCI</v>
      </c>
      <c r="U34" s="9"/>
    </row>
    <row r="35" spans="1:21" ht="26" x14ac:dyDescent="0.35">
      <c r="A35" s="1">
        <v>54973689</v>
      </c>
      <c r="B35" s="2">
        <v>46002.496215277781</v>
      </c>
      <c r="C35" s="1">
        <v>58676693</v>
      </c>
      <c r="D35" s="2">
        <v>46073.678888888891</v>
      </c>
      <c r="E35" s="1" t="s">
        <v>40</v>
      </c>
      <c r="F35" s="1" t="s">
        <v>113</v>
      </c>
      <c r="G35" s="1">
        <v>789916125</v>
      </c>
      <c r="H35" s="1" t="s">
        <v>114</v>
      </c>
      <c r="I35" s="1" t="s">
        <v>2</v>
      </c>
      <c r="J35" s="1" t="s">
        <v>35</v>
      </c>
      <c r="K35" s="1" t="s">
        <v>30</v>
      </c>
      <c r="L35" s="1" t="s">
        <v>36</v>
      </c>
      <c r="M35" s="1" t="s">
        <v>6</v>
      </c>
      <c r="N35" s="1" t="s">
        <v>13</v>
      </c>
      <c r="O35" s="1" t="s">
        <v>76</v>
      </c>
      <c r="P35" s="1" t="s">
        <v>2</v>
      </c>
      <c r="Q35" s="1">
        <v>0</v>
      </c>
      <c r="R35" s="7">
        <f>VLOOKUP(A35,[1]pipe!$A$1:$U$150,18,FALSE)</f>
        <v>57</v>
      </c>
      <c r="S35" s="7" t="str">
        <f>VLOOKUP(A35,[1]pipe!$A$1:$U$150,19,FALSE)</f>
        <v>Non</v>
      </c>
      <c r="T35" s="7" t="str">
        <f>VLOOKUP(A35,[1]pipe!$A$16:$U$150,20,FALSE)</f>
        <v>OCI</v>
      </c>
      <c r="U35" s="9"/>
    </row>
    <row r="36" spans="1:21" ht="61" customHeight="1" x14ac:dyDescent="0.35">
      <c r="A36" s="1">
        <v>54973833</v>
      </c>
      <c r="B36" s="2">
        <v>46002.497118055559</v>
      </c>
      <c r="C36" s="1">
        <v>55977868</v>
      </c>
      <c r="D36" s="2">
        <v>46021.498761574076</v>
      </c>
      <c r="E36" s="1" t="s">
        <v>15</v>
      </c>
      <c r="F36" s="1" t="s">
        <v>102</v>
      </c>
      <c r="G36" s="1">
        <v>504033918</v>
      </c>
      <c r="H36" s="1" t="s">
        <v>109</v>
      </c>
      <c r="I36" s="1">
        <v>2843875</v>
      </c>
      <c r="J36" s="1" t="s">
        <v>78</v>
      </c>
      <c r="K36" s="1" t="s">
        <v>30</v>
      </c>
      <c r="L36" s="1" t="s">
        <v>12</v>
      </c>
      <c r="M36" s="1" t="s">
        <v>104</v>
      </c>
      <c r="N36" s="1" t="s">
        <v>13</v>
      </c>
      <c r="O36" s="1" t="s">
        <v>115</v>
      </c>
      <c r="P36" s="1" t="s">
        <v>2</v>
      </c>
      <c r="Q36" s="3">
        <v>250000</v>
      </c>
      <c r="R36" s="7">
        <f>VLOOKUP(A36,[1]pipe!$A$1:$U$150,18,FALSE)</f>
        <v>57</v>
      </c>
      <c r="S36" s="7" t="str">
        <f>VLOOKUP(A36,[1]pipe!$A$1:$U$150,19,FALSE)</f>
        <v>Non</v>
      </c>
      <c r="T36" s="7" t="str">
        <f>VLOOKUP(A36,[1]pipe!$A$16:$U$150,20,FALSE)</f>
        <v>N/A</v>
      </c>
      <c r="U36" s="9"/>
    </row>
    <row r="37" spans="1:21" ht="26" x14ac:dyDescent="0.35">
      <c r="A37" s="1">
        <v>54976425</v>
      </c>
      <c r="B37" s="2">
        <v>46002.51185185185</v>
      </c>
      <c r="C37" s="1">
        <v>56173022</v>
      </c>
      <c r="D37" s="2">
        <v>46027.426307870373</v>
      </c>
      <c r="E37" s="1" t="s">
        <v>15</v>
      </c>
      <c r="F37" s="1" t="s">
        <v>106</v>
      </c>
      <c r="G37" s="1">
        <v>504033919</v>
      </c>
      <c r="H37" s="1" t="s">
        <v>116</v>
      </c>
      <c r="I37" s="1" t="s">
        <v>2</v>
      </c>
      <c r="J37" s="1" t="s">
        <v>10</v>
      </c>
      <c r="K37" s="1" t="s">
        <v>30</v>
      </c>
      <c r="L37" s="1" t="s">
        <v>12</v>
      </c>
      <c r="M37" s="1" t="s">
        <v>6</v>
      </c>
      <c r="N37" s="1" t="s">
        <v>13</v>
      </c>
      <c r="O37" s="1" t="s">
        <v>117</v>
      </c>
      <c r="P37" s="1" t="s">
        <v>2</v>
      </c>
      <c r="Q37" s="3">
        <v>1250000</v>
      </c>
      <c r="R37" s="7">
        <f>VLOOKUP(A37,[1]pipe!$A$1:$U$150,18,FALSE)</f>
        <v>57</v>
      </c>
      <c r="S37" s="7" t="str">
        <f>VLOOKUP(A37,[1]pipe!$A$1:$U$150,19,FALSE)</f>
        <v>Non</v>
      </c>
      <c r="T37" s="7" t="str">
        <f>VLOOKUP(A37,[1]pipe!$A$16:$U$150,20,FALSE)</f>
        <v>N/A</v>
      </c>
      <c r="U37" s="9"/>
    </row>
    <row r="38" spans="1:21" ht="26" x14ac:dyDescent="0.35">
      <c r="A38" s="1">
        <v>54978242</v>
      </c>
      <c r="B38" s="2">
        <v>46002.52416666667</v>
      </c>
      <c r="C38" s="1">
        <v>56940423</v>
      </c>
      <c r="D38" s="2">
        <v>46041.808541666665</v>
      </c>
      <c r="E38" s="1" t="s">
        <v>15</v>
      </c>
      <c r="F38" s="1" t="s">
        <v>106</v>
      </c>
      <c r="G38" s="1">
        <v>504033919</v>
      </c>
      <c r="H38" s="1" t="s">
        <v>118</v>
      </c>
      <c r="I38" s="1" t="s">
        <v>2</v>
      </c>
      <c r="J38" s="1" t="s">
        <v>10</v>
      </c>
      <c r="K38" s="1" t="s">
        <v>30</v>
      </c>
      <c r="L38" s="1" t="s">
        <v>12</v>
      </c>
      <c r="M38" s="1" t="s">
        <v>6</v>
      </c>
      <c r="N38" s="1" t="s">
        <v>13</v>
      </c>
      <c r="O38" s="1" t="s">
        <v>26</v>
      </c>
      <c r="P38" s="1" t="s">
        <v>2</v>
      </c>
      <c r="Q38" s="3">
        <v>500000</v>
      </c>
      <c r="R38" s="7">
        <f>VLOOKUP(A38,[1]pipe!$A$1:$U$150,18,FALSE)</f>
        <v>57</v>
      </c>
      <c r="S38" s="7" t="str">
        <f>VLOOKUP(A38,[1]pipe!$A$1:$U$150,19,FALSE)</f>
        <v>Non</v>
      </c>
      <c r="T38" s="7" t="str">
        <f>VLOOKUP(A38,[1]pipe!$A$16:$U$150,20,FALSE)</f>
        <v>OCI</v>
      </c>
      <c r="U38" s="9"/>
    </row>
    <row r="39" spans="1:21" ht="26" x14ac:dyDescent="0.35">
      <c r="A39" s="1">
        <v>54978747</v>
      </c>
      <c r="B39" s="2">
        <v>46002.527129629627</v>
      </c>
      <c r="C39" s="1">
        <v>56590054</v>
      </c>
      <c r="D39" s="2">
        <v>46034.768067129633</v>
      </c>
      <c r="E39" s="1" t="s">
        <v>15</v>
      </c>
      <c r="F39" s="1" t="s">
        <v>106</v>
      </c>
      <c r="G39" s="1">
        <v>504033918</v>
      </c>
      <c r="H39" s="1" t="s">
        <v>119</v>
      </c>
      <c r="I39" s="1" t="s">
        <v>2</v>
      </c>
      <c r="J39" s="1" t="s">
        <v>10</v>
      </c>
      <c r="K39" s="1" t="s">
        <v>30</v>
      </c>
      <c r="L39" s="1" t="s">
        <v>12</v>
      </c>
      <c r="M39" s="1" t="s">
        <v>6</v>
      </c>
      <c r="N39" s="1" t="s">
        <v>13</v>
      </c>
      <c r="O39" s="1" t="s">
        <v>120</v>
      </c>
      <c r="P39" s="1" t="s">
        <v>2</v>
      </c>
      <c r="Q39" s="3">
        <v>250000</v>
      </c>
      <c r="R39" s="7">
        <f>VLOOKUP(A39,[1]pipe!$A$1:$U$150,18,FALSE)</f>
        <v>57</v>
      </c>
      <c r="S39" s="7" t="str">
        <f>VLOOKUP(A39,[1]pipe!$A$1:$U$150,19,FALSE)</f>
        <v>Non</v>
      </c>
      <c r="T39" s="7" t="str">
        <f>VLOOKUP(A39,[1]pipe!$A$16:$U$150,20,FALSE)</f>
        <v>OCI</v>
      </c>
      <c r="U39" s="9"/>
    </row>
    <row r="40" spans="1:21" ht="52" customHeight="1" x14ac:dyDescent="0.35">
      <c r="A40" s="1">
        <v>54979384</v>
      </c>
      <c r="B40" s="2">
        <v>46002.532916666663</v>
      </c>
      <c r="C40" s="1">
        <v>58202390</v>
      </c>
      <c r="D40" s="2">
        <v>46065.426365740743</v>
      </c>
      <c r="E40" s="1" t="s">
        <v>15</v>
      </c>
      <c r="F40" s="1" t="s">
        <v>102</v>
      </c>
      <c r="G40" s="1">
        <v>504033918</v>
      </c>
      <c r="H40" s="1" t="s">
        <v>121</v>
      </c>
      <c r="I40" s="1">
        <v>2843925</v>
      </c>
      <c r="J40" s="1" t="s">
        <v>78</v>
      </c>
      <c r="K40" s="1" t="s">
        <v>30</v>
      </c>
      <c r="L40" s="1" t="s">
        <v>12</v>
      </c>
      <c r="M40" s="1" t="s">
        <v>104</v>
      </c>
      <c r="N40" s="1" t="s">
        <v>13</v>
      </c>
      <c r="O40" s="1" t="s">
        <v>122</v>
      </c>
      <c r="P40" s="1" t="s">
        <v>2</v>
      </c>
      <c r="Q40" s="3">
        <v>250000</v>
      </c>
      <c r="R40" s="7">
        <f>VLOOKUP(A40,[1]pipe!$A$1:$U$150,18,FALSE)</f>
        <v>57</v>
      </c>
      <c r="S40" s="7" t="str">
        <f>VLOOKUP(A40,[1]pipe!$A$1:$U$150,19,FALSE)</f>
        <v>Oui</v>
      </c>
      <c r="T40" s="7" t="str">
        <f>VLOOKUP(A40,[1]pipe!$A$16:$U$150,20,FALSE)</f>
        <v>N/A</v>
      </c>
      <c r="U40" s="9"/>
    </row>
    <row r="41" spans="1:21" ht="26" x14ac:dyDescent="0.35">
      <c r="A41" s="1">
        <v>54979901</v>
      </c>
      <c r="B41" s="2">
        <v>46002.537314814814</v>
      </c>
      <c r="C41" s="1">
        <v>56706837</v>
      </c>
      <c r="D41" s="2">
        <v>46036.801469907405</v>
      </c>
      <c r="E41" s="1" t="s">
        <v>15</v>
      </c>
      <c r="F41" s="1" t="s">
        <v>106</v>
      </c>
      <c r="G41" s="1">
        <v>504033918</v>
      </c>
      <c r="H41" s="1" t="s">
        <v>123</v>
      </c>
      <c r="I41" s="1" t="s">
        <v>2</v>
      </c>
      <c r="J41" s="1" t="s">
        <v>10</v>
      </c>
      <c r="K41" s="1" t="s">
        <v>30</v>
      </c>
      <c r="L41" s="1" t="s">
        <v>12</v>
      </c>
      <c r="M41" s="1" t="s">
        <v>6</v>
      </c>
      <c r="N41" s="1" t="s">
        <v>13</v>
      </c>
      <c r="O41" s="1" t="s">
        <v>124</v>
      </c>
      <c r="P41" s="1" t="s">
        <v>2</v>
      </c>
      <c r="Q41" s="3">
        <v>500000</v>
      </c>
      <c r="R41" s="7">
        <f>VLOOKUP(A41,[1]pipe!$A$1:$U$150,18,FALSE)</f>
        <v>57</v>
      </c>
      <c r="S41" s="7" t="str">
        <f>VLOOKUP(A41,[1]pipe!$A$1:$U$150,19,FALSE)</f>
        <v>Non</v>
      </c>
      <c r="T41" s="7" t="str">
        <f>VLOOKUP(A41,[1]pipe!$A$16:$U$150,20,FALSE)</f>
        <v>OCI</v>
      </c>
      <c r="U41" s="9"/>
    </row>
    <row r="42" spans="1:21" ht="26" x14ac:dyDescent="0.35">
      <c r="A42" s="1">
        <v>54980338</v>
      </c>
      <c r="B42" s="2">
        <v>46002.541863425926</v>
      </c>
      <c r="C42" s="1">
        <v>56125894</v>
      </c>
      <c r="D42" s="2">
        <v>46024.761076388888</v>
      </c>
      <c r="E42" s="1" t="s">
        <v>15</v>
      </c>
      <c r="F42" s="1" t="s">
        <v>106</v>
      </c>
      <c r="G42" s="1">
        <v>504033919</v>
      </c>
      <c r="H42" s="1" t="s">
        <v>125</v>
      </c>
      <c r="I42" s="1" t="s">
        <v>2</v>
      </c>
      <c r="J42" s="1" t="s">
        <v>10</v>
      </c>
      <c r="K42" s="1" t="s">
        <v>30</v>
      </c>
      <c r="L42" s="1" t="s">
        <v>12</v>
      </c>
      <c r="M42" s="1" t="s">
        <v>6</v>
      </c>
      <c r="N42" s="1" t="s">
        <v>13</v>
      </c>
      <c r="O42" s="1" t="s">
        <v>39</v>
      </c>
      <c r="P42" s="1" t="s">
        <v>2</v>
      </c>
      <c r="Q42" s="3">
        <v>500000</v>
      </c>
      <c r="R42" s="7">
        <f>VLOOKUP(A42,[1]pipe!$A$1:$U$150,18,FALSE)</f>
        <v>57</v>
      </c>
      <c r="S42" s="7" t="str">
        <f>VLOOKUP(A42,[1]pipe!$A$1:$U$150,19,FALSE)</f>
        <v>Non</v>
      </c>
      <c r="T42" s="7" t="str">
        <f>VLOOKUP(A42,[1]pipe!$A$16:$U$150,20,FALSE)</f>
        <v>OCI</v>
      </c>
      <c r="U42" s="9"/>
    </row>
    <row r="43" spans="1:21" ht="47" customHeight="1" x14ac:dyDescent="0.35">
      <c r="A43" s="1">
        <v>54981048</v>
      </c>
      <c r="B43" s="2">
        <v>46002.547650462962</v>
      </c>
      <c r="C43" s="1">
        <v>57301594</v>
      </c>
      <c r="D43" s="2">
        <v>46048.775937500002</v>
      </c>
      <c r="E43" s="1" t="s">
        <v>15</v>
      </c>
      <c r="F43" s="1" t="s">
        <v>102</v>
      </c>
      <c r="G43" s="1">
        <v>504033918</v>
      </c>
      <c r="H43" s="1" t="s">
        <v>121</v>
      </c>
      <c r="I43" s="1">
        <v>2844025</v>
      </c>
      <c r="J43" s="1" t="s">
        <v>78</v>
      </c>
      <c r="K43" s="1" t="s">
        <v>30</v>
      </c>
      <c r="L43" s="1" t="s">
        <v>12</v>
      </c>
      <c r="M43" s="1" t="s">
        <v>104</v>
      </c>
      <c r="N43" s="1" t="s">
        <v>13</v>
      </c>
      <c r="O43" s="1" t="s">
        <v>126</v>
      </c>
      <c r="P43" s="1" t="s">
        <v>2</v>
      </c>
      <c r="Q43" s="3">
        <v>500000</v>
      </c>
      <c r="R43" s="7">
        <f>VLOOKUP(A43,[1]pipe!$A$1:$U$150,18,FALSE)</f>
        <v>57</v>
      </c>
      <c r="S43" s="7" t="str">
        <f>VLOOKUP(A43,[1]pipe!$A$1:$U$150,19,FALSE)</f>
        <v>Oui</v>
      </c>
      <c r="T43" s="7" t="str">
        <f>VLOOKUP(A43,[1]pipe!$A$16:$U$150,20,FALSE)</f>
        <v>N/A</v>
      </c>
      <c r="U43" s="9"/>
    </row>
    <row r="44" spans="1:21" ht="26" x14ac:dyDescent="0.35">
      <c r="A44" s="1">
        <v>54992969</v>
      </c>
      <c r="B44" s="2">
        <v>46002.631724537037</v>
      </c>
      <c r="C44" s="1">
        <v>56675990</v>
      </c>
      <c r="D44" s="2">
        <v>46036.52447916667</v>
      </c>
      <c r="E44" s="1" t="s">
        <v>7</v>
      </c>
      <c r="F44" s="1" t="s">
        <v>127</v>
      </c>
      <c r="G44" s="1">
        <v>2723535999</v>
      </c>
      <c r="H44" s="1" t="s">
        <v>128</v>
      </c>
      <c r="I44" s="1" t="s">
        <v>2</v>
      </c>
      <c r="J44" s="1" t="s">
        <v>129</v>
      </c>
      <c r="K44" s="1" t="s">
        <v>55</v>
      </c>
      <c r="L44" s="1" t="s">
        <v>5</v>
      </c>
      <c r="M44" s="1" t="s">
        <v>6</v>
      </c>
      <c r="N44" s="1"/>
      <c r="O44" s="1">
        <v>2723489320</v>
      </c>
      <c r="P44" s="1" t="s">
        <v>2</v>
      </c>
      <c r="Q44" s="1" t="s">
        <v>2</v>
      </c>
      <c r="R44" s="7">
        <f>VLOOKUP(A44,[1]pipe!$A$1:$U$150,18,FALSE)</f>
        <v>57</v>
      </c>
      <c r="S44" s="7" t="str">
        <f>VLOOKUP(A44,[1]pipe!$A$1:$U$150,19,FALSE)</f>
        <v>Non</v>
      </c>
      <c r="T44" s="7" t="str">
        <f>VLOOKUP(A44,[1]pipe!$A$16:$U$150,20,FALSE)</f>
        <v>N/A</v>
      </c>
      <c r="U44" s="9"/>
    </row>
    <row r="45" spans="1:21" ht="26" x14ac:dyDescent="0.35">
      <c r="A45" s="1">
        <v>55103426</v>
      </c>
      <c r="B45" s="2">
        <v>46004.462696759256</v>
      </c>
      <c r="C45" s="1">
        <v>56980857</v>
      </c>
      <c r="D45" s="2">
        <v>46042.628101851849</v>
      </c>
      <c r="E45" s="1" t="s">
        <v>15</v>
      </c>
      <c r="F45" s="1" t="s">
        <v>106</v>
      </c>
      <c r="G45" s="1">
        <v>504033918</v>
      </c>
      <c r="H45" s="1" t="s">
        <v>130</v>
      </c>
      <c r="I45" s="1" t="s">
        <v>2</v>
      </c>
      <c r="J45" s="1" t="s">
        <v>10</v>
      </c>
      <c r="K45" s="1" t="s">
        <v>30</v>
      </c>
      <c r="L45" s="1" t="s">
        <v>12</v>
      </c>
      <c r="M45" s="1" t="s">
        <v>6</v>
      </c>
      <c r="N45" s="1" t="s">
        <v>13</v>
      </c>
      <c r="O45" s="1" t="s">
        <v>131</v>
      </c>
      <c r="P45" s="1" t="s">
        <v>2</v>
      </c>
      <c r="Q45" s="3">
        <v>500000</v>
      </c>
      <c r="R45" s="7">
        <f>VLOOKUP(A45,[1]pipe!$A$1:$U$150,18,FALSE)</f>
        <v>55</v>
      </c>
      <c r="S45" s="7" t="str">
        <f>VLOOKUP(A45,[1]pipe!$A$1:$U$150,19,FALSE)</f>
        <v>Non</v>
      </c>
      <c r="T45" s="7" t="str">
        <f>VLOOKUP(A45,[1]pipe!$A$16:$U$150,20,FALSE)</f>
        <v>N/A</v>
      </c>
      <c r="U45" s="9"/>
    </row>
    <row r="46" spans="1:21" ht="26" x14ac:dyDescent="0.35">
      <c r="A46" s="1">
        <v>55104019</v>
      </c>
      <c r="B46" s="2">
        <v>46004.469606481478</v>
      </c>
      <c r="C46" s="1">
        <v>56566265</v>
      </c>
      <c r="D46" s="2">
        <v>46034.582673611112</v>
      </c>
      <c r="E46" s="1" t="s">
        <v>40</v>
      </c>
      <c r="F46" s="1" t="s">
        <v>106</v>
      </c>
      <c r="G46" s="1">
        <v>504033918</v>
      </c>
      <c r="H46" s="1" t="s">
        <v>132</v>
      </c>
      <c r="I46" s="1" t="s">
        <v>2</v>
      </c>
      <c r="J46" s="1" t="s">
        <v>10</v>
      </c>
      <c r="K46" s="1" t="s">
        <v>30</v>
      </c>
      <c r="L46" s="1" t="s">
        <v>12</v>
      </c>
      <c r="M46" s="1" t="s">
        <v>6</v>
      </c>
      <c r="N46" s="1" t="s">
        <v>13</v>
      </c>
      <c r="O46" s="1" t="s">
        <v>133</v>
      </c>
      <c r="P46" s="1" t="s">
        <v>2</v>
      </c>
      <c r="Q46" s="3">
        <v>4000000</v>
      </c>
      <c r="R46" s="7">
        <f>VLOOKUP(A46,[1]pipe!$A$1:$U$150,18,FALSE)</f>
        <v>55</v>
      </c>
      <c r="S46" s="7" t="str">
        <f>VLOOKUP(A46,[1]pipe!$A$1:$U$150,19,FALSE)</f>
        <v>Oui</v>
      </c>
      <c r="T46" s="7" t="str">
        <f>VLOOKUP(A46,[1]pipe!$A$16:$U$150,20,FALSE)</f>
        <v>OCI</v>
      </c>
      <c r="U46" s="9" t="str">
        <f>VLOOKUP(A46,[1]pipe!$A$16:$U$150,21,FALSE)</f>
        <v>DDPE</v>
      </c>
    </row>
    <row r="47" spans="1:21" ht="26" x14ac:dyDescent="0.35">
      <c r="A47" s="1">
        <v>55104619</v>
      </c>
      <c r="B47" s="2">
        <v>46004.476504629631</v>
      </c>
      <c r="C47" s="1">
        <v>56173027</v>
      </c>
      <c r="D47" s="2">
        <v>46027.426435185182</v>
      </c>
      <c r="E47" s="1" t="s">
        <v>15</v>
      </c>
      <c r="F47" s="1" t="s">
        <v>106</v>
      </c>
      <c r="G47" s="1">
        <v>504033918</v>
      </c>
      <c r="H47" s="1" t="s">
        <v>134</v>
      </c>
      <c r="I47" s="1" t="s">
        <v>2</v>
      </c>
      <c r="J47" s="1" t="s">
        <v>10</v>
      </c>
      <c r="K47" s="1" t="s">
        <v>30</v>
      </c>
      <c r="L47" s="1" t="s">
        <v>12</v>
      </c>
      <c r="M47" s="1" t="s">
        <v>6</v>
      </c>
      <c r="N47" s="1" t="s">
        <v>13</v>
      </c>
      <c r="O47" s="1" t="s">
        <v>43</v>
      </c>
      <c r="P47" s="1" t="s">
        <v>2</v>
      </c>
      <c r="Q47" s="1" t="s">
        <v>135</v>
      </c>
      <c r="R47" s="7">
        <f>VLOOKUP(A47,[1]pipe!$A$1:$U$150,18,FALSE)</f>
        <v>55</v>
      </c>
      <c r="S47" s="7" t="str">
        <f>VLOOKUP(A47,[1]pipe!$A$1:$U$150,19,FALSE)</f>
        <v>Non</v>
      </c>
      <c r="T47" s="7" t="str">
        <f>VLOOKUP(A47,[1]pipe!$A$16:$U$150,20,FALSE)</f>
        <v>N/A</v>
      </c>
      <c r="U47" s="9"/>
    </row>
    <row r="48" spans="1:21" ht="26" x14ac:dyDescent="0.35">
      <c r="A48" s="1">
        <v>55105103</v>
      </c>
      <c r="B48" s="2">
        <v>46004.481180555558</v>
      </c>
      <c r="C48" s="1">
        <v>56940307</v>
      </c>
      <c r="D48" s="2">
        <v>46041.803784722222</v>
      </c>
      <c r="E48" s="1" t="s">
        <v>15</v>
      </c>
      <c r="F48" s="1" t="s">
        <v>106</v>
      </c>
      <c r="G48" s="1">
        <v>504033918</v>
      </c>
      <c r="H48" s="1" t="s">
        <v>136</v>
      </c>
      <c r="I48" s="1" t="s">
        <v>2</v>
      </c>
      <c r="J48" s="1" t="s">
        <v>10</v>
      </c>
      <c r="K48" s="1" t="s">
        <v>30</v>
      </c>
      <c r="L48" s="1" t="s">
        <v>12</v>
      </c>
      <c r="M48" s="1" t="s">
        <v>6</v>
      </c>
      <c r="N48" s="1" t="s">
        <v>13</v>
      </c>
      <c r="O48" s="1" t="s">
        <v>26</v>
      </c>
      <c r="P48" s="1" t="s">
        <v>2</v>
      </c>
      <c r="Q48" s="3">
        <v>1500000</v>
      </c>
      <c r="R48" s="7">
        <f>VLOOKUP(A48,[1]pipe!$A$1:$U$150,18,FALSE)</f>
        <v>55</v>
      </c>
      <c r="S48" s="7" t="str">
        <f>VLOOKUP(A48,[1]pipe!$A$1:$U$150,19,FALSE)</f>
        <v>Non</v>
      </c>
      <c r="T48" s="7" t="str">
        <f>VLOOKUP(A48,[1]pipe!$A$16:$U$150,20,FALSE)</f>
        <v>OCI</v>
      </c>
      <c r="U48" s="9"/>
    </row>
    <row r="49" spans="1:21" ht="26" x14ac:dyDescent="0.35">
      <c r="A49" s="1">
        <v>55105296</v>
      </c>
      <c r="B49" s="2">
        <v>46004.482812499999</v>
      </c>
      <c r="C49" s="1">
        <v>56644199</v>
      </c>
      <c r="D49" s="2">
        <v>46035.719004629631</v>
      </c>
      <c r="E49" s="1" t="s">
        <v>15</v>
      </c>
      <c r="F49" s="1" t="s">
        <v>106</v>
      </c>
      <c r="G49" s="1">
        <v>504033918</v>
      </c>
      <c r="H49" s="1" t="s">
        <v>137</v>
      </c>
      <c r="I49" s="1" t="s">
        <v>2</v>
      </c>
      <c r="J49" s="1" t="s">
        <v>10</v>
      </c>
      <c r="K49" s="1" t="s">
        <v>30</v>
      </c>
      <c r="L49" s="1" t="s">
        <v>12</v>
      </c>
      <c r="M49" s="1" t="s">
        <v>6</v>
      </c>
      <c r="N49" s="1" t="s">
        <v>13</v>
      </c>
      <c r="O49" s="1" t="s">
        <v>138</v>
      </c>
      <c r="P49" s="1" t="s">
        <v>2</v>
      </c>
      <c r="Q49" s="3">
        <v>1500000</v>
      </c>
      <c r="R49" s="7">
        <f>VLOOKUP(A49,[1]pipe!$A$1:$U$150,18,FALSE)</f>
        <v>55</v>
      </c>
      <c r="S49" s="7" t="str">
        <f>VLOOKUP(A49,[1]pipe!$A$1:$U$150,19,FALSE)</f>
        <v>Non</v>
      </c>
      <c r="T49" s="7" t="str">
        <f>VLOOKUP(A49,[1]pipe!$A$16:$U$150,20,FALSE)</f>
        <v>N/A</v>
      </c>
      <c r="U49" s="9"/>
    </row>
    <row r="50" spans="1:21" ht="26" x14ac:dyDescent="0.35">
      <c r="A50" s="1">
        <v>55105778</v>
      </c>
      <c r="B50" s="2">
        <v>46004.488680555558</v>
      </c>
      <c r="C50" s="1">
        <v>59018841</v>
      </c>
      <c r="D50" s="2">
        <v>46079.6325</v>
      </c>
      <c r="E50" s="1" t="s">
        <v>15</v>
      </c>
      <c r="F50" s="1" t="s">
        <v>106</v>
      </c>
      <c r="G50" s="1">
        <v>504033918</v>
      </c>
      <c r="H50" s="1" t="s">
        <v>139</v>
      </c>
      <c r="I50" s="1" t="s">
        <v>2</v>
      </c>
      <c r="J50" s="1" t="s">
        <v>10</v>
      </c>
      <c r="K50" s="1" t="s">
        <v>30</v>
      </c>
      <c r="L50" s="1" t="s">
        <v>12</v>
      </c>
      <c r="M50" s="1" t="s">
        <v>6</v>
      </c>
      <c r="N50" s="1" t="s">
        <v>13</v>
      </c>
      <c r="O50" s="1" t="s">
        <v>140</v>
      </c>
      <c r="P50" s="1" t="s">
        <v>2</v>
      </c>
      <c r="Q50" s="3">
        <v>1000000</v>
      </c>
      <c r="R50" s="7">
        <f>VLOOKUP(A50,[1]pipe!$A$1:$U$150,18,FALSE)</f>
        <v>55</v>
      </c>
      <c r="S50" s="7" t="str">
        <f>VLOOKUP(A50,[1]pipe!$A$1:$U$150,19,FALSE)</f>
        <v>Oui</v>
      </c>
      <c r="T50" s="7" t="str">
        <f>VLOOKUP(A50,[1]pipe!$A$16:$U$150,20,FALSE)</f>
        <v>N/A</v>
      </c>
      <c r="U50" s="9"/>
    </row>
    <row r="51" spans="1:21" ht="54" customHeight="1" x14ac:dyDescent="0.35">
      <c r="A51" s="1">
        <v>55105863</v>
      </c>
      <c r="B51" s="2">
        <v>46004.489374999997</v>
      </c>
      <c r="C51" s="1">
        <v>58222196</v>
      </c>
      <c r="D51" s="2">
        <v>46065.587708333333</v>
      </c>
      <c r="E51" s="1" t="s">
        <v>15</v>
      </c>
      <c r="F51" s="1" t="s">
        <v>106</v>
      </c>
      <c r="G51" s="1">
        <v>504033918</v>
      </c>
      <c r="H51" s="1" t="s">
        <v>109</v>
      </c>
      <c r="I51" s="1">
        <v>2842855</v>
      </c>
      <c r="J51" s="1" t="s">
        <v>78</v>
      </c>
      <c r="K51" s="1" t="s">
        <v>30</v>
      </c>
      <c r="L51" s="1" t="s">
        <v>12</v>
      </c>
      <c r="M51" s="1" t="s">
        <v>6</v>
      </c>
      <c r="N51" s="1" t="s">
        <v>13</v>
      </c>
      <c r="O51" s="1" t="s">
        <v>141</v>
      </c>
      <c r="P51" s="1" t="s">
        <v>2</v>
      </c>
      <c r="Q51" s="3">
        <v>1250000</v>
      </c>
      <c r="R51" s="7">
        <f>VLOOKUP(A51,[1]pipe!$A$1:$U$150,18,FALSE)</f>
        <v>55</v>
      </c>
      <c r="S51" s="7" t="str">
        <f>VLOOKUP(A51,[1]pipe!$A$1:$U$150,19,FALSE)</f>
        <v>Oui</v>
      </c>
      <c r="T51" s="7" t="str">
        <f>VLOOKUP(A51,[1]pipe!$A$16:$U$150,20,FALSE)</f>
        <v>N/A</v>
      </c>
      <c r="U51" s="9"/>
    </row>
    <row r="52" spans="1:21" ht="52" x14ac:dyDescent="0.35">
      <c r="A52" s="1">
        <v>55636282</v>
      </c>
      <c r="B52" s="2">
        <v>46014.435729166667</v>
      </c>
      <c r="C52" s="1">
        <v>57367586</v>
      </c>
      <c r="D52" s="2">
        <v>46049.856261574074</v>
      </c>
      <c r="E52" s="1" t="s">
        <v>27</v>
      </c>
      <c r="F52" s="1" t="s">
        <v>142</v>
      </c>
      <c r="G52" s="1">
        <v>759003900</v>
      </c>
      <c r="H52" s="1" t="s">
        <v>143</v>
      </c>
      <c r="I52" s="1" t="s">
        <v>2</v>
      </c>
      <c r="J52" s="1" t="s">
        <v>35</v>
      </c>
      <c r="K52" s="1" t="s">
        <v>30</v>
      </c>
      <c r="L52" s="1" t="s">
        <v>36</v>
      </c>
      <c r="M52" s="1" t="s">
        <v>6</v>
      </c>
      <c r="N52" s="1" t="s">
        <v>13</v>
      </c>
      <c r="O52" s="1" t="s">
        <v>144</v>
      </c>
      <c r="P52" s="1" t="s">
        <v>2</v>
      </c>
      <c r="Q52" s="3">
        <v>918681</v>
      </c>
      <c r="R52" s="7">
        <f>VLOOKUP(A52,[1]pipe!$A$1:$U$150,18,FALSE)</f>
        <v>49</v>
      </c>
      <c r="S52" s="7" t="str">
        <f>VLOOKUP(A52,[1]pipe!$A$1:$U$150,19,FALSE)</f>
        <v>Non</v>
      </c>
      <c r="T52" s="7" t="str">
        <f>VLOOKUP(A52,[1]pipe!$A$16:$U$150,20,FALSE)</f>
        <v xml:space="preserve">CLIENT </v>
      </c>
      <c r="U52" s="9"/>
    </row>
    <row r="53" spans="1:21" ht="52" x14ac:dyDescent="0.35">
      <c r="A53" s="1">
        <v>55686160</v>
      </c>
      <c r="B53" s="2">
        <v>46015.355868055558</v>
      </c>
      <c r="C53" s="1">
        <v>58214558</v>
      </c>
      <c r="D53" s="2">
        <v>46065.517453703702</v>
      </c>
      <c r="E53" s="1" t="s">
        <v>40</v>
      </c>
      <c r="F53" s="1" t="s">
        <v>145</v>
      </c>
      <c r="G53" s="1">
        <v>777765287</v>
      </c>
      <c r="H53" s="1" t="s">
        <v>146</v>
      </c>
      <c r="I53" s="1" t="s">
        <v>2</v>
      </c>
      <c r="J53" s="1" t="s">
        <v>35</v>
      </c>
      <c r="K53" s="1" t="s">
        <v>30</v>
      </c>
      <c r="L53" s="1" t="s">
        <v>36</v>
      </c>
      <c r="M53" s="1" t="s">
        <v>6</v>
      </c>
      <c r="N53" s="1" t="s">
        <v>13</v>
      </c>
      <c r="O53" s="1" t="s">
        <v>26</v>
      </c>
      <c r="P53" s="1" t="s">
        <v>2</v>
      </c>
      <c r="Q53" s="3">
        <v>850887</v>
      </c>
      <c r="R53" s="7">
        <f>VLOOKUP(A53,[1]pipe!$A$1:$U$150,18,FALSE)</f>
        <v>48</v>
      </c>
      <c r="S53" s="7" t="str">
        <f>VLOOKUP(A53,[1]pipe!$A$1:$U$150,19,FALSE)</f>
        <v>Non</v>
      </c>
      <c r="T53" s="7" t="str">
        <f>VLOOKUP(A53,[1]pipe!$A$16:$U$150,20,FALSE)</f>
        <v xml:space="preserve">CLIENT </v>
      </c>
      <c r="U53" s="9"/>
    </row>
    <row r="54" spans="1:21" ht="39" x14ac:dyDescent="0.35">
      <c r="A54" s="1">
        <v>55694485</v>
      </c>
      <c r="B54" s="2">
        <v>46015.420092592591</v>
      </c>
      <c r="C54" s="1">
        <v>56752240</v>
      </c>
      <c r="D54" s="2">
        <v>46037.705520833333</v>
      </c>
      <c r="E54" s="1" t="s">
        <v>40</v>
      </c>
      <c r="F54" s="1" t="s">
        <v>147</v>
      </c>
      <c r="G54" s="1">
        <v>749338073</v>
      </c>
      <c r="H54" s="1" t="s">
        <v>148</v>
      </c>
      <c r="I54" s="1" t="s">
        <v>2</v>
      </c>
      <c r="J54" s="1" t="s">
        <v>35</v>
      </c>
      <c r="K54" s="1" t="s">
        <v>30</v>
      </c>
      <c r="L54" s="1" t="s">
        <v>36</v>
      </c>
      <c r="M54" s="1" t="s">
        <v>6</v>
      </c>
      <c r="N54" s="1" t="s">
        <v>13</v>
      </c>
      <c r="O54" s="1" t="s">
        <v>144</v>
      </c>
      <c r="P54" s="1" t="s">
        <v>2</v>
      </c>
      <c r="Q54" s="3">
        <v>638462</v>
      </c>
      <c r="R54" s="7">
        <f>VLOOKUP(A54,[1]pipe!$A$1:$U$150,18,FALSE)</f>
        <v>48</v>
      </c>
      <c r="S54" s="7" t="str">
        <f>VLOOKUP(A54,[1]pipe!$A$1:$U$150,19,FALSE)</f>
        <v>Non</v>
      </c>
      <c r="T54" s="7" t="str">
        <f>VLOOKUP(A54,[1]pipe!$A$16:$U$150,20,FALSE)</f>
        <v xml:space="preserve">CLIENT </v>
      </c>
      <c r="U54" s="9"/>
    </row>
    <row r="55" spans="1:21" ht="31" customHeight="1" x14ac:dyDescent="0.35">
      <c r="A55" s="1">
        <v>56181778</v>
      </c>
      <c r="B55" s="2">
        <v>46027.499212962961</v>
      </c>
      <c r="C55" s="1">
        <v>59210339</v>
      </c>
      <c r="D55" s="2">
        <v>46083.492881944447</v>
      </c>
      <c r="E55" s="1" t="s">
        <v>27</v>
      </c>
      <c r="F55" s="1" t="s">
        <v>149</v>
      </c>
      <c r="G55" s="1">
        <v>585990976</v>
      </c>
      <c r="H55" s="1" t="s">
        <v>150</v>
      </c>
      <c r="I55" s="1">
        <v>1765416</v>
      </c>
      <c r="J55" s="1" t="s">
        <v>78</v>
      </c>
      <c r="K55" s="1" t="s">
        <v>30</v>
      </c>
      <c r="L55" s="1" t="s">
        <v>36</v>
      </c>
      <c r="M55" s="1" t="s">
        <v>6</v>
      </c>
      <c r="N55" s="1" t="s">
        <v>13</v>
      </c>
      <c r="O55" s="1" t="s">
        <v>151</v>
      </c>
      <c r="P55" s="1" t="s">
        <v>2</v>
      </c>
      <c r="Q55" s="3">
        <v>3000000</v>
      </c>
      <c r="R55" s="7">
        <f>VLOOKUP(A55,[1]pipe!$A$1:$U$150,18,FALSE)</f>
        <v>40</v>
      </c>
      <c r="S55" s="7" t="str">
        <f>VLOOKUP(A55,[1]pipe!$A$1:$U$150,19,FALSE)</f>
        <v>Non</v>
      </c>
      <c r="T55" s="7" t="s">
        <v>307</v>
      </c>
      <c r="U55" s="9" t="str">
        <f>VLOOKUP(A55,[1]pipe!$A$16:$U$150,21,FALSE)</f>
        <v>Congection dans la zone</v>
      </c>
    </row>
    <row r="56" spans="1:21" ht="44.5" customHeight="1" x14ac:dyDescent="0.35">
      <c r="A56" s="1">
        <v>56460494</v>
      </c>
      <c r="B56" s="2">
        <v>46031.688935185186</v>
      </c>
      <c r="C56" s="1">
        <v>58549829</v>
      </c>
      <c r="D56" s="2">
        <v>46071.689143518517</v>
      </c>
      <c r="E56" s="1" t="s">
        <v>15</v>
      </c>
      <c r="F56" s="1" t="s">
        <v>152</v>
      </c>
      <c r="G56" s="1">
        <v>758513012</v>
      </c>
      <c r="H56" s="1" t="s">
        <v>153</v>
      </c>
      <c r="I56" s="1">
        <v>1771006</v>
      </c>
      <c r="J56" s="1" t="s">
        <v>20</v>
      </c>
      <c r="K56" s="1" t="s">
        <v>11</v>
      </c>
      <c r="L56" s="1" t="s">
        <v>12</v>
      </c>
      <c r="M56" s="1" t="s">
        <v>6</v>
      </c>
      <c r="N56" s="1" t="s">
        <v>13</v>
      </c>
      <c r="O56" s="1" t="s">
        <v>154</v>
      </c>
      <c r="P56" s="1" t="s">
        <v>2</v>
      </c>
      <c r="Q56" s="3">
        <v>500000</v>
      </c>
      <c r="R56" s="7">
        <f>VLOOKUP(A56,[1]pipe!$A$1:$U$150,18,FALSE)</f>
        <v>36</v>
      </c>
      <c r="S56" s="7" t="str">
        <f>VLOOKUP(A56,[1]pipe!$A$1:$U$150,19,FALSE)</f>
        <v>Non</v>
      </c>
      <c r="T56" s="7" t="str">
        <f>VLOOKUP(A56,[1]pipe!$A$16:$U$150,20,FALSE)</f>
        <v xml:space="preserve">CLIENT </v>
      </c>
      <c r="U56" s="9"/>
    </row>
    <row r="57" spans="1:21" ht="42.5" customHeight="1" x14ac:dyDescent="0.35">
      <c r="A57" s="1">
        <v>56601140</v>
      </c>
      <c r="B57" s="2">
        <v>46035.385555555556</v>
      </c>
      <c r="C57" s="1">
        <v>59430056</v>
      </c>
      <c r="D57" s="2">
        <v>46086.683518518519</v>
      </c>
      <c r="E57" s="1" t="s">
        <v>157</v>
      </c>
      <c r="F57" s="1" t="s">
        <v>74</v>
      </c>
      <c r="G57" s="1">
        <v>707003126</v>
      </c>
      <c r="H57" s="1" t="s">
        <v>155</v>
      </c>
      <c r="I57" s="1" t="s">
        <v>2</v>
      </c>
      <c r="J57" s="1" t="s">
        <v>10</v>
      </c>
      <c r="K57" s="1" t="s">
        <v>30</v>
      </c>
      <c r="L57" s="1" t="s">
        <v>12</v>
      </c>
      <c r="M57" s="1" t="s">
        <v>6</v>
      </c>
      <c r="N57" s="1" t="s">
        <v>13</v>
      </c>
      <c r="O57" s="1" t="s">
        <v>156</v>
      </c>
      <c r="P57" s="1" t="s">
        <v>2</v>
      </c>
      <c r="Q57" s="3">
        <v>7103410</v>
      </c>
      <c r="R57" s="7">
        <f>VLOOKUP(A57,[1]pipe!$A$1:$U$150,18,FALSE)</f>
        <v>34</v>
      </c>
      <c r="S57" s="7" t="str">
        <f>VLOOKUP(A57,[1]pipe!$A$1:$U$150,19,FALSE)</f>
        <v>Non</v>
      </c>
      <c r="T57" s="7" t="str">
        <f>VLOOKUP(A57,[1]pipe!$A$16:$U$150,20,FALSE)</f>
        <v>OCI</v>
      </c>
      <c r="U57" s="9"/>
    </row>
    <row r="58" spans="1:21" ht="26" x14ac:dyDescent="0.35">
      <c r="A58" s="1">
        <v>56601982</v>
      </c>
      <c r="B58" s="2">
        <v>46035.393611111111</v>
      </c>
      <c r="C58" s="1">
        <v>59241374</v>
      </c>
      <c r="D58" s="2">
        <v>46083.713761574072</v>
      </c>
      <c r="E58" s="1" t="s">
        <v>32</v>
      </c>
      <c r="F58" s="1" t="s">
        <v>74</v>
      </c>
      <c r="G58" s="1">
        <v>707003126</v>
      </c>
      <c r="H58" s="1" t="s">
        <v>158</v>
      </c>
      <c r="I58" s="1" t="s">
        <v>2</v>
      </c>
      <c r="J58" s="1" t="s">
        <v>10</v>
      </c>
      <c r="K58" s="1" t="s">
        <v>30</v>
      </c>
      <c r="L58" s="1" t="s">
        <v>12</v>
      </c>
      <c r="M58" s="1" t="s">
        <v>6</v>
      </c>
      <c r="N58" s="1" t="s">
        <v>13</v>
      </c>
      <c r="O58" s="1" t="s">
        <v>156</v>
      </c>
      <c r="P58" s="1" t="s">
        <v>2</v>
      </c>
      <c r="Q58" s="3">
        <v>7103410</v>
      </c>
      <c r="R58" s="7">
        <f>VLOOKUP(A58,[1]pipe!$A$1:$U$150,18,FALSE)</f>
        <v>34</v>
      </c>
      <c r="S58" s="7" t="str">
        <f>VLOOKUP(A58,[1]pipe!$A$1:$U$150,19,FALSE)</f>
        <v>Non</v>
      </c>
      <c r="T58" s="7" t="str">
        <f>VLOOKUP(A58,[1]pipe!$A$16:$U$150,20,FALSE)</f>
        <v xml:space="preserve">CLIENT </v>
      </c>
      <c r="U58" s="9"/>
    </row>
    <row r="59" spans="1:21" ht="26" x14ac:dyDescent="0.35">
      <c r="A59" s="1">
        <v>56603158</v>
      </c>
      <c r="B59" s="2">
        <v>46035.405011574076</v>
      </c>
      <c r="C59" s="1">
        <v>57145671</v>
      </c>
      <c r="D59" s="2">
        <v>46045.510034722225</v>
      </c>
      <c r="E59" s="1" t="s">
        <v>32</v>
      </c>
      <c r="F59" s="1" t="s">
        <v>159</v>
      </c>
      <c r="G59" s="1">
        <v>504041812</v>
      </c>
      <c r="H59" s="1" t="s">
        <v>123</v>
      </c>
      <c r="I59" s="1" t="s">
        <v>2</v>
      </c>
      <c r="J59" s="1" t="s">
        <v>35</v>
      </c>
      <c r="K59" s="1" t="s">
        <v>30</v>
      </c>
      <c r="L59" s="1" t="s">
        <v>36</v>
      </c>
      <c r="M59" s="1" t="s">
        <v>6</v>
      </c>
      <c r="N59" s="1" t="s">
        <v>13</v>
      </c>
      <c r="O59" s="1" t="s">
        <v>160</v>
      </c>
      <c r="P59" s="1" t="s">
        <v>2</v>
      </c>
      <c r="Q59" s="3">
        <v>2000000</v>
      </c>
      <c r="R59" s="7">
        <f>VLOOKUP(A59,[1]pipe!$A$1:$U$150,18,FALSE)</f>
        <v>34</v>
      </c>
      <c r="S59" s="7" t="str">
        <f>VLOOKUP(A59,[1]pipe!$A$1:$U$150,19,FALSE)</f>
        <v>Oui</v>
      </c>
      <c r="T59" s="7" t="str">
        <f>VLOOKUP(A59,[1]pipe!$A$16:$U$150,20,FALSE)</f>
        <v>N/A</v>
      </c>
      <c r="U59" s="9"/>
    </row>
    <row r="60" spans="1:21" ht="26" x14ac:dyDescent="0.35">
      <c r="A60" s="1">
        <v>56603495</v>
      </c>
      <c r="B60" s="2">
        <v>46035.408518518518</v>
      </c>
      <c r="C60" s="1">
        <v>58682422</v>
      </c>
      <c r="D60" s="2">
        <v>46073.724178240744</v>
      </c>
      <c r="E60" s="1" t="s">
        <v>40</v>
      </c>
      <c r="F60" s="1" t="s">
        <v>74</v>
      </c>
      <c r="G60" s="1">
        <v>707003126</v>
      </c>
      <c r="H60" s="1" t="s">
        <v>161</v>
      </c>
      <c r="I60" s="1" t="s">
        <v>2</v>
      </c>
      <c r="J60" s="1" t="s">
        <v>10</v>
      </c>
      <c r="K60" s="1" t="s">
        <v>30</v>
      </c>
      <c r="L60" s="1" t="s">
        <v>12</v>
      </c>
      <c r="M60" s="1" t="s">
        <v>6</v>
      </c>
      <c r="N60" s="1" t="s">
        <v>13</v>
      </c>
      <c r="O60" s="1" t="s">
        <v>156</v>
      </c>
      <c r="P60" s="1" t="s">
        <v>2</v>
      </c>
      <c r="Q60" s="3">
        <v>7103410</v>
      </c>
      <c r="R60" s="7">
        <f>VLOOKUP(A60,[1]pipe!$A$1:$U$150,18,FALSE)</f>
        <v>34</v>
      </c>
      <c r="S60" s="7" t="str">
        <f>VLOOKUP(A60,[1]pipe!$A$1:$U$150,19,FALSE)</f>
        <v>Non</v>
      </c>
      <c r="T60" s="7" t="str">
        <f>VLOOKUP(A60,[1]pipe!$A$16:$U$150,20,FALSE)</f>
        <v>OCI</v>
      </c>
      <c r="U60" s="9"/>
    </row>
    <row r="61" spans="1:21" ht="26" x14ac:dyDescent="0.35">
      <c r="A61" s="1">
        <v>56606469</v>
      </c>
      <c r="B61" s="2">
        <v>46035.43072916667</v>
      </c>
      <c r="C61" s="1">
        <v>58080473</v>
      </c>
      <c r="D61" s="2">
        <v>46063.478414351855</v>
      </c>
      <c r="E61" s="1" t="s">
        <v>40</v>
      </c>
      <c r="F61" s="1" t="s">
        <v>159</v>
      </c>
      <c r="G61" s="1">
        <v>504041812</v>
      </c>
      <c r="H61" s="1" t="s">
        <v>162</v>
      </c>
      <c r="I61" s="1" t="s">
        <v>2</v>
      </c>
      <c r="J61" s="1" t="s">
        <v>10</v>
      </c>
      <c r="K61" s="1" t="s">
        <v>30</v>
      </c>
      <c r="L61" s="1" t="s">
        <v>12</v>
      </c>
      <c r="M61" s="1" t="s">
        <v>6</v>
      </c>
      <c r="N61" s="1" t="s">
        <v>13</v>
      </c>
      <c r="O61" s="1" t="s">
        <v>72</v>
      </c>
      <c r="P61" s="1" t="s">
        <v>2</v>
      </c>
      <c r="Q61" s="3">
        <v>1000000</v>
      </c>
      <c r="R61" s="7">
        <f>VLOOKUP(A61,[1]pipe!$A$1:$U$150,18,FALSE)</f>
        <v>34</v>
      </c>
      <c r="S61" s="7" t="str">
        <f>VLOOKUP(A61,[1]pipe!$A$1:$U$150,19,FALSE)</f>
        <v>Non</v>
      </c>
      <c r="T61" s="7" t="str">
        <f>VLOOKUP(A61,[1]pipe!$A$16:$U$150,20,FALSE)</f>
        <v xml:space="preserve">CLIENT </v>
      </c>
      <c r="U61" s="9"/>
    </row>
    <row r="62" spans="1:21" ht="26" x14ac:dyDescent="0.35">
      <c r="A62" s="1">
        <v>56607988</v>
      </c>
      <c r="B62" s="2">
        <v>46035.443668981483</v>
      </c>
      <c r="C62" s="1">
        <v>58404447</v>
      </c>
      <c r="D62" s="2">
        <v>46069.522615740738</v>
      </c>
      <c r="E62" s="1" t="s">
        <v>27</v>
      </c>
      <c r="F62" s="1" t="s">
        <v>159</v>
      </c>
      <c r="G62" s="1">
        <v>504041812</v>
      </c>
      <c r="H62" s="1" t="s">
        <v>163</v>
      </c>
      <c r="I62" s="1" t="s">
        <v>2</v>
      </c>
      <c r="J62" s="1" t="s">
        <v>10</v>
      </c>
      <c r="K62" s="1" t="s">
        <v>30</v>
      </c>
      <c r="L62" s="1" t="s">
        <v>12</v>
      </c>
      <c r="M62" s="1" t="s">
        <v>6</v>
      </c>
      <c r="N62" s="1" t="s">
        <v>13</v>
      </c>
      <c r="O62" s="1" t="s">
        <v>144</v>
      </c>
      <c r="P62" s="1" t="s">
        <v>2</v>
      </c>
      <c r="Q62" s="3">
        <v>2000000</v>
      </c>
      <c r="R62" s="7">
        <f>VLOOKUP(A62,[1]pipe!$A$1:$U$150,18,FALSE)</f>
        <v>34</v>
      </c>
      <c r="S62" s="7" t="str">
        <f>VLOOKUP(A62,[1]pipe!$A$1:$U$150,19,FALSE)</f>
        <v>Non</v>
      </c>
      <c r="T62" s="7" t="str">
        <f>VLOOKUP(A62,[1]pipe!$A$16:$U$150,20,FALSE)</f>
        <v>OCI</v>
      </c>
      <c r="U62" s="9"/>
    </row>
    <row r="63" spans="1:21" ht="26" x14ac:dyDescent="0.35">
      <c r="A63" s="1">
        <v>56609018</v>
      </c>
      <c r="B63" s="2">
        <v>46035.452465277776</v>
      </c>
      <c r="C63" s="1">
        <v>58089216</v>
      </c>
      <c r="D63" s="2">
        <v>46063.544803240744</v>
      </c>
      <c r="E63" s="1" t="s">
        <v>40</v>
      </c>
      <c r="F63" s="1" t="s">
        <v>159</v>
      </c>
      <c r="G63" s="1">
        <v>504041812</v>
      </c>
      <c r="H63" s="1" t="s">
        <v>164</v>
      </c>
      <c r="I63" s="1" t="s">
        <v>2</v>
      </c>
      <c r="J63" s="1" t="s">
        <v>10</v>
      </c>
      <c r="K63" s="1" t="s">
        <v>30</v>
      </c>
      <c r="L63" s="1" t="s">
        <v>12</v>
      </c>
      <c r="M63" s="1" t="s">
        <v>6</v>
      </c>
      <c r="N63" s="1" t="s">
        <v>13</v>
      </c>
      <c r="O63" s="1" t="s">
        <v>160</v>
      </c>
      <c r="P63" s="1" t="s">
        <v>2</v>
      </c>
      <c r="Q63" s="3">
        <v>2000000</v>
      </c>
      <c r="R63" s="7">
        <f>VLOOKUP(A63,[1]pipe!$A$1:$U$150,18,FALSE)</f>
        <v>34</v>
      </c>
      <c r="S63" s="7" t="str">
        <f>VLOOKUP(A63,[1]pipe!$A$1:$U$150,19,FALSE)</f>
        <v>Non</v>
      </c>
      <c r="T63" s="7" t="str">
        <f>VLOOKUP(A63,[1]pipe!$A$16:$U$150,20,FALSE)</f>
        <v>OCI</v>
      </c>
      <c r="U63" s="9"/>
    </row>
    <row r="64" spans="1:21" ht="39" x14ac:dyDescent="0.35">
      <c r="A64" s="1">
        <v>56611212</v>
      </c>
      <c r="B64" s="2">
        <v>46035.471886574072</v>
      </c>
      <c r="C64" s="1">
        <v>57137676</v>
      </c>
      <c r="D64" s="2">
        <v>46045.45140046296</v>
      </c>
      <c r="E64" s="1" t="s">
        <v>27</v>
      </c>
      <c r="F64" s="1" t="s">
        <v>165</v>
      </c>
      <c r="G64" s="1">
        <v>504041812</v>
      </c>
      <c r="H64" s="1" t="s">
        <v>166</v>
      </c>
      <c r="I64" s="1" t="s">
        <v>2</v>
      </c>
      <c r="J64" s="1" t="s">
        <v>10</v>
      </c>
      <c r="K64" s="1" t="s">
        <v>30</v>
      </c>
      <c r="L64" s="1" t="s">
        <v>12</v>
      </c>
      <c r="M64" s="1" t="s">
        <v>6</v>
      </c>
      <c r="N64" s="1" t="s">
        <v>13</v>
      </c>
      <c r="O64" s="1" t="s">
        <v>167</v>
      </c>
      <c r="P64" s="1" t="s">
        <v>2</v>
      </c>
      <c r="Q64" s="3">
        <v>2000000</v>
      </c>
      <c r="R64" s="7">
        <f>VLOOKUP(A64,[1]pipe!$A$1:$U$150,18,FALSE)</f>
        <v>34</v>
      </c>
      <c r="S64" s="7" t="str">
        <f>VLOOKUP(A64,[1]pipe!$A$1:$U$150,19,FALSE)</f>
        <v>Non</v>
      </c>
      <c r="T64" s="7" t="str">
        <f>VLOOKUP(A64,[1]pipe!$A$16:$U$150,20,FALSE)</f>
        <v>OCI</v>
      </c>
      <c r="U64" s="9"/>
    </row>
    <row r="65" spans="1:21" ht="34.5" customHeight="1" x14ac:dyDescent="0.35">
      <c r="A65" s="1">
        <v>56612479</v>
      </c>
      <c r="B65" s="2">
        <v>46035.481446759259</v>
      </c>
      <c r="C65" s="1">
        <v>59297612</v>
      </c>
      <c r="D65" s="2">
        <v>46084.663553240738</v>
      </c>
      <c r="E65" s="1" t="s">
        <v>170</v>
      </c>
      <c r="F65" s="1" t="s">
        <v>165</v>
      </c>
      <c r="G65" s="1">
        <v>504041812</v>
      </c>
      <c r="H65" s="1" t="s">
        <v>168</v>
      </c>
      <c r="I65" s="1" t="s">
        <v>2</v>
      </c>
      <c r="J65" s="1" t="s">
        <v>10</v>
      </c>
      <c r="K65" s="1" t="s">
        <v>30</v>
      </c>
      <c r="L65" s="1" t="s">
        <v>12</v>
      </c>
      <c r="M65" s="1" t="s">
        <v>6</v>
      </c>
      <c r="N65" s="1" t="s">
        <v>96</v>
      </c>
      <c r="O65" s="1" t="s">
        <v>169</v>
      </c>
      <c r="P65" s="1" t="s">
        <v>2</v>
      </c>
      <c r="Q65" s="3">
        <v>2000000</v>
      </c>
      <c r="R65" s="7">
        <f>VLOOKUP(A65,[1]pipe!$A$1:$U$150,18,FALSE)</f>
        <v>34</v>
      </c>
      <c r="S65" s="7" t="str">
        <f>VLOOKUP(A65,[1]pipe!$A$1:$U$150,19,FALSE)</f>
        <v>Non</v>
      </c>
      <c r="T65" s="7" t="str">
        <f>VLOOKUP(A65,[1]pipe!$A$16:$U$150,20,FALSE)</f>
        <v>OCI</v>
      </c>
      <c r="U65" s="9"/>
    </row>
    <row r="66" spans="1:21" ht="39" x14ac:dyDescent="0.35">
      <c r="A66" s="1">
        <v>56613961</v>
      </c>
      <c r="B66" s="2">
        <v>46035.492175925923</v>
      </c>
      <c r="C66" s="1">
        <v>59292922</v>
      </c>
      <c r="D66" s="2">
        <v>46084.632453703707</v>
      </c>
      <c r="E66" s="1" t="s">
        <v>84</v>
      </c>
      <c r="F66" s="1" t="s">
        <v>165</v>
      </c>
      <c r="G66" s="1">
        <v>504041812</v>
      </c>
      <c r="H66" s="1" t="s">
        <v>171</v>
      </c>
      <c r="I66" s="1" t="s">
        <v>2</v>
      </c>
      <c r="J66" s="1" t="s">
        <v>10</v>
      </c>
      <c r="K66" s="1" t="s">
        <v>30</v>
      </c>
      <c r="L66" s="1" t="s">
        <v>12</v>
      </c>
      <c r="M66" s="1" t="s">
        <v>6</v>
      </c>
      <c r="N66" s="1" t="s">
        <v>13</v>
      </c>
      <c r="O66" s="1" t="s">
        <v>172</v>
      </c>
      <c r="P66" s="1" t="s">
        <v>2</v>
      </c>
      <c r="Q66" s="3">
        <v>2000000</v>
      </c>
      <c r="R66" s="7">
        <f>VLOOKUP(A66,[1]pipe!$A$1:$U$150,18,FALSE)</f>
        <v>34</v>
      </c>
      <c r="S66" s="7" t="str">
        <f>VLOOKUP(A66,[1]pipe!$A$1:$U$150,19,FALSE)</f>
        <v>Non</v>
      </c>
      <c r="T66" s="7" t="str">
        <f>VLOOKUP(A66,[1]pipe!$A$16:$U$150,20,FALSE)</f>
        <v>OCI</v>
      </c>
      <c r="U66" s="9"/>
    </row>
    <row r="67" spans="1:21" ht="39.5" customHeight="1" x14ac:dyDescent="0.35">
      <c r="A67" s="1">
        <v>56618123</v>
      </c>
      <c r="B67" s="2">
        <v>46035.520821759259</v>
      </c>
      <c r="C67" s="1">
        <v>59311833</v>
      </c>
      <c r="D67" s="2">
        <v>46084.811782407407</v>
      </c>
      <c r="E67" s="1" t="s">
        <v>27</v>
      </c>
      <c r="F67" s="1" t="s">
        <v>173</v>
      </c>
      <c r="G67" s="1">
        <v>504041812</v>
      </c>
      <c r="H67" s="1" t="s">
        <v>174</v>
      </c>
      <c r="I67" s="1">
        <v>1775236</v>
      </c>
      <c r="J67" s="1" t="s">
        <v>20</v>
      </c>
      <c r="K67" s="1" t="s">
        <v>30</v>
      </c>
      <c r="L67" s="1" t="s">
        <v>12</v>
      </c>
      <c r="M67" s="1" t="s">
        <v>6</v>
      </c>
      <c r="N67" s="1" t="s">
        <v>13</v>
      </c>
      <c r="O67" s="1" t="s">
        <v>175</v>
      </c>
      <c r="P67" s="1" t="s">
        <v>2</v>
      </c>
      <c r="Q67" s="3">
        <v>2000000</v>
      </c>
      <c r="R67" s="7">
        <f>VLOOKUP(A67,[1]pipe!$A$1:$U$150,18,FALSE)</f>
        <v>34</v>
      </c>
      <c r="S67" s="7" t="str">
        <f>VLOOKUP(A67,[1]pipe!$A$1:$U$150,19,FALSE)</f>
        <v>Non</v>
      </c>
      <c r="T67" s="7" t="str">
        <f>VLOOKUP(A67,[1]pipe!$A$16:$U$150,20,FALSE)</f>
        <v>OCI</v>
      </c>
      <c r="U67" s="9"/>
    </row>
    <row r="68" spans="1:21" ht="36" customHeight="1" x14ac:dyDescent="0.35">
      <c r="A68" s="1">
        <v>56675050</v>
      </c>
      <c r="B68" s="2">
        <v>46036.516423611109</v>
      </c>
      <c r="C68" s="1">
        <v>58216664</v>
      </c>
      <c r="D68" s="2">
        <v>46065.536226851851</v>
      </c>
      <c r="E68" s="1" t="s">
        <v>40</v>
      </c>
      <c r="F68" s="1" t="s">
        <v>176</v>
      </c>
      <c r="G68" s="1">
        <v>748512613</v>
      </c>
      <c r="H68" s="1" t="s">
        <v>177</v>
      </c>
      <c r="I68" s="1" t="s">
        <v>2</v>
      </c>
      <c r="J68" s="1" t="s">
        <v>35</v>
      </c>
      <c r="K68" s="1" t="s">
        <v>30</v>
      </c>
      <c r="L68" s="1" t="s">
        <v>36</v>
      </c>
      <c r="M68" s="1" t="s">
        <v>6</v>
      </c>
      <c r="N68" s="1" t="s">
        <v>13</v>
      </c>
      <c r="O68" s="1" t="s">
        <v>156</v>
      </c>
      <c r="P68" s="1" t="s">
        <v>2</v>
      </c>
      <c r="Q68" s="3">
        <v>4362401</v>
      </c>
      <c r="R68" s="7">
        <f>VLOOKUP(A68,[1]pipe!$A$1:$U$150,18,FALSE)</f>
        <v>33</v>
      </c>
      <c r="S68" s="7" t="str">
        <f>VLOOKUP(A68,[1]pipe!$A$1:$U$150,19,FALSE)</f>
        <v>Non</v>
      </c>
      <c r="T68" s="7" t="str">
        <f>VLOOKUP(A68,[1]pipe!$A$16:$U$150,20,FALSE)</f>
        <v xml:space="preserve">CLIENT </v>
      </c>
      <c r="U68" s="9"/>
    </row>
    <row r="69" spans="1:21" ht="40.5" customHeight="1" x14ac:dyDescent="0.35">
      <c r="A69" s="1">
        <v>56800015</v>
      </c>
      <c r="B69" s="2">
        <v>46038.638506944444</v>
      </c>
      <c r="C69" s="1">
        <v>58668806</v>
      </c>
      <c r="D69" s="2">
        <v>46073.619537037041</v>
      </c>
      <c r="E69" s="1" t="s">
        <v>32</v>
      </c>
      <c r="F69" s="1" t="s">
        <v>178</v>
      </c>
      <c r="G69" s="1">
        <v>777748203</v>
      </c>
      <c r="H69" s="1" t="s">
        <v>179</v>
      </c>
      <c r="I69" s="1" t="s">
        <v>2</v>
      </c>
      <c r="J69" s="1" t="s">
        <v>10</v>
      </c>
      <c r="K69" s="1" t="s">
        <v>30</v>
      </c>
      <c r="L69" s="1" t="s">
        <v>12</v>
      </c>
      <c r="M69" s="1" t="s">
        <v>6</v>
      </c>
      <c r="N69" s="1" t="s">
        <v>13</v>
      </c>
      <c r="O69" s="1" t="s">
        <v>72</v>
      </c>
      <c r="P69" s="1" t="s">
        <v>2</v>
      </c>
      <c r="Q69" s="3">
        <v>293000</v>
      </c>
      <c r="R69" s="7">
        <f>VLOOKUP(A69,[1]pipe!$A$1:$U$150,18,FALSE)</f>
        <v>31</v>
      </c>
      <c r="S69" s="7" t="str">
        <f>VLOOKUP(A69,[1]pipe!$A$1:$U$150,19,FALSE)</f>
        <v>Oui</v>
      </c>
      <c r="T69" s="7" t="str">
        <f>VLOOKUP(A69,[1]pipe!$A$16:$U$150,20,FALSE)</f>
        <v>OCI</v>
      </c>
      <c r="U69" s="9"/>
    </row>
    <row r="70" spans="1:21" ht="39" customHeight="1" x14ac:dyDescent="0.35">
      <c r="A70" s="1">
        <v>56970346</v>
      </c>
      <c r="B70" s="2">
        <v>46042.557280092595</v>
      </c>
      <c r="C70" s="1">
        <v>59242054</v>
      </c>
      <c r="D70" s="2">
        <v>46083.719525462962</v>
      </c>
      <c r="E70" s="1" t="s">
        <v>40</v>
      </c>
      <c r="F70" s="1" t="s">
        <v>180</v>
      </c>
      <c r="G70" s="1">
        <v>708667658</v>
      </c>
      <c r="H70" s="1" t="s">
        <v>181</v>
      </c>
      <c r="I70" s="1" t="s">
        <v>2</v>
      </c>
      <c r="J70" s="1" t="s">
        <v>35</v>
      </c>
      <c r="K70" s="1" t="s">
        <v>30</v>
      </c>
      <c r="L70" s="1" t="s">
        <v>36</v>
      </c>
      <c r="M70" s="1" t="s">
        <v>6</v>
      </c>
      <c r="N70" s="1" t="s">
        <v>13</v>
      </c>
      <c r="O70" s="1" t="s">
        <v>72</v>
      </c>
      <c r="P70" s="1" t="s">
        <v>2</v>
      </c>
      <c r="Q70" s="3">
        <v>2871414</v>
      </c>
      <c r="R70" s="7">
        <f>VLOOKUP(A70,[1]pipe!$A$1:$U$150,18,FALSE)</f>
        <v>29</v>
      </c>
      <c r="S70" s="7" t="s">
        <v>393</v>
      </c>
      <c r="T70" s="7" t="s">
        <v>307</v>
      </c>
      <c r="U70" s="9" t="s">
        <v>394</v>
      </c>
    </row>
    <row r="71" spans="1:21" ht="40.5" customHeight="1" x14ac:dyDescent="0.35">
      <c r="A71" s="1">
        <v>57111758</v>
      </c>
      <c r="B71" s="2">
        <v>46044.694849537038</v>
      </c>
      <c r="C71" s="1">
        <v>57898966</v>
      </c>
      <c r="D71" s="2">
        <v>46059.499050925922</v>
      </c>
      <c r="E71" s="1" t="s">
        <v>15</v>
      </c>
      <c r="F71" s="1" t="s">
        <v>182</v>
      </c>
      <c r="G71" s="1">
        <v>171161677</v>
      </c>
      <c r="H71" s="1" t="s">
        <v>183</v>
      </c>
      <c r="I71" s="1">
        <v>1784416</v>
      </c>
      <c r="J71" s="1" t="s">
        <v>78</v>
      </c>
      <c r="K71" s="1" t="s">
        <v>30</v>
      </c>
      <c r="L71" s="1" t="s">
        <v>36</v>
      </c>
      <c r="M71" s="1" t="s">
        <v>25</v>
      </c>
      <c r="N71" s="1" t="s">
        <v>13</v>
      </c>
      <c r="O71" s="1" t="s">
        <v>184</v>
      </c>
      <c r="P71" s="1" t="s">
        <v>2</v>
      </c>
      <c r="Q71" s="1" t="s">
        <v>2</v>
      </c>
      <c r="R71" s="7">
        <f>VLOOKUP(A71,[1]pipe!$A$1:$U$150,18,FALSE)</f>
        <v>27</v>
      </c>
      <c r="S71" s="7" t="str">
        <f>VLOOKUP(A71,[1]pipe!$A$1:$U$150,19,FALSE)</f>
        <v>Non</v>
      </c>
      <c r="T71" s="7" t="str">
        <f>VLOOKUP(A71,[1]pipe!$A$16:$U$150,20,FALSE)</f>
        <v>N/A</v>
      </c>
      <c r="U71" s="9"/>
    </row>
    <row r="72" spans="1:21" ht="39" x14ac:dyDescent="0.35">
      <c r="A72" s="1">
        <v>57111764</v>
      </c>
      <c r="B72" s="2">
        <v>46044.694884259261</v>
      </c>
      <c r="C72" s="1">
        <v>57901159</v>
      </c>
      <c r="D72" s="2">
        <v>46059.513090277775</v>
      </c>
      <c r="E72" s="1" t="s">
        <v>15</v>
      </c>
      <c r="F72" s="1" t="s">
        <v>182</v>
      </c>
      <c r="G72" s="1">
        <v>171161677</v>
      </c>
      <c r="H72" s="1" t="s">
        <v>185</v>
      </c>
      <c r="I72" s="1" t="s">
        <v>2</v>
      </c>
      <c r="J72" s="1" t="s">
        <v>35</v>
      </c>
      <c r="K72" s="1" t="s">
        <v>30</v>
      </c>
      <c r="L72" s="1" t="s">
        <v>36</v>
      </c>
      <c r="M72" s="1" t="s">
        <v>47</v>
      </c>
      <c r="N72" s="1" t="s">
        <v>13</v>
      </c>
      <c r="O72" s="1" t="s">
        <v>186</v>
      </c>
      <c r="P72" s="1" t="s">
        <v>2</v>
      </c>
      <c r="Q72" s="1">
        <v>0</v>
      </c>
      <c r="R72" s="7">
        <f>VLOOKUP(A72,[1]pipe!$A$1:$U$150,18,FALSE)</f>
        <v>27</v>
      </c>
      <c r="S72" s="7" t="str">
        <f>VLOOKUP(A72,[1]pipe!$A$1:$U$150,19,FALSE)</f>
        <v>Non</v>
      </c>
      <c r="T72" s="7" t="str">
        <f>VLOOKUP(A72,[1]pipe!$A$16:$U$150,20,FALSE)</f>
        <v>N/A</v>
      </c>
      <c r="U72" s="9"/>
    </row>
    <row r="73" spans="1:21" ht="40.5" customHeight="1" x14ac:dyDescent="0.35">
      <c r="A73" s="1">
        <v>57157406</v>
      </c>
      <c r="B73" s="2">
        <v>46045.608391203707</v>
      </c>
      <c r="C73" s="1">
        <v>57671501</v>
      </c>
      <c r="D73" s="2">
        <v>46055.709131944444</v>
      </c>
      <c r="E73" s="1" t="s">
        <v>15</v>
      </c>
      <c r="F73" s="1" t="s">
        <v>187</v>
      </c>
      <c r="G73" s="1">
        <v>787682110</v>
      </c>
      <c r="H73" s="1" t="s">
        <v>188</v>
      </c>
      <c r="I73" s="1">
        <v>1787266</v>
      </c>
      <c r="J73" s="1" t="s">
        <v>78</v>
      </c>
      <c r="K73" s="1" t="s">
        <v>30</v>
      </c>
      <c r="L73" s="1" t="s">
        <v>36</v>
      </c>
      <c r="M73" s="1" t="s">
        <v>25</v>
      </c>
      <c r="N73" s="1" t="s">
        <v>13</v>
      </c>
      <c r="O73" s="1" t="s">
        <v>189</v>
      </c>
      <c r="P73" s="1" t="s">
        <v>2</v>
      </c>
      <c r="Q73" s="1" t="s">
        <v>2</v>
      </c>
      <c r="R73" s="7">
        <f>VLOOKUP(A73,[1]pipe!$A$1:$U$150,18,FALSE)</f>
        <v>26</v>
      </c>
      <c r="S73" s="7" t="str">
        <f>VLOOKUP(A73,[1]pipe!$A$1:$U$150,19,FALSE)</f>
        <v>Non</v>
      </c>
      <c r="T73" s="7" t="str">
        <f>VLOOKUP(A73,[1]pipe!$A$16:$U$150,20,FALSE)</f>
        <v>N/A</v>
      </c>
      <c r="U73" s="9"/>
    </row>
    <row r="74" spans="1:21" ht="52" x14ac:dyDescent="0.35">
      <c r="A74" s="1">
        <v>57157435</v>
      </c>
      <c r="B74" s="2">
        <v>46045.608460648145</v>
      </c>
      <c r="C74" s="1">
        <v>57671608</v>
      </c>
      <c r="D74" s="2">
        <v>46055.709560185183</v>
      </c>
      <c r="E74" s="1" t="s">
        <v>15</v>
      </c>
      <c r="F74" s="1" t="s">
        <v>187</v>
      </c>
      <c r="G74" s="1">
        <v>787682110</v>
      </c>
      <c r="H74" s="1" t="s">
        <v>45</v>
      </c>
      <c r="I74" s="1" t="s">
        <v>2</v>
      </c>
      <c r="J74" s="1" t="s">
        <v>35</v>
      </c>
      <c r="K74" s="1" t="s">
        <v>30</v>
      </c>
      <c r="L74" s="1" t="s">
        <v>36</v>
      </c>
      <c r="M74" s="1" t="s">
        <v>47</v>
      </c>
      <c r="N74" s="1" t="s">
        <v>13</v>
      </c>
      <c r="O74" s="1" t="s">
        <v>67</v>
      </c>
      <c r="P74" s="1" t="s">
        <v>2</v>
      </c>
      <c r="Q74" s="1">
        <v>0</v>
      </c>
      <c r="R74" s="7">
        <f>VLOOKUP(A74,[1]pipe!$A$1:$U$150,18,FALSE)</f>
        <v>26</v>
      </c>
      <c r="S74" s="7" t="str">
        <f>VLOOKUP(A74,[1]pipe!$A$1:$U$150,19,FALSE)</f>
        <v>Non</v>
      </c>
      <c r="T74" s="7" t="str">
        <f>VLOOKUP(A74,[1]pipe!$A$16:$U$150,20,FALSE)</f>
        <v>N/A</v>
      </c>
      <c r="U74" s="9"/>
    </row>
    <row r="75" spans="1:21" ht="26" x14ac:dyDescent="0.35">
      <c r="A75" s="1">
        <v>57398181</v>
      </c>
      <c r="B75" s="2">
        <v>46050.584374999999</v>
      </c>
      <c r="C75" s="1">
        <v>59095417</v>
      </c>
      <c r="D75" s="2">
        <v>46080.738333333335</v>
      </c>
      <c r="E75" s="1" t="s">
        <v>32</v>
      </c>
      <c r="F75" s="1" t="s">
        <v>190</v>
      </c>
      <c r="G75" s="1">
        <v>720631500</v>
      </c>
      <c r="H75" s="1" t="s">
        <v>191</v>
      </c>
      <c r="I75" s="1" t="s">
        <v>2</v>
      </c>
      <c r="J75" s="1" t="s">
        <v>35</v>
      </c>
      <c r="K75" s="1" t="s">
        <v>30</v>
      </c>
      <c r="L75" s="1" t="s">
        <v>36</v>
      </c>
      <c r="M75" s="1" t="s">
        <v>6</v>
      </c>
      <c r="N75" s="1" t="s">
        <v>13</v>
      </c>
      <c r="O75" s="1" t="s">
        <v>192</v>
      </c>
      <c r="P75" s="1" t="s">
        <v>2</v>
      </c>
      <c r="Q75" s="3">
        <v>4406780</v>
      </c>
      <c r="R75" s="7">
        <f>VLOOKUP(A75,[1]pipe!$A$1:$U$150,18,FALSE)</f>
        <v>23</v>
      </c>
      <c r="S75" s="7" t="str">
        <f>VLOOKUP(A75,[1]pipe!$A$1:$U$150,19,FALSE)</f>
        <v>Non</v>
      </c>
      <c r="T75" s="7" t="str">
        <f>VLOOKUP(A75,[1]pipe!$A$16:$U$150,20,FALSE)</f>
        <v>OCI</v>
      </c>
      <c r="U75" s="9"/>
    </row>
    <row r="76" spans="1:21" ht="26" x14ac:dyDescent="0.35">
      <c r="A76" s="1">
        <v>57651441</v>
      </c>
      <c r="B76" s="2">
        <v>46055.58011574074</v>
      </c>
      <c r="C76" s="1">
        <v>58955875</v>
      </c>
      <c r="D76" s="2">
        <v>46078.639594907407</v>
      </c>
      <c r="E76" s="1" t="s">
        <v>27</v>
      </c>
      <c r="F76" s="1" t="s">
        <v>193</v>
      </c>
      <c r="G76" s="1">
        <v>707079088</v>
      </c>
      <c r="H76" s="1" t="s">
        <v>194</v>
      </c>
      <c r="I76" s="1" t="s">
        <v>2</v>
      </c>
      <c r="J76" s="1" t="s">
        <v>10</v>
      </c>
      <c r="K76" s="1" t="s">
        <v>30</v>
      </c>
      <c r="L76" s="1" t="s">
        <v>12</v>
      </c>
      <c r="M76" s="1" t="s">
        <v>6</v>
      </c>
      <c r="N76" s="1" t="s">
        <v>13</v>
      </c>
      <c r="O76" s="1" t="s">
        <v>72</v>
      </c>
      <c r="P76" s="1" t="s">
        <v>2</v>
      </c>
      <c r="Q76" s="1" t="s">
        <v>195</v>
      </c>
      <c r="R76" s="7">
        <f>VLOOKUP(A76,[1]pipe!$A$1:$U$150,18,FALSE)</f>
        <v>20</v>
      </c>
      <c r="S76" s="7" t="str">
        <f>VLOOKUP(A76,[1]pipe!$A$1:$U$150,19,FALSE)</f>
        <v>Non</v>
      </c>
      <c r="T76" s="7" t="str">
        <f>VLOOKUP(A76,[1]pipe!$A$16:$U$150,20,FALSE)</f>
        <v>OCI</v>
      </c>
      <c r="U76" s="9"/>
    </row>
    <row r="77" spans="1:21" ht="46" customHeight="1" x14ac:dyDescent="0.35">
      <c r="A77" s="1">
        <v>57672103</v>
      </c>
      <c r="B77" s="2">
        <v>46055.712083333332</v>
      </c>
      <c r="C77" s="1">
        <v>58477217</v>
      </c>
      <c r="D77" s="2">
        <v>46070.620787037034</v>
      </c>
      <c r="E77" s="1" t="s">
        <v>27</v>
      </c>
      <c r="F77" s="1" t="s">
        <v>196</v>
      </c>
      <c r="G77" s="1">
        <v>707079088</v>
      </c>
      <c r="H77" s="1" t="s">
        <v>197</v>
      </c>
      <c r="I77" s="1" t="s">
        <v>2</v>
      </c>
      <c r="J77" s="1" t="s">
        <v>10</v>
      </c>
      <c r="K77" s="1" t="s">
        <v>30</v>
      </c>
      <c r="L77" s="1" t="s">
        <v>12</v>
      </c>
      <c r="M77" s="1" t="s">
        <v>6</v>
      </c>
      <c r="N77" s="1" t="s">
        <v>13</v>
      </c>
      <c r="O77" s="1" t="s">
        <v>67</v>
      </c>
      <c r="P77" s="1" t="s">
        <v>2</v>
      </c>
      <c r="Q77" s="3">
        <v>1426700</v>
      </c>
      <c r="R77" s="7">
        <f>VLOOKUP(A77,[1]pipe!$A$1:$U$150,18,FALSE)</f>
        <v>20</v>
      </c>
      <c r="S77" s="7" t="str">
        <f>VLOOKUP(A77,[1]pipe!$A$1:$U$150,19,FALSE)</f>
        <v>Non</v>
      </c>
      <c r="T77" s="7" t="str">
        <f>VLOOKUP(A77,[1]pipe!$A$16:$U$150,20,FALSE)</f>
        <v>OCI</v>
      </c>
      <c r="U77" s="9"/>
    </row>
    <row r="78" spans="1:21" ht="45" customHeight="1" x14ac:dyDescent="0.35">
      <c r="A78" s="1">
        <v>57692887</v>
      </c>
      <c r="B78" s="2">
        <v>46056.394780092596</v>
      </c>
      <c r="C78" s="1">
        <v>59406083</v>
      </c>
      <c r="D78" s="2">
        <v>46086.506342592591</v>
      </c>
      <c r="E78" s="1" t="s">
        <v>201</v>
      </c>
      <c r="F78" s="1" t="s">
        <v>198</v>
      </c>
      <c r="G78" s="1">
        <v>707109668</v>
      </c>
      <c r="H78" s="1" t="s">
        <v>199</v>
      </c>
      <c r="I78" s="1">
        <v>1798816</v>
      </c>
      <c r="J78" s="1" t="s">
        <v>78</v>
      </c>
      <c r="K78" s="1" t="s">
        <v>30</v>
      </c>
      <c r="L78" s="1" t="s">
        <v>12</v>
      </c>
      <c r="M78" s="1" t="s">
        <v>25</v>
      </c>
      <c r="N78" s="1" t="s">
        <v>96</v>
      </c>
      <c r="O78" s="1" t="s">
        <v>200</v>
      </c>
      <c r="P78" s="1" t="s">
        <v>2</v>
      </c>
      <c r="Q78" s="1" t="s">
        <v>2</v>
      </c>
      <c r="R78" s="7">
        <f>VLOOKUP(A78,[1]pipe!$A$1:$U$150,18,FALSE)</f>
        <v>19</v>
      </c>
      <c r="S78" s="7" t="str">
        <f>VLOOKUP(A78,[1]pipe!$A$1:$U$150,19,FALSE)</f>
        <v>Non</v>
      </c>
      <c r="T78" s="7" t="str">
        <f>VLOOKUP(A78,[1]pipe!$A$16:$U$150,20,FALSE)</f>
        <v xml:space="preserve">CLIENT </v>
      </c>
      <c r="U78" s="9"/>
    </row>
    <row r="79" spans="1:21" ht="26" x14ac:dyDescent="0.35">
      <c r="A79" s="1">
        <v>57706849</v>
      </c>
      <c r="B79" s="2">
        <v>46056.499166666668</v>
      </c>
      <c r="C79" s="1">
        <v>59309261</v>
      </c>
      <c r="D79" s="2">
        <v>46084.770300925928</v>
      </c>
      <c r="E79" s="1" t="s">
        <v>32</v>
      </c>
      <c r="F79" s="1" t="s">
        <v>202</v>
      </c>
      <c r="G79" s="1">
        <v>708086472</v>
      </c>
      <c r="H79" s="1" t="s">
        <v>203</v>
      </c>
      <c r="I79" s="1" t="s">
        <v>2</v>
      </c>
      <c r="J79" s="1" t="s">
        <v>35</v>
      </c>
      <c r="K79" s="1" t="s">
        <v>30</v>
      </c>
      <c r="L79" s="1" t="s">
        <v>36</v>
      </c>
      <c r="M79" s="1" t="s">
        <v>25</v>
      </c>
      <c r="N79" s="1" t="s">
        <v>13</v>
      </c>
      <c r="O79" s="1" t="s">
        <v>67</v>
      </c>
      <c r="P79" s="1" t="s">
        <v>2</v>
      </c>
      <c r="Q79" s="1">
        <v>0</v>
      </c>
      <c r="R79" s="7">
        <f>VLOOKUP(A79,[1]pipe!$A$1:$U$150,18,FALSE)</f>
        <v>19</v>
      </c>
      <c r="S79" s="7" t="str">
        <f>VLOOKUP(A79,[1]pipe!$A$1:$U$150,19,FALSE)</f>
        <v>Non</v>
      </c>
      <c r="T79" s="7" t="str">
        <f>VLOOKUP(A79,[1]pipe!$A$16:$U$150,20,FALSE)</f>
        <v xml:space="preserve">CLIENT </v>
      </c>
      <c r="U79" s="9"/>
    </row>
    <row r="80" spans="1:21" ht="39" x14ac:dyDescent="0.35">
      <c r="A80" s="1">
        <v>57771694</v>
      </c>
      <c r="B80" s="2">
        <v>46057.509652777779</v>
      </c>
      <c r="C80" s="1">
        <v>58091715</v>
      </c>
      <c r="D80" s="2">
        <v>46063.566319444442</v>
      </c>
      <c r="E80" s="1" t="s">
        <v>32</v>
      </c>
      <c r="F80" s="1" t="s">
        <v>204</v>
      </c>
      <c r="G80" s="1">
        <v>758333146</v>
      </c>
      <c r="H80" s="1" t="s">
        <v>205</v>
      </c>
      <c r="I80" s="1" t="s">
        <v>2</v>
      </c>
      <c r="J80" s="1" t="s">
        <v>35</v>
      </c>
      <c r="K80" s="1" t="s">
        <v>30</v>
      </c>
      <c r="L80" s="1" t="s">
        <v>36</v>
      </c>
      <c r="M80" s="1" t="s">
        <v>6</v>
      </c>
      <c r="N80" s="1" t="s">
        <v>13</v>
      </c>
      <c r="O80" s="1" t="s">
        <v>133</v>
      </c>
      <c r="P80" s="1" t="s">
        <v>2</v>
      </c>
      <c r="Q80" s="3">
        <v>400000</v>
      </c>
      <c r="R80" s="7">
        <f>VLOOKUP(A80,[1]pipe!$A$1:$U$150,18,FALSE)</f>
        <v>18</v>
      </c>
      <c r="S80" s="7" t="str">
        <f>VLOOKUP(A80,[1]pipe!$A$1:$U$150,19,FALSE)</f>
        <v>Oui</v>
      </c>
      <c r="T80" s="7" t="str">
        <f>VLOOKUP(A80,[1]pipe!$A$16:$U$150,20,FALSE)</f>
        <v>N/A</v>
      </c>
      <c r="U80" s="9"/>
    </row>
    <row r="81" spans="1:21" ht="42.5" customHeight="1" x14ac:dyDescent="0.35">
      <c r="A81" s="1">
        <v>57773018</v>
      </c>
      <c r="B81" s="2">
        <v>46057.517175925925</v>
      </c>
      <c r="C81" s="1">
        <v>59364843</v>
      </c>
      <c r="D81" s="2">
        <v>46085.675370370373</v>
      </c>
      <c r="E81" s="1" t="s">
        <v>157</v>
      </c>
      <c r="F81" s="1" t="s">
        <v>206</v>
      </c>
      <c r="G81" s="1">
        <v>758333146</v>
      </c>
      <c r="H81" s="1" t="s">
        <v>207</v>
      </c>
      <c r="I81" s="1" t="s">
        <v>2</v>
      </c>
      <c r="J81" s="1" t="s">
        <v>35</v>
      </c>
      <c r="K81" s="1" t="s">
        <v>208</v>
      </c>
      <c r="L81" s="1" t="s">
        <v>36</v>
      </c>
      <c r="M81" s="1" t="s">
        <v>6</v>
      </c>
      <c r="N81" s="1" t="s">
        <v>13</v>
      </c>
      <c r="O81" s="1" t="s">
        <v>67</v>
      </c>
      <c r="P81" s="1" t="s">
        <v>2</v>
      </c>
      <c r="Q81" s="3">
        <v>400000</v>
      </c>
      <c r="R81" s="7">
        <f>VLOOKUP(A81,[1]pipe!$A$1:$U$150,18,FALSE)</f>
        <v>18</v>
      </c>
      <c r="S81" s="7" t="str">
        <f>VLOOKUP(A81,[1]pipe!$A$1:$U$150,19,FALSE)</f>
        <v>Non</v>
      </c>
      <c r="T81" s="7" t="str">
        <f>VLOOKUP(A81,[1]pipe!$A$16:$U$150,20,FALSE)</f>
        <v>N/A</v>
      </c>
      <c r="U81" s="9"/>
    </row>
    <row r="82" spans="1:21" ht="26" x14ac:dyDescent="0.35">
      <c r="A82" s="1">
        <v>57849095</v>
      </c>
      <c r="B82" s="2">
        <v>46058.603668981479</v>
      </c>
      <c r="C82" s="1">
        <v>59095581</v>
      </c>
      <c r="D82" s="2">
        <v>46080.74046296296</v>
      </c>
      <c r="E82" s="1" t="s">
        <v>32</v>
      </c>
      <c r="F82" s="1" t="s">
        <v>198</v>
      </c>
      <c r="G82" s="1">
        <v>707109668</v>
      </c>
      <c r="H82" s="1" t="s">
        <v>209</v>
      </c>
      <c r="I82" s="1" t="s">
        <v>2</v>
      </c>
      <c r="J82" s="1" t="s">
        <v>82</v>
      </c>
      <c r="K82" s="1" t="s">
        <v>30</v>
      </c>
      <c r="L82" s="1" t="s">
        <v>12</v>
      </c>
      <c r="M82" s="1" t="s">
        <v>6</v>
      </c>
      <c r="N82" s="1" t="s">
        <v>13</v>
      </c>
      <c r="O82" s="1" t="s">
        <v>210</v>
      </c>
      <c r="P82" s="1" t="s">
        <v>2</v>
      </c>
      <c r="Q82" s="1" t="s">
        <v>2</v>
      </c>
      <c r="R82" s="7">
        <f>VLOOKUP(A82,[1]pipe!$A$1:$U$150,18,FALSE)</f>
        <v>17</v>
      </c>
      <c r="S82" s="7" t="str">
        <f>VLOOKUP(A82,[1]pipe!$A$1:$U$150,19,FALSE)</f>
        <v>Non</v>
      </c>
      <c r="T82" s="7" t="str">
        <f>VLOOKUP(A82,[1]pipe!$A$16:$U$150,20,FALSE)</f>
        <v xml:space="preserve">CLIENT </v>
      </c>
      <c r="U82" s="9"/>
    </row>
    <row r="83" spans="1:21" ht="35" customHeight="1" x14ac:dyDescent="0.35">
      <c r="A83" s="1">
        <v>57868769</v>
      </c>
      <c r="B83" s="2">
        <v>46058.739907407406</v>
      </c>
      <c r="C83" s="1">
        <v>59427527</v>
      </c>
      <c r="D83" s="2">
        <v>46086.667175925926</v>
      </c>
      <c r="E83" s="1" t="s">
        <v>97</v>
      </c>
      <c r="F83" s="1" t="s">
        <v>211</v>
      </c>
      <c r="G83" s="1">
        <v>575480452</v>
      </c>
      <c r="H83" s="1" t="s">
        <v>162</v>
      </c>
      <c r="I83" s="1" t="s">
        <v>2</v>
      </c>
      <c r="J83" s="1" t="s">
        <v>35</v>
      </c>
      <c r="K83" s="1" t="s">
        <v>30</v>
      </c>
      <c r="L83" s="1" t="s">
        <v>36</v>
      </c>
      <c r="M83" s="1" t="s">
        <v>6</v>
      </c>
      <c r="N83" s="1" t="s">
        <v>13</v>
      </c>
      <c r="O83" s="1" t="s">
        <v>212</v>
      </c>
      <c r="P83" s="1" t="s">
        <v>2</v>
      </c>
      <c r="Q83" s="1">
        <v>0</v>
      </c>
      <c r="R83" s="7">
        <f>VLOOKUP(A83,[1]pipe!$A$1:$U$150,18,FALSE)</f>
        <v>17</v>
      </c>
      <c r="S83" s="7" t="str">
        <f>VLOOKUP(A83,[1]pipe!$A$1:$U$150,19,FALSE)</f>
        <v>Non</v>
      </c>
      <c r="T83" s="7" t="str">
        <f>VLOOKUP(A83,[1]pipe!$A$16:$U$150,20,FALSE)</f>
        <v>N/A</v>
      </c>
      <c r="U83" s="9"/>
    </row>
    <row r="84" spans="1:21" ht="52" x14ac:dyDescent="0.35">
      <c r="A84" s="1">
        <v>57899728</v>
      </c>
      <c r="B84" s="2">
        <v>46059.503668981481</v>
      </c>
      <c r="C84" s="1">
        <v>59053570</v>
      </c>
      <c r="D84" s="2">
        <v>46080.432372685187</v>
      </c>
      <c r="E84" s="1" t="s">
        <v>27</v>
      </c>
      <c r="F84" s="1" t="s">
        <v>214</v>
      </c>
      <c r="G84" s="1">
        <v>505980067</v>
      </c>
      <c r="H84" s="1" t="s">
        <v>215</v>
      </c>
      <c r="I84" s="1" t="s">
        <v>2</v>
      </c>
      <c r="J84" s="1" t="s">
        <v>35</v>
      </c>
      <c r="K84" s="1" t="s">
        <v>30</v>
      </c>
      <c r="L84" s="1" t="s">
        <v>12</v>
      </c>
      <c r="M84" s="1" t="s">
        <v>6</v>
      </c>
      <c r="N84" s="1" t="s">
        <v>13</v>
      </c>
      <c r="O84" s="1" t="s">
        <v>216</v>
      </c>
      <c r="P84" s="1" t="s">
        <v>2</v>
      </c>
      <c r="Q84" s="3">
        <v>1002937</v>
      </c>
      <c r="R84" s="7">
        <f>VLOOKUP(A84,[1]pipe!$A$1:$U$150,18,FALSE)</f>
        <v>16</v>
      </c>
      <c r="S84" s="7" t="str">
        <f>VLOOKUP(A84,[1]pipe!$A$1:$U$150,19,FALSE)</f>
        <v>Non</v>
      </c>
      <c r="T84" s="7" t="s">
        <v>384</v>
      </c>
      <c r="U84" s="9" t="s">
        <v>395</v>
      </c>
    </row>
    <row r="85" spans="1:21" ht="62.5" customHeight="1" x14ac:dyDescent="0.35">
      <c r="A85" s="1">
        <v>57900967</v>
      </c>
      <c r="B85" s="2">
        <v>46059.51226851852</v>
      </c>
      <c r="C85" s="1">
        <v>59005729</v>
      </c>
      <c r="D85" s="2">
        <v>46079.535138888888</v>
      </c>
      <c r="E85" s="1" t="s">
        <v>15</v>
      </c>
      <c r="F85" s="1" t="s">
        <v>217</v>
      </c>
      <c r="G85" s="1">
        <v>505980067</v>
      </c>
      <c r="H85" s="1" t="s">
        <v>218</v>
      </c>
      <c r="I85" s="1">
        <v>1811806</v>
      </c>
      <c r="J85" s="1" t="s">
        <v>20</v>
      </c>
      <c r="K85" s="1" t="s">
        <v>30</v>
      </c>
      <c r="L85" s="1" t="s">
        <v>12</v>
      </c>
      <c r="M85" s="1" t="s">
        <v>104</v>
      </c>
      <c r="N85" s="1" t="s">
        <v>13</v>
      </c>
      <c r="O85" s="1" t="s">
        <v>219</v>
      </c>
      <c r="P85" s="1" t="s">
        <v>2</v>
      </c>
      <c r="Q85" s="3">
        <v>1388682</v>
      </c>
      <c r="R85" s="7">
        <f>VLOOKUP(A85,[1]pipe!$A$1:$U$150,18,FALSE)</f>
        <v>16</v>
      </c>
      <c r="S85" s="7" t="str">
        <f>VLOOKUP(A85,[1]pipe!$A$1:$U$150,19,FALSE)</f>
        <v>Non</v>
      </c>
      <c r="T85" s="7" t="str">
        <f>VLOOKUP(A85,[1]pipe!$A$16:$U$150,20,FALSE)</f>
        <v>N/A</v>
      </c>
      <c r="U85" s="9"/>
    </row>
    <row r="86" spans="1:21" ht="36" customHeight="1" x14ac:dyDescent="0.35">
      <c r="A86" s="1">
        <v>57917222</v>
      </c>
      <c r="B86" s="2">
        <v>46059.640532407408</v>
      </c>
      <c r="C86" s="1">
        <v>58471099</v>
      </c>
      <c r="D86" s="2">
        <v>46070.569340277776</v>
      </c>
      <c r="E86" s="1" t="s">
        <v>32</v>
      </c>
      <c r="F86" s="1" t="s">
        <v>220</v>
      </c>
      <c r="G86" s="1">
        <v>575750228</v>
      </c>
      <c r="H86" s="1" t="s">
        <v>221</v>
      </c>
      <c r="I86" s="1" t="s">
        <v>2</v>
      </c>
      <c r="J86" s="1" t="s">
        <v>35</v>
      </c>
      <c r="K86" s="1" t="s">
        <v>30</v>
      </c>
      <c r="L86" s="1" t="s">
        <v>36</v>
      </c>
      <c r="M86" s="1" t="s">
        <v>93</v>
      </c>
      <c r="N86" s="1" t="s">
        <v>13</v>
      </c>
      <c r="O86" s="1" t="s">
        <v>72</v>
      </c>
      <c r="P86" s="1" t="s">
        <v>2</v>
      </c>
      <c r="Q86" s="3">
        <v>577058</v>
      </c>
      <c r="R86" s="7">
        <f>VLOOKUP(A86,[1]pipe!$A$1:$U$150,18,FALSE)</f>
        <v>16</v>
      </c>
      <c r="S86" s="7" t="str">
        <f>VLOOKUP(A86,[1]pipe!$A$1:$U$150,19,FALSE)</f>
        <v>Non</v>
      </c>
      <c r="T86" s="7" t="str">
        <f>VLOOKUP(A86,[1]pipe!$A$16:$U$150,20,FALSE)</f>
        <v>N/A</v>
      </c>
      <c r="U86" s="9"/>
    </row>
    <row r="87" spans="1:21" ht="37.5" customHeight="1" x14ac:dyDescent="0.35">
      <c r="A87" s="1">
        <v>57932962</v>
      </c>
      <c r="B87" s="2">
        <v>46059.784583333334</v>
      </c>
      <c r="C87" s="1">
        <v>59436601</v>
      </c>
      <c r="D87" s="2">
        <v>46086.72991898148</v>
      </c>
      <c r="E87" s="1" t="s">
        <v>213</v>
      </c>
      <c r="F87" s="1" t="s">
        <v>222</v>
      </c>
      <c r="G87" s="1">
        <v>708392808</v>
      </c>
      <c r="H87" s="1" t="s">
        <v>42</v>
      </c>
      <c r="I87" s="1">
        <v>1827266</v>
      </c>
      <c r="J87" s="1" t="s">
        <v>78</v>
      </c>
      <c r="K87" s="1" t="s">
        <v>11</v>
      </c>
      <c r="L87" s="1" t="s">
        <v>36</v>
      </c>
      <c r="M87" s="1" t="s">
        <v>104</v>
      </c>
      <c r="N87" s="1" t="s">
        <v>13</v>
      </c>
      <c r="O87" s="1" t="s">
        <v>223</v>
      </c>
      <c r="P87" s="1" t="s">
        <v>2</v>
      </c>
      <c r="Q87" s="3">
        <v>500000</v>
      </c>
      <c r="R87" s="7">
        <f>VLOOKUP(A87,[1]pipe!$A$1:$U$150,18,FALSE)</f>
        <v>16</v>
      </c>
      <c r="S87" s="7" t="str">
        <f>VLOOKUP(A87,[1]pipe!$A$1:$U$150,19,FALSE)</f>
        <v>Non</v>
      </c>
      <c r="T87" s="7" t="str">
        <f>VLOOKUP(A87,[1]pipe!$A$16:$U$150,20,FALSE)</f>
        <v>N/A</v>
      </c>
      <c r="U87" s="9"/>
    </row>
    <row r="88" spans="1:21" ht="26" x14ac:dyDescent="0.35">
      <c r="A88" s="1">
        <v>58055656</v>
      </c>
      <c r="B88" s="2">
        <v>46062.760023148148</v>
      </c>
      <c r="C88" s="1">
        <v>58688846</v>
      </c>
      <c r="D88" s="2">
        <v>46073.816388888888</v>
      </c>
      <c r="E88" s="1" t="s">
        <v>32</v>
      </c>
      <c r="F88" s="1" t="s">
        <v>224</v>
      </c>
      <c r="G88" s="1">
        <v>758224257</v>
      </c>
      <c r="H88" s="1" t="s">
        <v>225</v>
      </c>
      <c r="I88" s="1" t="s">
        <v>2</v>
      </c>
      <c r="J88" s="1" t="s">
        <v>35</v>
      </c>
      <c r="K88" s="1" t="s">
        <v>30</v>
      </c>
      <c r="L88" s="1" t="s">
        <v>36</v>
      </c>
      <c r="M88" s="1" t="s">
        <v>6</v>
      </c>
      <c r="N88" s="1" t="s">
        <v>13</v>
      </c>
      <c r="O88" s="1" t="s">
        <v>31</v>
      </c>
      <c r="P88" s="1" t="s">
        <v>2</v>
      </c>
      <c r="Q88" s="3">
        <v>1800000</v>
      </c>
      <c r="R88" s="7">
        <f>VLOOKUP(A88,[1]pipe!$A$1:$U$150,18,FALSE)</f>
        <v>15</v>
      </c>
      <c r="S88" s="7" t="str">
        <f>VLOOKUP(A88,[1]pipe!$A$1:$U$150,19,FALSE)</f>
        <v>Non</v>
      </c>
      <c r="T88" s="7" t="str">
        <f>VLOOKUP(A88,[1]pipe!$A$16:$U$150,20,FALSE)</f>
        <v>OCI</v>
      </c>
      <c r="U88" s="9"/>
    </row>
    <row r="89" spans="1:21" ht="26" x14ac:dyDescent="0.35">
      <c r="A89" s="1">
        <v>58093827</v>
      </c>
      <c r="B89" s="2">
        <v>46063.583402777775</v>
      </c>
      <c r="C89" s="1">
        <v>59292813</v>
      </c>
      <c r="D89" s="2">
        <v>46084.631550925929</v>
      </c>
      <c r="E89" s="1" t="s">
        <v>15</v>
      </c>
      <c r="F89" s="1" t="s">
        <v>41</v>
      </c>
      <c r="G89" s="1">
        <v>708086759</v>
      </c>
      <c r="H89" s="1" t="s">
        <v>226</v>
      </c>
      <c r="I89" s="1" t="s">
        <v>2</v>
      </c>
      <c r="J89" s="1" t="s">
        <v>35</v>
      </c>
      <c r="K89" s="1" t="s">
        <v>30</v>
      </c>
      <c r="L89" s="1" t="s">
        <v>36</v>
      </c>
      <c r="M89" s="1" t="s">
        <v>25</v>
      </c>
      <c r="N89" s="1" t="s">
        <v>13</v>
      </c>
      <c r="O89" s="1" t="s">
        <v>227</v>
      </c>
      <c r="P89" s="1" t="s">
        <v>2</v>
      </c>
      <c r="Q89" s="1" t="s">
        <v>2</v>
      </c>
      <c r="R89" s="7">
        <f>VLOOKUP(A89,[1]pipe!$A$1:$U$150,18,FALSE)</f>
        <v>14</v>
      </c>
      <c r="S89" s="7" t="str">
        <f>VLOOKUP(A89,[1]pipe!$A$1:$U$150,19,FALSE)</f>
        <v>Non</v>
      </c>
      <c r="T89" s="7" t="str">
        <f>VLOOKUP(A89,[1]pipe!$A$16:$U$150,20,FALSE)</f>
        <v>N/A</v>
      </c>
      <c r="U89" s="9" t="str">
        <f>VLOOKUP(A89,[1]pipe!$A$16:$U$150,21,FALSE)</f>
        <v>Survey en cours</v>
      </c>
    </row>
    <row r="90" spans="1:21" ht="39" x14ac:dyDescent="0.35">
      <c r="A90" s="1">
        <v>58093843</v>
      </c>
      <c r="B90" s="2">
        <v>46063.583460648151</v>
      </c>
      <c r="C90" s="1">
        <v>58667700</v>
      </c>
      <c r="D90" s="2">
        <v>46073.611655092594</v>
      </c>
      <c r="E90" s="1" t="s">
        <v>15</v>
      </c>
      <c r="F90" s="1" t="s">
        <v>41</v>
      </c>
      <c r="G90" s="1">
        <v>708086759</v>
      </c>
      <c r="H90" s="1" t="s">
        <v>226</v>
      </c>
      <c r="I90" s="1" t="s">
        <v>2</v>
      </c>
      <c r="J90" s="1" t="s">
        <v>35</v>
      </c>
      <c r="K90" s="1" t="s">
        <v>30</v>
      </c>
      <c r="L90" s="1" t="s">
        <v>36</v>
      </c>
      <c r="M90" s="1" t="s">
        <v>47</v>
      </c>
      <c r="N90" s="1" t="s">
        <v>13</v>
      </c>
      <c r="O90" s="1" t="s">
        <v>228</v>
      </c>
      <c r="P90" s="1" t="s">
        <v>2</v>
      </c>
      <c r="Q90" s="1">
        <v>0</v>
      </c>
      <c r="R90" s="7">
        <f>VLOOKUP(A90,[1]pipe!$A$1:$U$150,18,FALSE)</f>
        <v>14</v>
      </c>
      <c r="S90" s="7" t="str">
        <f>VLOOKUP(A90,[1]pipe!$A$1:$U$150,19,FALSE)</f>
        <v>Non</v>
      </c>
      <c r="T90" s="7" t="str">
        <f>VLOOKUP(A90,[1]pipe!$A$16:$U$150,20,FALSE)</f>
        <v>N/A</v>
      </c>
      <c r="U90" s="9" t="str">
        <f>VLOOKUP(A90,[1]pipe!$A$16:$U$150,21,FALSE)</f>
        <v>Demande à annuler</v>
      </c>
    </row>
    <row r="91" spans="1:21" ht="26" x14ac:dyDescent="0.35">
      <c r="A91" s="1">
        <v>58096761</v>
      </c>
      <c r="B91" s="2">
        <v>46063.603229166663</v>
      </c>
      <c r="C91" s="1">
        <v>58688791</v>
      </c>
      <c r="D91" s="2">
        <v>46073.814432870371</v>
      </c>
      <c r="E91" s="1" t="s">
        <v>32</v>
      </c>
      <c r="F91" s="1" t="s">
        <v>41</v>
      </c>
      <c r="G91" s="1">
        <v>708086759</v>
      </c>
      <c r="H91" s="1" t="s">
        <v>226</v>
      </c>
      <c r="I91" s="1" t="s">
        <v>2</v>
      </c>
      <c r="J91" s="1" t="s">
        <v>10</v>
      </c>
      <c r="K91" s="1" t="s">
        <v>30</v>
      </c>
      <c r="L91" s="1" t="s">
        <v>12</v>
      </c>
      <c r="M91" s="1" t="s">
        <v>25</v>
      </c>
      <c r="N91" s="1" t="s">
        <v>13</v>
      </c>
      <c r="O91" s="1" t="s">
        <v>229</v>
      </c>
      <c r="P91" s="1" t="s">
        <v>2</v>
      </c>
      <c r="Q91" s="1" t="s">
        <v>2</v>
      </c>
      <c r="R91" s="7">
        <f>VLOOKUP(A91,[1]pipe!$A$1:$U$150,18,FALSE)</f>
        <v>14</v>
      </c>
      <c r="S91" s="7" t="str">
        <f>VLOOKUP(A91,[1]pipe!$A$1:$U$150,19,FALSE)</f>
        <v>Non</v>
      </c>
      <c r="T91" s="7" t="str">
        <f>VLOOKUP(A91,[1]pipe!$A$16:$U$150,20,FALSE)</f>
        <v>N/A</v>
      </c>
      <c r="U91" s="9" t="str">
        <f>VLOOKUP(A91,[1]pipe!$A$16:$U$150,21,FALSE)</f>
        <v>Survey en cours</v>
      </c>
    </row>
    <row r="92" spans="1:21" ht="39" x14ac:dyDescent="0.35">
      <c r="A92" s="1">
        <v>58096775</v>
      </c>
      <c r="B92" s="2">
        <v>46063.603263888886</v>
      </c>
      <c r="C92" s="1">
        <v>58655959</v>
      </c>
      <c r="D92" s="2">
        <v>46073.525740740741</v>
      </c>
      <c r="E92" s="1" t="s">
        <v>15</v>
      </c>
      <c r="F92" s="1" t="s">
        <v>41</v>
      </c>
      <c r="G92" s="1">
        <v>708086759</v>
      </c>
      <c r="H92" s="1" t="s">
        <v>226</v>
      </c>
      <c r="I92" s="1" t="s">
        <v>2</v>
      </c>
      <c r="J92" s="1" t="s">
        <v>10</v>
      </c>
      <c r="K92" s="1" t="s">
        <v>30</v>
      </c>
      <c r="L92" s="1" t="s">
        <v>12</v>
      </c>
      <c r="M92" s="1" t="s">
        <v>47</v>
      </c>
      <c r="N92" s="1" t="s">
        <v>13</v>
      </c>
      <c r="O92" s="1" t="s">
        <v>230</v>
      </c>
      <c r="P92" s="1" t="s">
        <v>2</v>
      </c>
      <c r="Q92" s="1">
        <v>0</v>
      </c>
      <c r="R92" s="7">
        <f>VLOOKUP(A92,[1]pipe!$A$1:$U$150,18,FALSE)</f>
        <v>14</v>
      </c>
      <c r="S92" s="7" t="str">
        <f>VLOOKUP(A92,[1]pipe!$A$1:$U$150,19,FALSE)</f>
        <v>Non</v>
      </c>
      <c r="T92" s="7" t="str">
        <f>VLOOKUP(A92,[1]pipe!$A$16:$U$150,20,FALSE)</f>
        <v>N/A</v>
      </c>
      <c r="U92" s="9" t="str">
        <f>VLOOKUP(A92,[1]pipe!$A$16:$U$150,21,FALSE)</f>
        <v>Demande à annuler</v>
      </c>
    </row>
    <row r="93" spans="1:21" ht="39" x14ac:dyDescent="0.35">
      <c r="A93" s="1">
        <v>58136263</v>
      </c>
      <c r="B93" s="2">
        <v>46064.412870370368</v>
      </c>
      <c r="C93" s="1">
        <v>59409308</v>
      </c>
      <c r="D93" s="2">
        <v>46086.530706018515</v>
      </c>
      <c r="E93" s="1" t="s">
        <v>64</v>
      </c>
      <c r="F93" s="1" t="s">
        <v>231</v>
      </c>
      <c r="G93" s="1">
        <v>707109668</v>
      </c>
      <c r="H93" s="1" t="s">
        <v>232</v>
      </c>
      <c r="I93" s="1" t="s">
        <v>2</v>
      </c>
      <c r="J93" s="1" t="s">
        <v>82</v>
      </c>
      <c r="K93" s="1" t="s">
        <v>30</v>
      </c>
      <c r="L93" s="1" t="s">
        <v>12</v>
      </c>
      <c r="M93" s="1" t="s">
        <v>6</v>
      </c>
      <c r="N93" s="1" t="s">
        <v>13</v>
      </c>
      <c r="O93" s="1" t="s">
        <v>233</v>
      </c>
      <c r="P93" s="1" t="s">
        <v>2</v>
      </c>
      <c r="Q93" s="1" t="s">
        <v>2</v>
      </c>
      <c r="R93" s="7">
        <f>VLOOKUP(A93,[1]pipe!$A$1:$U$150,18,FALSE)</f>
        <v>13</v>
      </c>
      <c r="S93" s="7" t="str">
        <f>VLOOKUP(A93,[1]pipe!$A$1:$U$150,19,FALSE)</f>
        <v>Non</v>
      </c>
      <c r="T93" s="7" t="str">
        <f>VLOOKUP(A93,[1]pipe!$A$16:$U$150,20,FALSE)</f>
        <v>N/A</v>
      </c>
      <c r="U93" s="9"/>
    </row>
    <row r="94" spans="1:21" ht="56.5" customHeight="1" x14ac:dyDescent="0.35">
      <c r="A94" s="1">
        <v>58143414</v>
      </c>
      <c r="B94" s="2">
        <v>46064.471539351849</v>
      </c>
      <c r="C94" s="1">
        <v>59422854</v>
      </c>
      <c r="D94" s="2">
        <v>46086.635694444441</v>
      </c>
      <c r="E94" s="1" t="s">
        <v>15</v>
      </c>
      <c r="F94" s="1" t="s">
        <v>234</v>
      </c>
      <c r="G94" s="1">
        <v>757687227</v>
      </c>
      <c r="H94" s="1" t="s">
        <v>235</v>
      </c>
      <c r="I94" s="1">
        <v>1810436</v>
      </c>
      <c r="J94" s="1" t="s">
        <v>78</v>
      </c>
      <c r="K94" s="1" t="s">
        <v>11</v>
      </c>
      <c r="L94" s="1" t="s">
        <v>36</v>
      </c>
      <c r="M94" s="1" t="s">
        <v>6</v>
      </c>
      <c r="N94" s="1" t="s">
        <v>13</v>
      </c>
      <c r="O94" s="1" t="s">
        <v>236</v>
      </c>
      <c r="P94" s="1" t="s">
        <v>2</v>
      </c>
      <c r="Q94" s="1">
        <v>0</v>
      </c>
      <c r="R94" s="7">
        <f>VLOOKUP(A94,[1]pipe!$A$1:$U$150,18,FALSE)</f>
        <v>13</v>
      </c>
      <c r="S94" s="7" t="str">
        <f>VLOOKUP(A94,[1]pipe!$A$1:$U$150,19,FALSE)</f>
        <v>Non</v>
      </c>
      <c r="T94" s="7" t="str">
        <f>VLOOKUP(A94,[1]pipe!$A$16:$U$150,20,FALSE)</f>
        <v>N/A</v>
      </c>
      <c r="U94" s="9"/>
    </row>
    <row r="95" spans="1:21" ht="49.5" customHeight="1" x14ac:dyDescent="0.35">
      <c r="A95" s="1">
        <v>58144220</v>
      </c>
      <c r="B95" s="2">
        <v>46064.478425925925</v>
      </c>
      <c r="C95" s="1">
        <v>58688899</v>
      </c>
      <c r="D95" s="2">
        <v>46073.817407407405</v>
      </c>
      <c r="E95" s="1" t="s">
        <v>32</v>
      </c>
      <c r="F95" s="1" t="s">
        <v>237</v>
      </c>
      <c r="G95" s="1">
        <v>2722418166</v>
      </c>
      <c r="H95" s="1" t="s">
        <v>238</v>
      </c>
      <c r="I95" s="1" t="s">
        <v>2</v>
      </c>
      <c r="J95" s="1" t="s">
        <v>10</v>
      </c>
      <c r="K95" s="1" t="s">
        <v>30</v>
      </c>
      <c r="L95" s="1" t="s">
        <v>12</v>
      </c>
      <c r="M95" s="1" t="s">
        <v>25</v>
      </c>
      <c r="N95" s="1" t="s">
        <v>13</v>
      </c>
      <c r="O95" s="1" t="s">
        <v>67</v>
      </c>
      <c r="P95" s="1" t="s">
        <v>2</v>
      </c>
      <c r="Q95" s="1">
        <v>0</v>
      </c>
      <c r="R95" s="7">
        <f>VLOOKUP(A95,[1]pipe!$A$1:$U$150,18,FALSE)</f>
        <v>13</v>
      </c>
      <c r="S95" s="7" t="str">
        <f>VLOOKUP(A95,[1]pipe!$A$1:$U$150,19,FALSE)</f>
        <v>Non</v>
      </c>
      <c r="T95" s="7" t="str">
        <f>VLOOKUP(A95,[1]pipe!$A$16:$U$150,20,FALSE)</f>
        <v>N/A</v>
      </c>
      <c r="U95" s="9"/>
    </row>
    <row r="96" spans="1:21" ht="39" x14ac:dyDescent="0.35">
      <c r="A96" s="1">
        <v>58150208</v>
      </c>
      <c r="B96" s="2">
        <v>46064.520543981482</v>
      </c>
      <c r="C96" s="1">
        <v>59415398</v>
      </c>
      <c r="D96" s="2">
        <v>46086.580127314817</v>
      </c>
      <c r="E96" s="1" t="s">
        <v>15</v>
      </c>
      <c r="F96" s="1" t="s">
        <v>239</v>
      </c>
      <c r="G96" s="1">
        <v>779491369</v>
      </c>
      <c r="H96" s="1" t="s">
        <v>240</v>
      </c>
      <c r="I96" s="1" t="s">
        <v>2</v>
      </c>
      <c r="J96" s="1" t="s">
        <v>10</v>
      </c>
      <c r="K96" s="1" t="s">
        <v>11</v>
      </c>
      <c r="L96" s="1" t="s">
        <v>12</v>
      </c>
      <c r="M96" s="1" t="s">
        <v>6</v>
      </c>
      <c r="N96" s="1" t="s">
        <v>13</v>
      </c>
      <c r="O96" s="1" t="s">
        <v>241</v>
      </c>
      <c r="P96" s="1" t="s">
        <v>2</v>
      </c>
      <c r="Q96" s="3">
        <v>2000000</v>
      </c>
      <c r="R96" s="7">
        <f>VLOOKUP(A96,[1]pipe!$A$1:$U$150,18,FALSE)</f>
        <v>13</v>
      </c>
      <c r="S96" s="7" t="str">
        <f>VLOOKUP(A96,[1]pipe!$A$1:$U$150,19,FALSE)</f>
        <v>Non</v>
      </c>
      <c r="T96" s="7" t="str">
        <f>VLOOKUP(A96,[1]pipe!$A$16:$U$150,20,FALSE)</f>
        <v>N/A</v>
      </c>
      <c r="U96" s="9"/>
    </row>
    <row r="97" spans="1:21" ht="45.5" customHeight="1" x14ac:dyDescent="0.35">
      <c r="A97" s="1">
        <v>58151683</v>
      </c>
      <c r="B97" s="2">
        <v>46064.532222222224</v>
      </c>
      <c r="C97" s="1">
        <v>58469953</v>
      </c>
      <c r="D97" s="2">
        <v>46070.55940972222</v>
      </c>
      <c r="E97" s="1" t="s">
        <v>32</v>
      </c>
      <c r="F97" s="1" t="s">
        <v>242</v>
      </c>
      <c r="G97" s="1">
        <v>2721271444</v>
      </c>
      <c r="H97" s="1" t="s">
        <v>243</v>
      </c>
      <c r="I97" s="1" t="s">
        <v>2</v>
      </c>
      <c r="J97" s="1" t="s">
        <v>35</v>
      </c>
      <c r="K97" s="1" t="s">
        <v>30</v>
      </c>
      <c r="L97" s="1" t="s">
        <v>36</v>
      </c>
      <c r="M97" s="1" t="s">
        <v>6</v>
      </c>
      <c r="N97" s="1" t="s">
        <v>13</v>
      </c>
      <c r="O97" s="1" t="s">
        <v>67</v>
      </c>
      <c r="P97" s="1" t="s">
        <v>2</v>
      </c>
      <c r="Q97" s="3">
        <v>1495965</v>
      </c>
      <c r="R97" s="7">
        <f>VLOOKUP(A97,[1]pipe!$A$1:$U$150,18,FALSE)</f>
        <v>13</v>
      </c>
      <c r="S97" s="7" t="str">
        <f>VLOOKUP(A97,[1]pipe!$A$1:$U$150,19,FALSE)</f>
        <v>Non</v>
      </c>
      <c r="T97" s="7" t="str">
        <f>VLOOKUP(A97,[1]pipe!$A$16:$U$150,20,FALSE)</f>
        <v>N/A</v>
      </c>
      <c r="U97" s="9"/>
    </row>
    <row r="98" spans="1:21" ht="65" x14ac:dyDescent="0.35">
      <c r="A98" s="1">
        <v>58163711</v>
      </c>
      <c r="B98" s="2">
        <v>46064.629108796296</v>
      </c>
      <c r="C98" s="1">
        <v>59340283</v>
      </c>
      <c r="D98" s="2">
        <v>46085.507418981484</v>
      </c>
      <c r="E98" s="1" t="s">
        <v>247</v>
      </c>
      <c r="F98" s="1" t="s">
        <v>244</v>
      </c>
      <c r="G98" s="1">
        <v>504001081</v>
      </c>
      <c r="H98" s="1" t="s">
        <v>245</v>
      </c>
      <c r="I98" s="1" t="s">
        <v>2</v>
      </c>
      <c r="J98" s="1" t="s">
        <v>10</v>
      </c>
      <c r="K98" s="1" t="s">
        <v>11</v>
      </c>
      <c r="L98" s="1" t="s">
        <v>36</v>
      </c>
      <c r="M98" s="1" t="s">
        <v>6</v>
      </c>
      <c r="N98" s="1" t="s">
        <v>13</v>
      </c>
      <c r="O98" s="1" t="s">
        <v>246</v>
      </c>
      <c r="P98" s="1" t="s">
        <v>2</v>
      </c>
      <c r="Q98" s="1">
        <v>0</v>
      </c>
      <c r="R98" s="7">
        <f>VLOOKUP(A98,[1]pipe!$A$1:$U$150,18,FALSE)</f>
        <v>13</v>
      </c>
      <c r="S98" s="7" t="str">
        <f>VLOOKUP(A98,[1]pipe!$A$1:$U$150,19,FALSE)</f>
        <v>Non</v>
      </c>
      <c r="T98" s="7" t="str">
        <f>VLOOKUP(A98,[1]pipe!$A$16:$U$150,20,FALSE)</f>
        <v>N/A</v>
      </c>
      <c r="U98" s="9"/>
    </row>
    <row r="99" spans="1:21" ht="26" x14ac:dyDescent="0.35">
      <c r="A99" s="1">
        <v>58166885</v>
      </c>
      <c r="B99" s="2">
        <v>46064.649965277778</v>
      </c>
      <c r="C99" s="1">
        <v>58689383</v>
      </c>
      <c r="D99" s="2">
        <v>46073.825555555559</v>
      </c>
      <c r="E99" s="1" t="s">
        <v>32</v>
      </c>
      <c r="F99" s="1" t="s">
        <v>159</v>
      </c>
      <c r="G99" s="1">
        <v>504041812</v>
      </c>
      <c r="H99" s="1" t="s">
        <v>136</v>
      </c>
      <c r="I99" s="1" t="s">
        <v>2</v>
      </c>
      <c r="J99" s="1" t="s">
        <v>10</v>
      </c>
      <c r="K99" s="1" t="s">
        <v>30</v>
      </c>
      <c r="L99" s="1" t="s">
        <v>12</v>
      </c>
      <c r="M99" s="1" t="s">
        <v>6</v>
      </c>
      <c r="N99" s="1" t="s">
        <v>13</v>
      </c>
      <c r="O99" s="1" t="s">
        <v>26</v>
      </c>
      <c r="P99" s="1" t="s">
        <v>2</v>
      </c>
      <c r="Q99" s="3">
        <v>2000000</v>
      </c>
      <c r="R99" s="7">
        <f>VLOOKUP(A99,[1]pipe!$A$1:$U$150,18,FALSE)</f>
        <v>13</v>
      </c>
      <c r="S99" s="7" t="str">
        <f>VLOOKUP(A99,[1]pipe!$A$1:$U$150,19,FALSE)</f>
        <v>Non</v>
      </c>
      <c r="T99" s="7" t="str">
        <f>VLOOKUP(A99,[1]pipe!$A$16:$U$150,20,FALSE)</f>
        <v>OCI</v>
      </c>
      <c r="U99" s="9"/>
    </row>
    <row r="100" spans="1:21" ht="65" x14ac:dyDescent="0.35">
      <c r="A100" s="1">
        <v>58167492</v>
      </c>
      <c r="B100" s="2">
        <v>46064.653935185182</v>
      </c>
      <c r="C100" s="1">
        <v>59331265</v>
      </c>
      <c r="D100" s="2">
        <v>46085.444687499999</v>
      </c>
      <c r="E100" s="1" t="s">
        <v>157</v>
      </c>
      <c r="F100" s="1" t="s">
        <v>248</v>
      </c>
      <c r="G100" s="1">
        <v>707501026</v>
      </c>
      <c r="H100" s="1" t="s">
        <v>107</v>
      </c>
      <c r="I100" s="1" t="s">
        <v>2</v>
      </c>
      <c r="J100" s="1" t="s">
        <v>10</v>
      </c>
      <c r="K100" s="1" t="s">
        <v>30</v>
      </c>
      <c r="L100" s="1" t="s">
        <v>12</v>
      </c>
      <c r="M100" s="1" t="s">
        <v>6</v>
      </c>
      <c r="N100" s="1" t="s">
        <v>13</v>
      </c>
      <c r="O100" s="1" t="s">
        <v>87</v>
      </c>
      <c r="P100" s="1" t="s">
        <v>2</v>
      </c>
      <c r="Q100" s="3">
        <v>650000</v>
      </c>
      <c r="R100" s="7">
        <f>VLOOKUP(A100,[1]pipe!$A$1:$U$150,18,FALSE)</f>
        <v>13</v>
      </c>
      <c r="S100" s="7" t="str">
        <f>VLOOKUP(A100,[1]pipe!$A$1:$U$150,19,FALSE)</f>
        <v>Non</v>
      </c>
      <c r="T100" s="7" t="str">
        <f>VLOOKUP(A100,[1]pipe!$A$16:$U$150,20,FALSE)</f>
        <v>N/A</v>
      </c>
      <c r="U100" s="9"/>
    </row>
    <row r="101" spans="1:21" ht="65" x14ac:dyDescent="0.35">
      <c r="A101" s="1">
        <v>58168004</v>
      </c>
      <c r="B101" s="2">
        <v>46064.657037037039</v>
      </c>
      <c r="C101" s="1">
        <v>59389406</v>
      </c>
      <c r="D101" s="2">
        <v>46086.363981481481</v>
      </c>
      <c r="E101" s="1" t="s">
        <v>157</v>
      </c>
      <c r="F101" s="1" t="s">
        <v>159</v>
      </c>
      <c r="G101" s="1">
        <v>504041812</v>
      </c>
      <c r="H101" s="1" t="s">
        <v>148</v>
      </c>
      <c r="I101" s="1" t="s">
        <v>2</v>
      </c>
      <c r="J101" s="1" t="s">
        <v>10</v>
      </c>
      <c r="K101" s="1" t="s">
        <v>30</v>
      </c>
      <c r="L101" s="1" t="s">
        <v>12</v>
      </c>
      <c r="M101" s="1" t="s">
        <v>6</v>
      </c>
      <c r="N101" s="1" t="s">
        <v>13</v>
      </c>
      <c r="O101" s="1" t="s">
        <v>227</v>
      </c>
      <c r="P101" s="1" t="s">
        <v>2</v>
      </c>
      <c r="Q101" s="3">
        <v>2000000</v>
      </c>
      <c r="R101" s="7">
        <f>VLOOKUP(A101,[1]pipe!$A$1:$U$150,18,FALSE)</f>
        <v>13</v>
      </c>
      <c r="S101" s="7" t="str">
        <f>VLOOKUP(A101,[1]pipe!$A$1:$U$150,19,FALSE)</f>
        <v>Non</v>
      </c>
      <c r="T101" s="7" t="str">
        <f>VLOOKUP(A101,[1]pipe!$A$16:$U$150,20,FALSE)</f>
        <v xml:space="preserve">CLIENT </v>
      </c>
      <c r="U101" s="9"/>
    </row>
    <row r="102" spans="1:21" ht="65" x14ac:dyDescent="0.35">
      <c r="A102" s="1">
        <v>58173859</v>
      </c>
      <c r="B102" s="2">
        <v>46064.700439814813</v>
      </c>
      <c r="C102" s="1">
        <v>59344823</v>
      </c>
      <c r="D102" s="2">
        <v>46085.538680555554</v>
      </c>
      <c r="E102" s="1" t="s">
        <v>201</v>
      </c>
      <c r="F102" s="1" t="s">
        <v>244</v>
      </c>
      <c r="G102" s="1">
        <v>504001081</v>
      </c>
      <c r="H102" s="1" t="s">
        <v>249</v>
      </c>
      <c r="I102" s="1">
        <v>1810836</v>
      </c>
      <c r="J102" s="1" t="s">
        <v>78</v>
      </c>
      <c r="K102" s="1" t="s">
        <v>11</v>
      </c>
      <c r="L102" s="1" t="s">
        <v>36</v>
      </c>
      <c r="M102" s="1" t="s">
        <v>6</v>
      </c>
      <c r="N102" s="1" t="s">
        <v>96</v>
      </c>
      <c r="O102" s="1" t="s">
        <v>250</v>
      </c>
      <c r="P102" s="1" t="s">
        <v>2</v>
      </c>
      <c r="Q102" s="1">
        <v>0</v>
      </c>
      <c r="R102" s="7">
        <f ca="1">NETWORKDAYS(B102,TODAY())</f>
        <v>18</v>
      </c>
      <c r="S102" s="7" t="s">
        <v>390</v>
      </c>
      <c r="T102" s="7" t="e">
        <f>VLOOKUP(A102,[1]pipe!$A$16:$U$150,20,FALSE)</f>
        <v>#N/A</v>
      </c>
      <c r="U102" s="9" t="e">
        <f>VLOOKUP(A102,[1]pipe!$A$16:$U$150,21,FALSE)</f>
        <v>#N/A</v>
      </c>
    </row>
    <row r="103" spans="1:21" ht="39" x14ac:dyDescent="0.35">
      <c r="A103" s="1">
        <v>58176306</v>
      </c>
      <c r="B103" s="2">
        <v>46064.721539351849</v>
      </c>
      <c r="C103" s="1">
        <v>59057805</v>
      </c>
      <c r="D103" s="2">
        <v>46080.459687499999</v>
      </c>
      <c r="E103" s="1" t="s">
        <v>32</v>
      </c>
      <c r="F103" s="1" t="s">
        <v>251</v>
      </c>
      <c r="G103" s="1">
        <v>3365190695</v>
      </c>
      <c r="H103" s="1" t="s">
        <v>252</v>
      </c>
      <c r="I103" s="1" t="s">
        <v>2</v>
      </c>
      <c r="J103" s="1" t="s">
        <v>35</v>
      </c>
      <c r="K103" s="1" t="s">
        <v>30</v>
      </c>
      <c r="L103" s="1" t="s">
        <v>36</v>
      </c>
      <c r="M103" s="1" t="s">
        <v>6</v>
      </c>
      <c r="N103" s="1" t="s">
        <v>13</v>
      </c>
      <c r="O103" s="1" t="s">
        <v>253</v>
      </c>
      <c r="P103" s="1" t="s">
        <v>2</v>
      </c>
      <c r="Q103" s="3">
        <v>600000</v>
      </c>
      <c r="R103" s="7">
        <f ca="1">NETWORKDAYS(B103,TODAY())</f>
        <v>18</v>
      </c>
      <c r="S103" s="7" t="s">
        <v>390</v>
      </c>
      <c r="T103" s="7" t="e">
        <f>VLOOKUP(A103,[1]pipe!$A$16:$U$150,20,FALSE)</f>
        <v>#N/A</v>
      </c>
      <c r="U103" s="9" t="e">
        <f>VLOOKUP(A103,[1]pipe!$A$16:$U$150,21,FALSE)</f>
        <v>#N/A</v>
      </c>
    </row>
    <row r="104" spans="1:21" ht="52" x14ac:dyDescent="0.35">
      <c r="A104" s="1">
        <v>58205267</v>
      </c>
      <c r="B104" s="2">
        <v>46065.449108796296</v>
      </c>
      <c r="C104" s="1">
        <v>59399572</v>
      </c>
      <c r="D104" s="2">
        <v>46086.45815972222</v>
      </c>
      <c r="E104" s="1" t="s">
        <v>201</v>
      </c>
      <c r="F104" s="1" t="s">
        <v>244</v>
      </c>
      <c r="G104" s="1">
        <v>504001081</v>
      </c>
      <c r="H104" s="1" t="s">
        <v>254</v>
      </c>
      <c r="I104" s="1" t="s">
        <v>2</v>
      </c>
      <c r="J104" s="1" t="s">
        <v>35</v>
      </c>
      <c r="K104" s="1" t="s">
        <v>11</v>
      </c>
      <c r="L104" s="1" t="s">
        <v>36</v>
      </c>
      <c r="M104" s="1" t="s">
        <v>6</v>
      </c>
      <c r="N104" s="1" t="s">
        <v>96</v>
      </c>
      <c r="O104" s="1" t="s">
        <v>255</v>
      </c>
      <c r="P104" s="1" t="s">
        <v>2</v>
      </c>
      <c r="Q104" s="1">
        <v>0</v>
      </c>
      <c r="R104" s="7">
        <f t="shared" ref="R104:R105" ca="1" si="0">NETWORKDAYS(B104,TODAY())</f>
        <v>17</v>
      </c>
      <c r="S104" s="7" t="s">
        <v>390</v>
      </c>
      <c r="T104" s="7" t="e">
        <f>VLOOKUP(A104,[1]pipe!$A$16:$U$150,20,FALSE)</f>
        <v>#N/A</v>
      </c>
      <c r="U104" s="9" t="e">
        <f>VLOOKUP(A104,[1]pipe!$A$16:$U$150,21,FALSE)</f>
        <v>#N/A</v>
      </c>
    </row>
    <row r="105" spans="1:21" ht="65" x14ac:dyDescent="0.35">
      <c r="A105" s="1">
        <v>58272102</v>
      </c>
      <c r="B105" s="2">
        <v>46066.506493055553</v>
      </c>
      <c r="C105" s="1">
        <v>59415565</v>
      </c>
      <c r="D105" s="2">
        <v>46086.581435185188</v>
      </c>
      <c r="E105" s="1" t="s">
        <v>97</v>
      </c>
      <c r="F105" s="1" t="s">
        <v>256</v>
      </c>
      <c r="G105" s="1">
        <v>707338900</v>
      </c>
      <c r="H105" s="1" t="s">
        <v>203</v>
      </c>
      <c r="I105" s="1" t="s">
        <v>2</v>
      </c>
      <c r="J105" s="1" t="s">
        <v>35</v>
      </c>
      <c r="K105" s="1" t="s">
        <v>11</v>
      </c>
      <c r="L105" s="1" t="s">
        <v>36</v>
      </c>
      <c r="M105" s="1" t="s">
        <v>6</v>
      </c>
      <c r="N105" s="1" t="s">
        <v>13</v>
      </c>
      <c r="O105" s="1" t="s">
        <v>257</v>
      </c>
      <c r="P105" s="1" t="s">
        <v>2</v>
      </c>
      <c r="Q105" s="3">
        <v>750000</v>
      </c>
      <c r="R105" s="7">
        <f t="shared" ca="1" si="0"/>
        <v>16</v>
      </c>
      <c r="S105" s="7" t="s">
        <v>390</v>
      </c>
      <c r="T105" s="7" t="e">
        <f>VLOOKUP(A105,[1]pipe!$A$16:$U$150,20,FALSE)</f>
        <v>#N/A</v>
      </c>
      <c r="U105" s="9" t="e">
        <f>VLOOKUP(A105,[1]pipe!$A$16:$U$150,21,FALSE)</f>
        <v>#N/A</v>
      </c>
    </row>
    <row r="106" spans="1:21" ht="26" x14ac:dyDescent="0.35">
      <c r="A106" s="1">
        <v>58274609</v>
      </c>
      <c r="B106" s="2">
        <v>46066.525011574071</v>
      </c>
      <c r="C106" s="1">
        <v>59264178</v>
      </c>
      <c r="D106" s="2">
        <v>46084.406759259262</v>
      </c>
      <c r="E106" s="1" t="s">
        <v>40</v>
      </c>
      <c r="F106" s="1" t="s">
        <v>258</v>
      </c>
      <c r="G106" s="1">
        <v>2722480700</v>
      </c>
      <c r="H106" s="1" t="s">
        <v>162</v>
      </c>
      <c r="I106" s="1" t="s">
        <v>2</v>
      </c>
      <c r="J106" s="1" t="s">
        <v>35</v>
      </c>
      <c r="K106" s="1" t="s">
        <v>30</v>
      </c>
      <c r="L106" s="1" t="s">
        <v>36</v>
      </c>
      <c r="M106" s="1" t="s">
        <v>6</v>
      </c>
      <c r="N106" s="1" t="s">
        <v>13</v>
      </c>
      <c r="O106" s="1" t="s">
        <v>192</v>
      </c>
      <c r="P106" s="1" t="s">
        <v>2</v>
      </c>
      <c r="Q106" s="3">
        <v>522590</v>
      </c>
      <c r="R106" s="7"/>
      <c r="S106" s="7" t="s">
        <v>390</v>
      </c>
      <c r="T106" s="7" t="s">
        <v>307</v>
      </c>
      <c r="U106" s="9" t="s">
        <v>389</v>
      </c>
    </row>
    <row r="107" spans="1:21" ht="52" x14ac:dyDescent="0.35">
      <c r="A107" s="1">
        <v>58276534</v>
      </c>
      <c r="B107" s="2">
        <v>46066.539675925924</v>
      </c>
      <c r="C107" s="1">
        <v>59345421</v>
      </c>
      <c r="D107" s="2">
        <v>46085.543541666666</v>
      </c>
      <c r="E107" s="1" t="s">
        <v>170</v>
      </c>
      <c r="F107" s="1" t="s">
        <v>259</v>
      </c>
      <c r="G107" s="1">
        <v>777308038</v>
      </c>
      <c r="H107" s="1" t="s">
        <v>260</v>
      </c>
      <c r="I107" s="1" t="s">
        <v>2</v>
      </c>
      <c r="J107" s="1" t="s">
        <v>3</v>
      </c>
      <c r="K107" s="1" t="s">
        <v>55</v>
      </c>
      <c r="L107" s="1" t="s">
        <v>5</v>
      </c>
      <c r="M107" s="1" t="s">
        <v>6</v>
      </c>
      <c r="N107" s="1" t="s">
        <v>96</v>
      </c>
      <c r="O107" s="1">
        <v>2723489370</v>
      </c>
      <c r="P107" s="1" t="s">
        <v>2</v>
      </c>
      <c r="Q107" s="1" t="s">
        <v>2</v>
      </c>
      <c r="R107" s="7">
        <f t="shared" ref="R107:R133" ca="1" si="1">NETWORKDAYS(B107,TODAY())</f>
        <v>16</v>
      </c>
      <c r="S107" s="7" t="s">
        <v>390</v>
      </c>
      <c r="T107" s="7" t="e">
        <f>VLOOKUP(A107,[1]pipe!$A$16:$U$150,20,FALSE)</f>
        <v>#N/A</v>
      </c>
      <c r="U107" s="9" t="e">
        <f>VLOOKUP(A107,[1]pipe!$A$16:$U$150,21,FALSE)</f>
        <v>#N/A</v>
      </c>
    </row>
    <row r="108" spans="1:21" ht="39" x14ac:dyDescent="0.35">
      <c r="A108" s="1">
        <v>58407509</v>
      </c>
      <c r="B108" s="2">
        <v>46069.545914351853</v>
      </c>
      <c r="C108" s="1">
        <v>59257892</v>
      </c>
      <c r="D108" s="2">
        <v>46084.33421296296</v>
      </c>
      <c r="E108" s="1" t="s">
        <v>32</v>
      </c>
      <c r="F108" s="1" t="s">
        <v>261</v>
      </c>
      <c r="G108" s="1">
        <v>709213314</v>
      </c>
      <c r="H108" s="1" t="s">
        <v>203</v>
      </c>
      <c r="I108" s="1" t="s">
        <v>2</v>
      </c>
      <c r="J108" s="1" t="s">
        <v>129</v>
      </c>
      <c r="K108" s="1" t="s">
        <v>4</v>
      </c>
      <c r="L108" s="1" t="s">
        <v>5</v>
      </c>
      <c r="M108" s="1" t="s">
        <v>6</v>
      </c>
      <c r="N108" s="1" t="s">
        <v>13</v>
      </c>
      <c r="O108" s="1" t="s">
        <v>43</v>
      </c>
      <c r="P108" s="1" t="s">
        <v>2</v>
      </c>
      <c r="Q108" s="1" t="s">
        <v>2</v>
      </c>
      <c r="R108" s="7">
        <f t="shared" ca="1" si="1"/>
        <v>15</v>
      </c>
      <c r="S108" s="7" t="s">
        <v>390</v>
      </c>
      <c r="T108" s="7" t="e">
        <f>VLOOKUP(A108,[1]pipe!$A$16:$U$150,20,FALSE)</f>
        <v>#N/A</v>
      </c>
      <c r="U108" s="9" t="e">
        <f>VLOOKUP(A108,[1]pipe!$A$16:$U$150,21,FALSE)</f>
        <v>#N/A</v>
      </c>
    </row>
    <row r="109" spans="1:21" ht="52" x14ac:dyDescent="0.35">
      <c r="A109" s="1">
        <v>58420580</v>
      </c>
      <c r="B109" s="2">
        <v>46069.648148148146</v>
      </c>
      <c r="C109" s="1">
        <v>59241630</v>
      </c>
      <c r="D109" s="2">
        <v>46083.715162037035</v>
      </c>
      <c r="E109" s="1" t="s">
        <v>32</v>
      </c>
      <c r="F109" s="1" t="s">
        <v>262</v>
      </c>
      <c r="G109" s="1">
        <v>749857975</v>
      </c>
      <c r="H109" s="1" t="s">
        <v>263</v>
      </c>
      <c r="I109" s="1" t="s">
        <v>2</v>
      </c>
      <c r="J109" s="1" t="s">
        <v>3</v>
      </c>
      <c r="K109" s="1" t="s">
        <v>4</v>
      </c>
      <c r="L109" s="1" t="s">
        <v>5</v>
      </c>
      <c r="M109" s="1" t="s">
        <v>6</v>
      </c>
      <c r="N109" s="1" t="s">
        <v>13</v>
      </c>
      <c r="O109" s="1" t="s">
        <v>67</v>
      </c>
      <c r="P109" s="1" t="s">
        <v>2</v>
      </c>
      <c r="Q109" s="1" t="s">
        <v>2</v>
      </c>
      <c r="R109" s="7">
        <f t="shared" ca="1" si="1"/>
        <v>15</v>
      </c>
      <c r="S109" s="7" t="s">
        <v>390</v>
      </c>
      <c r="T109" s="7" t="e">
        <f>VLOOKUP(A109,[1]pipe!$A$16:$U$150,20,FALSE)</f>
        <v>#N/A</v>
      </c>
      <c r="U109" s="9" t="e">
        <f>VLOOKUP(A109,[1]pipe!$A$16:$U$150,21,FALSE)</f>
        <v>#N/A</v>
      </c>
    </row>
    <row r="110" spans="1:21" ht="52" x14ac:dyDescent="0.35">
      <c r="A110" s="1">
        <v>58476260</v>
      </c>
      <c r="B110" s="2">
        <v>46070.61273148148</v>
      </c>
      <c r="C110" s="1">
        <v>59390354</v>
      </c>
      <c r="D110" s="2">
        <v>46086.377523148149</v>
      </c>
      <c r="E110" s="1" t="s">
        <v>201</v>
      </c>
      <c r="F110" s="1" t="s">
        <v>264</v>
      </c>
      <c r="G110" s="1">
        <v>708526165</v>
      </c>
      <c r="H110" s="1" t="s">
        <v>265</v>
      </c>
      <c r="I110" s="1" t="s">
        <v>2</v>
      </c>
      <c r="J110" s="1" t="s">
        <v>3</v>
      </c>
      <c r="K110" s="1" t="s">
        <v>55</v>
      </c>
      <c r="L110" s="1" t="s">
        <v>5</v>
      </c>
      <c r="M110" s="1" t="s">
        <v>6</v>
      </c>
      <c r="N110" s="1" t="s">
        <v>96</v>
      </c>
      <c r="O110" s="1">
        <v>2721711965</v>
      </c>
      <c r="P110" s="1" t="s">
        <v>2</v>
      </c>
      <c r="Q110" s="1" t="s">
        <v>2</v>
      </c>
      <c r="R110" s="7">
        <f t="shared" ca="1" si="1"/>
        <v>14</v>
      </c>
      <c r="S110" s="7" t="s">
        <v>390</v>
      </c>
      <c r="T110" s="7" t="e">
        <f>VLOOKUP(A110,[1]pipe!$A$16:$U$150,20,FALSE)</f>
        <v>#N/A</v>
      </c>
      <c r="U110" s="9" t="e">
        <f>VLOOKUP(A110,[1]pipe!$A$16:$U$150,21,FALSE)</f>
        <v>#N/A</v>
      </c>
    </row>
    <row r="111" spans="1:21" ht="26" x14ac:dyDescent="0.35">
      <c r="A111" s="1">
        <v>58514013</v>
      </c>
      <c r="B111" s="2">
        <v>46071.426388888889</v>
      </c>
      <c r="C111" s="1">
        <v>59241117</v>
      </c>
      <c r="D111" s="2">
        <v>46083.712141203701</v>
      </c>
      <c r="E111" s="1" t="s">
        <v>32</v>
      </c>
      <c r="F111" s="1" t="s">
        <v>266</v>
      </c>
      <c r="G111" s="1">
        <v>767154815</v>
      </c>
      <c r="H111" s="1" t="s">
        <v>267</v>
      </c>
      <c r="I111" s="1" t="s">
        <v>2</v>
      </c>
      <c r="J111" s="1" t="s">
        <v>3</v>
      </c>
      <c r="K111" s="1" t="s">
        <v>4</v>
      </c>
      <c r="L111" s="1" t="s">
        <v>5</v>
      </c>
      <c r="M111" s="1" t="s">
        <v>6</v>
      </c>
      <c r="N111" s="1" t="s">
        <v>13</v>
      </c>
      <c r="O111" s="1" t="s">
        <v>229</v>
      </c>
      <c r="P111" s="1" t="s">
        <v>2</v>
      </c>
      <c r="Q111" s="1" t="s">
        <v>2</v>
      </c>
      <c r="R111" s="7">
        <f t="shared" ca="1" si="1"/>
        <v>13</v>
      </c>
      <c r="S111" s="7" t="s">
        <v>390</v>
      </c>
      <c r="T111" s="7" t="e">
        <f>VLOOKUP(A111,[1]pipe!$A$16:$U$150,20,FALSE)</f>
        <v>#N/A</v>
      </c>
      <c r="U111" s="9" t="e">
        <f>VLOOKUP(A111,[1]pipe!$A$16:$U$150,21,FALSE)</f>
        <v>#N/A</v>
      </c>
    </row>
    <row r="112" spans="1:21" ht="52" x14ac:dyDescent="0.35">
      <c r="A112" s="1">
        <v>58585753</v>
      </c>
      <c r="B112" s="2">
        <v>46072.455555555556</v>
      </c>
      <c r="C112" s="1">
        <v>59244907</v>
      </c>
      <c r="D112" s="2">
        <v>46083.744629629633</v>
      </c>
      <c r="E112" s="1" t="s">
        <v>73</v>
      </c>
      <c r="F112" s="1" t="s">
        <v>268</v>
      </c>
      <c r="G112" s="1">
        <v>707965430</v>
      </c>
      <c r="H112" s="1" t="s">
        <v>162</v>
      </c>
      <c r="I112" s="1" t="s">
        <v>2</v>
      </c>
      <c r="J112" s="1" t="s">
        <v>3</v>
      </c>
      <c r="K112" s="1" t="s">
        <v>55</v>
      </c>
      <c r="L112" s="1" t="s">
        <v>5</v>
      </c>
      <c r="M112" s="1" t="s">
        <v>6</v>
      </c>
      <c r="N112" s="1" t="s">
        <v>13</v>
      </c>
      <c r="O112" s="1">
        <v>2722229950</v>
      </c>
      <c r="P112" s="1" t="s">
        <v>2</v>
      </c>
      <c r="Q112" s="1" t="s">
        <v>2</v>
      </c>
      <c r="R112" s="7">
        <f t="shared" ca="1" si="1"/>
        <v>12</v>
      </c>
      <c r="S112" s="7" t="s">
        <v>390</v>
      </c>
      <c r="T112" s="7" t="e">
        <f>VLOOKUP(A112,[1]pipe!$A$16:$U$150,20,FALSE)</f>
        <v>#N/A</v>
      </c>
      <c r="U112" s="9" t="e">
        <f>VLOOKUP(A112,[1]pipe!$A$16:$U$150,21,FALSE)</f>
        <v>#N/A</v>
      </c>
    </row>
    <row r="113" spans="1:21" ht="52" x14ac:dyDescent="0.35">
      <c r="A113" s="1">
        <v>58626822</v>
      </c>
      <c r="B113" s="2">
        <v>46072.810324074075</v>
      </c>
      <c r="C113" s="1">
        <v>58959004</v>
      </c>
      <c r="D113" s="2">
        <v>46078.663888888892</v>
      </c>
      <c r="E113" s="1" t="s">
        <v>32</v>
      </c>
      <c r="F113" s="1" t="s">
        <v>269</v>
      </c>
      <c r="G113" s="1">
        <v>709574114</v>
      </c>
      <c r="H113" s="1" t="s">
        <v>270</v>
      </c>
      <c r="I113" s="1" t="s">
        <v>2</v>
      </c>
      <c r="J113" s="1" t="s">
        <v>35</v>
      </c>
      <c r="K113" s="1" t="s">
        <v>30</v>
      </c>
      <c r="L113" s="1" t="s">
        <v>36</v>
      </c>
      <c r="M113" s="1" t="s">
        <v>6</v>
      </c>
      <c r="N113" s="1" t="s">
        <v>13</v>
      </c>
      <c r="O113" s="1" t="s">
        <v>2</v>
      </c>
      <c r="P113" s="1" t="s">
        <v>2</v>
      </c>
      <c r="Q113" s="3">
        <v>445307</v>
      </c>
      <c r="R113" s="7">
        <f t="shared" ca="1" si="1"/>
        <v>12</v>
      </c>
      <c r="S113" s="7" t="s">
        <v>390</v>
      </c>
      <c r="T113" s="7" t="e">
        <f>VLOOKUP(A113,[1]pipe!$A$16:$U$150,20,FALSE)</f>
        <v>#N/A</v>
      </c>
      <c r="U113" s="9" t="e">
        <f>VLOOKUP(A113,[1]pipe!$A$16:$U$150,21,FALSE)</f>
        <v>#N/A</v>
      </c>
    </row>
    <row r="114" spans="1:21" ht="39" x14ac:dyDescent="0.35">
      <c r="A114" s="1">
        <v>58635645</v>
      </c>
      <c r="B114" s="2">
        <v>46073.372395833336</v>
      </c>
      <c r="C114" s="1">
        <v>59308947</v>
      </c>
      <c r="D114" s="2">
        <v>46084.765868055554</v>
      </c>
      <c r="E114" s="1" t="s">
        <v>32</v>
      </c>
      <c r="F114" s="1" t="s">
        <v>271</v>
      </c>
      <c r="G114" s="1">
        <v>759250737</v>
      </c>
      <c r="H114" s="1" t="s">
        <v>272</v>
      </c>
      <c r="I114" s="1" t="s">
        <v>2</v>
      </c>
      <c r="J114" s="1" t="s">
        <v>10</v>
      </c>
      <c r="K114" s="1" t="s">
        <v>30</v>
      </c>
      <c r="L114" s="1" t="s">
        <v>12</v>
      </c>
      <c r="M114" s="1" t="s">
        <v>25</v>
      </c>
      <c r="N114" s="1" t="s">
        <v>13</v>
      </c>
      <c r="O114" s="1" t="s">
        <v>192</v>
      </c>
      <c r="P114" s="1" t="s">
        <v>2</v>
      </c>
      <c r="Q114" s="1" t="s">
        <v>2</v>
      </c>
      <c r="R114" s="7">
        <f t="shared" ca="1" si="1"/>
        <v>11</v>
      </c>
      <c r="S114" s="7" t="s">
        <v>390</v>
      </c>
      <c r="T114" s="7" t="e">
        <f>VLOOKUP(A114,[1]pipe!$A$16:$U$150,20,FALSE)</f>
        <v>#N/A</v>
      </c>
      <c r="U114" s="9" t="e">
        <f>VLOOKUP(A114,[1]pipe!$A$16:$U$150,21,FALSE)</f>
        <v>#N/A</v>
      </c>
    </row>
    <row r="115" spans="1:21" ht="39" x14ac:dyDescent="0.35">
      <c r="A115" s="1">
        <v>58635674</v>
      </c>
      <c r="B115" s="2">
        <v>46073.372488425928</v>
      </c>
      <c r="C115" s="1">
        <v>58967832</v>
      </c>
      <c r="D115" s="2">
        <v>46078.731759259259</v>
      </c>
      <c r="E115" s="1" t="s">
        <v>32</v>
      </c>
      <c r="F115" s="1" t="s">
        <v>271</v>
      </c>
      <c r="G115" s="1">
        <v>759250737</v>
      </c>
      <c r="H115" s="1" t="s">
        <v>272</v>
      </c>
      <c r="I115" s="1" t="s">
        <v>2</v>
      </c>
      <c r="J115" s="1" t="s">
        <v>10</v>
      </c>
      <c r="K115" s="1" t="s">
        <v>30</v>
      </c>
      <c r="L115" s="1" t="s">
        <v>12</v>
      </c>
      <c r="M115" s="1" t="s">
        <v>47</v>
      </c>
      <c r="N115" s="1" t="s">
        <v>13</v>
      </c>
      <c r="O115" s="1" t="s">
        <v>2</v>
      </c>
      <c r="P115" s="1" t="s">
        <v>2</v>
      </c>
      <c r="Q115" s="3">
        <v>500000</v>
      </c>
      <c r="R115" s="7">
        <f t="shared" ca="1" si="1"/>
        <v>11</v>
      </c>
      <c r="S115" s="7" t="s">
        <v>390</v>
      </c>
      <c r="T115" s="7" t="e">
        <f>VLOOKUP(A115,[1]pipe!$A$16:$U$150,20,FALSE)</f>
        <v>#N/A</v>
      </c>
      <c r="U115" s="9" t="e">
        <f>VLOOKUP(A115,[1]pipe!$A$16:$U$150,21,FALSE)</f>
        <v>#N/A</v>
      </c>
    </row>
    <row r="116" spans="1:21" ht="39" x14ac:dyDescent="0.35">
      <c r="A116" s="1">
        <v>58642079</v>
      </c>
      <c r="B116" s="2">
        <v>46073.425034722219</v>
      </c>
      <c r="C116" s="1">
        <v>58960666</v>
      </c>
      <c r="D116" s="2">
        <v>46078.67695601852</v>
      </c>
      <c r="E116" s="1" t="s">
        <v>32</v>
      </c>
      <c r="F116" s="1" t="s">
        <v>271</v>
      </c>
      <c r="G116" s="1">
        <v>759250737</v>
      </c>
      <c r="H116" s="1" t="s">
        <v>272</v>
      </c>
      <c r="I116" s="1" t="s">
        <v>2</v>
      </c>
      <c r="J116" s="1" t="s">
        <v>129</v>
      </c>
      <c r="K116" s="1" t="s">
        <v>4</v>
      </c>
      <c r="L116" s="1" t="s">
        <v>5</v>
      </c>
      <c r="M116" s="1" t="s">
        <v>6</v>
      </c>
      <c r="N116" s="1" t="s">
        <v>13</v>
      </c>
      <c r="O116" s="1" t="s">
        <v>273</v>
      </c>
      <c r="P116" s="1" t="s">
        <v>2</v>
      </c>
      <c r="Q116" s="1" t="s">
        <v>2</v>
      </c>
      <c r="R116" s="7">
        <f t="shared" ca="1" si="1"/>
        <v>11</v>
      </c>
      <c r="S116" s="7" t="s">
        <v>390</v>
      </c>
      <c r="T116" s="7" t="e">
        <f>VLOOKUP(A116,[1]pipe!$A$16:$U$150,20,FALSE)</f>
        <v>#N/A</v>
      </c>
      <c r="U116" s="9" t="e">
        <f>VLOOKUP(A116,[1]pipe!$A$16:$U$150,21,FALSE)</f>
        <v>#N/A</v>
      </c>
    </row>
    <row r="117" spans="1:21" ht="39" x14ac:dyDescent="0.35">
      <c r="A117" s="1">
        <v>58649804</v>
      </c>
      <c r="B117" s="2">
        <v>46073.479305555556</v>
      </c>
      <c r="C117" s="1">
        <v>59308996</v>
      </c>
      <c r="D117" s="2">
        <v>46084.766377314816</v>
      </c>
      <c r="E117" s="1" t="s">
        <v>32</v>
      </c>
      <c r="F117" s="1" t="s">
        <v>274</v>
      </c>
      <c r="G117" s="1">
        <v>759250737</v>
      </c>
      <c r="H117" s="1" t="s">
        <v>272</v>
      </c>
      <c r="I117" s="1" t="s">
        <v>2</v>
      </c>
      <c r="J117" s="1" t="s">
        <v>35</v>
      </c>
      <c r="K117" s="1" t="s">
        <v>30</v>
      </c>
      <c r="L117" s="1" t="s">
        <v>36</v>
      </c>
      <c r="M117" s="1" t="s">
        <v>25</v>
      </c>
      <c r="N117" s="1" t="s">
        <v>13</v>
      </c>
      <c r="O117" s="1" t="s">
        <v>43</v>
      </c>
      <c r="P117" s="1" t="s">
        <v>2</v>
      </c>
      <c r="Q117" s="1" t="s">
        <v>2</v>
      </c>
      <c r="R117" s="7">
        <f t="shared" ca="1" si="1"/>
        <v>11</v>
      </c>
      <c r="S117" s="7" t="s">
        <v>390</v>
      </c>
      <c r="T117" s="7" t="e">
        <f>VLOOKUP(A117,[1]pipe!$A$16:$U$150,20,FALSE)</f>
        <v>#N/A</v>
      </c>
      <c r="U117" s="9" t="e">
        <f>VLOOKUP(A117,[1]pipe!$A$16:$U$150,21,FALSE)</f>
        <v>#N/A</v>
      </c>
    </row>
    <row r="118" spans="1:21" ht="39" x14ac:dyDescent="0.35">
      <c r="A118" s="1">
        <v>58649837</v>
      </c>
      <c r="B118" s="2">
        <v>46073.479409722226</v>
      </c>
      <c r="C118" s="1">
        <v>58967624</v>
      </c>
      <c r="D118" s="2">
        <v>46078.730196759258</v>
      </c>
      <c r="E118" s="1" t="s">
        <v>32</v>
      </c>
      <c r="F118" s="1" t="s">
        <v>274</v>
      </c>
      <c r="G118" s="1">
        <v>759250737</v>
      </c>
      <c r="H118" s="1" t="s">
        <v>272</v>
      </c>
      <c r="I118" s="1" t="s">
        <v>2</v>
      </c>
      <c r="J118" s="1" t="s">
        <v>35</v>
      </c>
      <c r="K118" s="1" t="s">
        <v>30</v>
      </c>
      <c r="L118" s="1" t="s">
        <v>36</v>
      </c>
      <c r="M118" s="1" t="s">
        <v>47</v>
      </c>
      <c r="N118" s="1" t="s">
        <v>13</v>
      </c>
      <c r="O118" s="1" t="s">
        <v>2</v>
      </c>
      <c r="P118" s="1" t="s">
        <v>2</v>
      </c>
      <c r="Q118" s="3">
        <v>500000</v>
      </c>
      <c r="R118" s="7">
        <f t="shared" ca="1" si="1"/>
        <v>11</v>
      </c>
      <c r="S118" s="7" t="s">
        <v>390</v>
      </c>
      <c r="T118" s="7" t="e">
        <f>VLOOKUP(A118,[1]pipe!$A$16:$U$150,20,FALSE)</f>
        <v>#N/A</v>
      </c>
      <c r="U118" s="9" t="e">
        <f>VLOOKUP(A118,[1]pipe!$A$16:$U$150,21,FALSE)</f>
        <v>#N/A</v>
      </c>
    </row>
    <row r="119" spans="1:21" ht="39" x14ac:dyDescent="0.35">
      <c r="A119" s="1">
        <v>58650374</v>
      </c>
      <c r="B119" s="2">
        <v>46073.483518518522</v>
      </c>
      <c r="C119" s="1">
        <v>59257949</v>
      </c>
      <c r="D119" s="2">
        <v>46084.335729166669</v>
      </c>
      <c r="E119" s="1" t="s">
        <v>32</v>
      </c>
      <c r="F119" s="1" t="s">
        <v>275</v>
      </c>
      <c r="G119" s="1">
        <v>708193864</v>
      </c>
      <c r="H119" s="1" t="s">
        <v>276</v>
      </c>
      <c r="I119" s="1" t="s">
        <v>2</v>
      </c>
      <c r="J119" s="1" t="s">
        <v>3</v>
      </c>
      <c r="K119" s="1" t="s">
        <v>4</v>
      </c>
      <c r="L119" s="1" t="s">
        <v>5</v>
      </c>
      <c r="M119" s="1" t="s">
        <v>6</v>
      </c>
      <c r="N119" s="1" t="s">
        <v>13</v>
      </c>
      <c r="O119" s="1" t="s">
        <v>133</v>
      </c>
      <c r="P119" s="1" t="s">
        <v>2</v>
      </c>
      <c r="Q119" s="1" t="s">
        <v>2</v>
      </c>
      <c r="R119" s="7">
        <f t="shared" ca="1" si="1"/>
        <v>11</v>
      </c>
      <c r="S119" s="7" t="s">
        <v>390</v>
      </c>
      <c r="T119" s="7" t="e">
        <f>VLOOKUP(A119,[1]pipe!$A$16:$U$150,20,FALSE)</f>
        <v>#N/A</v>
      </c>
      <c r="U119" s="9" t="e">
        <f>VLOOKUP(A119,[1]pipe!$A$16:$U$150,21,FALSE)</f>
        <v>#N/A</v>
      </c>
    </row>
    <row r="120" spans="1:21" ht="39" x14ac:dyDescent="0.35">
      <c r="A120" s="1">
        <v>58650763</v>
      </c>
      <c r="B120" s="2">
        <v>46073.485497685186</v>
      </c>
      <c r="C120" s="1">
        <v>59257984</v>
      </c>
      <c r="D120" s="2">
        <v>46084.336527777778</v>
      </c>
      <c r="E120" s="1" t="s">
        <v>32</v>
      </c>
      <c r="F120" s="1" t="s">
        <v>277</v>
      </c>
      <c r="G120" s="1">
        <v>767093390</v>
      </c>
      <c r="H120" s="1" t="s">
        <v>238</v>
      </c>
      <c r="I120" s="1" t="s">
        <v>2</v>
      </c>
      <c r="J120" s="1" t="s">
        <v>3</v>
      </c>
      <c r="K120" s="1" t="s">
        <v>4</v>
      </c>
      <c r="L120" s="1" t="s">
        <v>5</v>
      </c>
      <c r="M120" s="1" t="s">
        <v>6</v>
      </c>
      <c r="N120" s="1" t="s">
        <v>13</v>
      </c>
      <c r="O120" s="1" t="s">
        <v>72</v>
      </c>
      <c r="P120" s="1" t="s">
        <v>2</v>
      </c>
      <c r="Q120" s="1" t="s">
        <v>2</v>
      </c>
      <c r="R120" s="7">
        <f t="shared" ca="1" si="1"/>
        <v>11</v>
      </c>
      <c r="S120" s="7" t="s">
        <v>390</v>
      </c>
      <c r="T120" s="7" t="e">
        <f>VLOOKUP(A120,[1]pipe!$A$16:$U$150,20,FALSE)</f>
        <v>#N/A</v>
      </c>
      <c r="U120" s="9" t="e">
        <f>VLOOKUP(A120,[1]pipe!$A$16:$U$150,21,FALSE)</f>
        <v>#N/A</v>
      </c>
    </row>
    <row r="121" spans="1:21" ht="39.5" customHeight="1" x14ac:dyDescent="0.35">
      <c r="A121" s="1">
        <v>58797846</v>
      </c>
      <c r="B121" s="2">
        <v>46076.510104166664</v>
      </c>
      <c r="C121" s="1">
        <v>59309304</v>
      </c>
      <c r="D121" s="2">
        <v>46084.771053240744</v>
      </c>
      <c r="E121" s="1" t="s">
        <v>32</v>
      </c>
      <c r="F121" s="1" t="s">
        <v>278</v>
      </c>
      <c r="G121" s="1">
        <v>102224907</v>
      </c>
      <c r="H121" s="1" t="s">
        <v>279</v>
      </c>
      <c r="I121" s="1" t="s">
        <v>2</v>
      </c>
      <c r="J121" s="1" t="s">
        <v>10</v>
      </c>
      <c r="K121" s="1" t="s">
        <v>30</v>
      </c>
      <c r="L121" s="1" t="s">
        <v>12</v>
      </c>
      <c r="M121" s="1" t="s">
        <v>6</v>
      </c>
      <c r="N121" s="1" t="s">
        <v>13</v>
      </c>
      <c r="O121" s="1" t="s">
        <v>192</v>
      </c>
      <c r="P121" s="1" t="s">
        <v>2</v>
      </c>
      <c r="Q121" s="3">
        <v>2000000</v>
      </c>
      <c r="R121" s="7">
        <f t="shared" ca="1" si="1"/>
        <v>10</v>
      </c>
      <c r="S121" s="7" t="s">
        <v>390</v>
      </c>
      <c r="T121" s="7" t="e">
        <f>VLOOKUP(A121,[1]pipe!$A$16:$U$150,20,FALSE)</f>
        <v>#N/A</v>
      </c>
      <c r="U121" s="9" t="e">
        <f>VLOOKUP(A121,[1]pipe!$A$16:$U$150,21,FALSE)</f>
        <v>#N/A</v>
      </c>
    </row>
    <row r="122" spans="1:21" ht="40" customHeight="1" x14ac:dyDescent="0.35">
      <c r="A122" s="1">
        <v>58808846</v>
      </c>
      <c r="B122" s="2">
        <v>46076.586747685185</v>
      </c>
      <c r="C122" s="1">
        <v>59309116</v>
      </c>
      <c r="D122" s="2">
        <v>46084.767731481479</v>
      </c>
      <c r="E122" s="1" t="s">
        <v>32</v>
      </c>
      <c r="F122" s="1" t="s">
        <v>278</v>
      </c>
      <c r="G122" s="1">
        <v>749994094</v>
      </c>
      <c r="H122" s="1" t="s">
        <v>280</v>
      </c>
      <c r="I122" s="1" t="s">
        <v>2</v>
      </c>
      <c r="J122" s="1" t="s">
        <v>10</v>
      </c>
      <c r="K122" s="1" t="s">
        <v>30</v>
      </c>
      <c r="L122" s="1" t="s">
        <v>12</v>
      </c>
      <c r="M122" s="1" t="s">
        <v>6</v>
      </c>
      <c r="N122" s="1" t="s">
        <v>13</v>
      </c>
      <c r="O122" s="1" t="s">
        <v>281</v>
      </c>
      <c r="P122" s="1" t="s">
        <v>2</v>
      </c>
      <c r="Q122" s="3">
        <v>2000000</v>
      </c>
      <c r="R122" s="7">
        <f t="shared" ca="1" si="1"/>
        <v>10</v>
      </c>
      <c r="S122" s="7" t="s">
        <v>390</v>
      </c>
      <c r="T122" s="7" t="e">
        <f>VLOOKUP(A122,[1]pipe!$A$16:$U$150,20,FALSE)</f>
        <v>#N/A</v>
      </c>
      <c r="U122" s="9" t="e">
        <f>VLOOKUP(A122,[1]pipe!$A$16:$U$150,21,FALSE)</f>
        <v>#N/A</v>
      </c>
    </row>
    <row r="123" spans="1:21" ht="62.5" customHeight="1" x14ac:dyDescent="0.35">
      <c r="A123" s="1">
        <v>58809268</v>
      </c>
      <c r="B123" s="2">
        <v>46076.589699074073</v>
      </c>
      <c r="C123" s="1">
        <v>59433584</v>
      </c>
      <c r="D123" s="2">
        <v>46086.706956018519</v>
      </c>
      <c r="E123" s="1" t="s">
        <v>157</v>
      </c>
      <c r="F123" s="1" t="s">
        <v>278</v>
      </c>
      <c r="G123" s="1">
        <v>556374989</v>
      </c>
      <c r="H123" s="1" t="s">
        <v>282</v>
      </c>
      <c r="I123" s="1" t="s">
        <v>2</v>
      </c>
      <c r="J123" s="1" t="s">
        <v>10</v>
      </c>
      <c r="K123" s="1" t="s">
        <v>11</v>
      </c>
      <c r="L123" s="1" t="s">
        <v>12</v>
      </c>
      <c r="M123" s="1" t="s">
        <v>6</v>
      </c>
      <c r="N123" s="1" t="s">
        <v>13</v>
      </c>
      <c r="O123" s="1" t="s">
        <v>283</v>
      </c>
      <c r="P123" s="1" t="s">
        <v>2</v>
      </c>
      <c r="Q123" s="3">
        <v>2000000</v>
      </c>
      <c r="R123" s="7">
        <f t="shared" ca="1" si="1"/>
        <v>10</v>
      </c>
      <c r="S123" s="7" t="s">
        <v>390</v>
      </c>
      <c r="T123" s="7" t="e">
        <f>VLOOKUP(A123,[1]pipe!$A$16:$U$150,20,FALSE)</f>
        <v>#N/A</v>
      </c>
      <c r="U123" s="9" t="e">
        <f>VLOOKUP(A123,[1]pipe!$A$16:$U$150,21,FALSE)</f>
        <v>#N/A</v>
      </c>
    </row>
    <row r="124" spans="1:21" ht="46.5" customHeight="1" x14ac:dyDescent="0.35">
      <c r="A124" s="1">
        <v>58809676</v>
      </c>
      <c r="B124" s="2">
        <v>46076.592824074076</v>
      </c>
      <c r="C124" s="1">
        <v>59420318</v>
      </c>
      <c r="D124" s="2">
        <v>46086.618460648147</v>
      </c>
      <c r="E124" s="1" t="s">
        <v>157</v>
      </c>
      <c r="F124" s="1" t="s">
        <v>278</v>
      </c>
      <c r="G124" s="1">
        <v>586654060</v>
      </c>
      <c r="H124" s="1" t="s">
        <v>284</v>
      </c>
      <c r="I124" s="1" t="s">
        <v>2</v>
      </c>
      <c r="J124" s="1" t="s">
        <v>10</v>
      </c>
      <c r="K124" s="1" t="s">
        <v>11</v>
      </c>
      <c r="L124" s="1" t="s">
        <v>12</v>
      </c>
      <c r="M124" s="1" t="s">
        <v>6</v>
      </c>
      <c r="N124" s="1" t="s">
        <v>96</v>
      </c>
      <c r="O124" s="1" t="s">
        <v>281</v>
      </c>
      <c r="P124" s="1" t="s">
        <v>2</v>
      </c>
      <c r="Q124" s="3">
        <v>2000000</v>
      </c>
      <c r="R124" s="7">
        <f t="shared" ca="1" si="1"/>
        <v>10</v>
      </c>
      <c r="S124" s="7" t="s">
        <v>390</v>
      </c>
      <c r="T124" s="7" t="e">
        <f>VLOOKUP(A124,[1]pipe!$A$16:$U$150,20,FALSE)</f>
        <v>#N/A</v>
      </c>
      <c r="U124" s="9" t="e">
        <f>VLOOKUP(A124,[1]pipe!$A$16:$U$150,21,FALSE)</f>
        <v>#N/A</v>
      </c>
    </row>
    <row r="125" spans="1:21" ht="75.5" customHeight="1" x14ac:dyDescent="0.35">
      <c r="A125" s="1">
        <v>58821537</v>
      </c>
      <c r="B125" s="2">
        <v>46076.664479166669</v>
      </c>
      <c r="C125" s="1">
        <v>58968370</v>
      </c>
      <c r="D125" s="2">
        <v>46078.737893518519</v>
      </c>
      <c r="E125" s="1" t="s">
        <v>32</v>
      </c>
      <c r="F125" s="1" t="s">
        <v>285</v>
      </c>
      <c r="G125" s="1">
        <v>708086472</v>
      </c>
      <c r="H125" s="1" t="s">
        <v>286</v>
      </c>
      <c r="I125" s="1">
        <v>1825816</v>
      </c>
      <c r="J125" s="1" t="s">
        <v>20</v>
      </c>
      <c r="K125" s="1" t="s">
        <v>30</v>
      </c>
      <c r="L125" s="1" t="s">
        <v>12</v>
      </c>
      <c r="M125" s="1" t="s">
        <v>21</v>
      </c>
      <c r="N125" s="1" t="s">
        <v>13</v>
      </c>
      <c r="O125" s="1" t="s">
        <v>2</v>
      </c>
      <c r="P125" s="1" t="s">
        <v>2</v>
      </c>
      <c r="Q125" s="1" t="s">
        <v>2</v>
      </c>
      <c r="R125" s="7">
        <f t="shared" ca="1" si="1"/>
        <v>10</v>
      </c>
      <c r="S125" s="7" t="s">
        <v>390</v>
      </c>
      <c r="T125" s="7" t="e">
        <f>VLOOKUP(A125,[1]pipe!$A$16:$U$150,20,FALSE)</f>
        <v>#N/A</v>
      </c>
      <c r="U125" s="9" t="e">
        <f>VLOOKUP(A125,[1]pipe!$A$16:$U$150,21,FALSE)</f>
        <v>#N/A</v>
      </c>
    </row>
    <row r="126" spans="1:21" ht="65" x14ac:dyDescent="0.35">
      <c r="A126" s="1">
        <v>58821553</v>
      </c>
      <c r="B126" s="2">
        <v>46076.664525462962</v>
      </c>
      <c r="C126" s="1">
        <v>59420216</v>
      </c>
      <c r="D126" s="2">
        <v>46086.617581018516</v>
      </c>
      <c r="E126" s="1" t="s">
        <v>157</v>
      </c>
      <c r="F126" s="1" t="s">
        <v>287</v>
      </c>
      <c r="G126" s="1">
        <v>708086472</v>
      </c>
      <c r="H126" s="1" t="s">
        <v>288</v>
      </c>
      <c r="I126" s="1" t="s">
        <v>2</v>
      </c>
      <c r="J126" s="1" t="s">
        <v>10</v>
      </c>
      <c r="K126" s="1" t="s">
        <v>11</v>
      </c>
      <c r="L126" s="1" t="s">
        <v>12</v>
      </c>
      <c r="M126" s="1" t="s">
        <v>47</v>
      </c>
      <c r="N126" s="1" t="s">
        <v>13</v>
      </c>
      <c r="O126" s="1" t="s">
        <v>283</v>
      </c>
      <c r="P126" s="1" t="s">
        <v>2</v>
      </c>
      <c r="Q126" s="3">
        <v>705000</v>
      </c>
      <c r="R126" s="7">
        <f t="shared" ca="1" si="1"/>
        <v>10</v>
      </c>
      <c r="S126" s="7" t="s">
        <v>390</v>
      </c>
      <c r="T126" s="7" t="e">
        <f>VLOOKUP(A126,[1]pipe!$A$16:$U$150,20,FALSE)</f>
        <v>#N/A</v>
      </c>
      <c r="U126" s="9" t="e">
        <f>VLOOKUP(A126,[1]pipe!$A$16:$U$150,21,FALSE)</f>
        <v>#N/A</v>
      </c>
    </row>
    <row r="127" spans="1:21" ht="26" x14ac:dyDescent="0.35">
      <c r="A127" s="1">
        <v>58822576</v>
      </c>
      <c r="B127" s="2">
        <v>46076.670810185184</v>
      </c>
      <c r="C127" s="1">
        <v>59375318</v>
      </c>
      <c r="D127" s="2">
        <v>46085.763622685183</v>
      </c>
      <c r="E127" s="1" t="s">
        <v>15</v>
      </c>
      <c r="F127" s="1" t="s">
        <v>287</v>
      </c>
      <c r="G127" s="1">
        <v>708086472</v>
      </c>
      <c r="H127" s="1" t="s">
        <v>207</v>
      </c>
      <c r="I127" s="1" t="s">
        <v>2</v>
      </c>
      <c r="J127" s="1" t="s">
        <v>10</v>
      </c>
      <c r="K127" s="1" t="s">
        <v>30</v>
      </c>
      <c r="L127" s="1" t="s">
        <v>12</v>
      </c>
      <c r="M127" s="1" t="s">
        <v>25</v>
      </c>
      <c r="N127" s="1" t="s">
        <v>13</v>
      </c>
      <c r="O127" s="1" t="s">
        <v>289</v>
      </c>
      <c r="P127" s="1" t="s">
        <v>2</v>
      </c>
      <c r="Q127" s="1" t="s">
        <v>2</v>
      </c>
      <c r="R127" s="7">
        <f t="shared" ca="1" si="1"/>
        <v>10</v>
      </c>
      <c r="S127" s="7" t="s">
        <v>390</v>
      </c>
      <c r="T127" s="7" t="e">
        <f>VLOOKUP(A127,[1]pipe!$A$16:$U$150,20,FALSE)</f>
        <v>#N/A</v>
      </c>
      <c r="U127" s="9" t="e">
        <f>VLOOKUP(A127,[1]pipe!$A$16:$U$150,21,FALSE)</f>
        <v>#N/A</v>
      </c>
    </row>
    <row r="128" spans="1:21" ht="39" x14ac:dyDescent="0.35">
      <c r="A128" s="1">
        <v>58822595</v>
      </c>
      <c r="B128" s="2">
        <v>46076.670856481483</v>
      </c>
      <c r="C128" s="1">
        <v>59372769</v>
      </c>
      <c r="D128" s="2">
        <v>46085.738055555557</v>
      </c>
      <c r="E128" s="1" t="s">
        <v>290</v>
      </c>
      <c r="F128" s="1" t="s">
        <v>287</v>
      </c>
      <c r="G128" s="1">
        <v>708086472</v>
      </c>
      <c r="H128" s="1" t="s">
        <v>207</v>
      </c>
      <c r="I128" s="1" t="s">
        <v>2</v>
      </c>
      <c r="J128" s="1" t="s">
        <v>10</v>
      </c>
      <c r="K128" s="1" t="s">
        <v>30</v>
      </c>
      <c r="L128" s="1" t="s">
        <v>12</v>
      </c>
      <c r="M128" s="1" t="s">
        <v>47</v>
      </c>
      <c r="N128" s="1" t="s">
        <v>13</v>
      </c>
      <c r="O128" s="1" t="s">
        <v>160</v>
      </c>
      <c r="P128" s="1" t="s">
        <v>2</v>
      </c>
      <c r="Q128" s="3">
        <v>1150000</v>
      </c>
      <c r="R128" s="7">
        <f t="shared" ca="1" si="1"/>
        <v>10</v>
      </c>
      <c r="S128" s="7" t="s">
        <v>390</v>
      </c>
      <c r="T128" s="7" t="e">
        <f>VLOOKUP(A128,[1]pipe!$A$16:$U$150,20,FALSE)</f>
        <v>#N/A</v>
      </c>
      <c r="U128" s="9" t="e">
        <f>VLOOKUP(A128,[1]pipe!$A$16:$U$150,21,FALSE)</f>
        <v>#N/A</v>
      </c>
    </row>
    <row r="129" spans="1:21" ht="46" customHeight="1" x14ac:dyDescent="0.35">
      <c r="A129" s="1">
        <v>58823039</v>
      </c>
      <c r="B129" s="2">
        <v>46076.673564814817</v>
      </c>
      <c r="C129" s="1">
        <v>58968809</v>
      </c>
      <c r="D129" s="2">
        <v>46078.741932870369</v>
      </c>
      <c r="E129" s="1" t="s">
        <v>32</v>
      </c>
      <c r="F129" s="1" t="s">
        <v>285</v>
      </c>
      <c r="G129" s="1">
        <v>708086472</v>
      </c>
      <c r="H129" s="1" t="s">
        <v>291</v>
      </c>
      <c r="I129" s="1">
        <v>1825416</v>
      </c>
      <c r="J129" s="1" t="s">
        <v>20</v>
      </c>
      <c r="K129" s="1" t="s">
        <v>30</v>
      </c>
      <c r="L129" s="1" t="s">
        <v>12</v>
      </c>
      <c r="M129" s="1" t="s">
        <v>104</v>
      </c>
      <c r="N129" s="1" t="s">
        <v>13</v>
      </c>
      <c r="O129" s="1" t="s">
        <v>2</v>
      </c>
      <c r="P129" s="1" t="s">
        <v>2</v>
      </c>
      <c r="Q129" s="3">
        <v>780000</v>
      </c>
      <c r="R129" s="7">
        <f t="shared" ca="1" si="1"/>
        <v>10</v>
      </c>
      <c r="S129" s="7" t="s">
        <v>390</v>
      </c>
      <c r="T129" s="7" t="e">
        <f>VLOOKUP(A129,[1]pipe!$A$16:$U$150,20,FALSE)</f>
        <v>#N/A</v>
      </c>
      <c r="U129" s="9" t="e">
        <f>VLOOKUP(A129,[1]pipe!$A$16:$U$150,21,FALSE)</f>
        <v>#N/A</v>
      </c>
    </row>
    <row r="130" spans="1:21" ht="53" customHeight="1" x14ac:dyDescent="0.35">
      <c r="A130" s="1">
        <v>58823498</v>
      </c>
      <c r="B130" s="2">
        <v>46076.676828703705</v>
      </c>
      <c r="C130" s="1">
        <v>58968245</v>
      </c>
      <c r="D130" s="2">
        <v>46078.736076388886</v>
      </c>
      <c r="E130" s="1" t="s">
        <v>32</v>
      </c>
      <c r="F130" s="1" t="s">
        <v>285</v>
      </c>
      <c r="G130" s="1">
        <v>708086472</v>
      </c>
      <c r="H130" s="1" t="s">
        <v>292</v>
      </c>
      <c r="I130" s="1">
        <v>1825206</v>
      </c>
      <c r="J130" s="1" t="s">
        <v>20</v>
      </c>
      <c r="K130" s="1" t="s">
        <v>30</v>
      </c>
      <c r="L130" s="1" t="s">
        <v>12</v>
      </c>
      <c r="M130" s="1" t="s">
        <v>104</v>
      </c>
      <c r="N130" s="1" t="s">
        <v>13</v>
      </c>
      <c r="O130" s="1" t="s">
        <v>2</v>
      </c>
      <c r="P130" s="1" t="s">
        <v>2</v>
      </c>
      <c r="Q130" s="1" t="s">
        <v>2</v>
      </c>
      <c r="R130" s="7">
        <f t="shared" ca="1" si="1"/>
        <v>10</v>
      </c>
      <c r="S130" s="7" t="s">
        <v>390</v>
      </c>
      <c r="T130" s="7" t="e">
        <f>VLOOKUP(A130,[1]pipe!$A$16:$U$150,20,FALSE)</f>
        <v>#N/A</v>
      </c>
      <c r="U130" s="9" t="e">
        <f>VLOOKUP(A130,[1]pipe!$A$16:$U$150,21,FALSE)</f>
        <v>#N/A</v>
      </c>
    </row>
    <row r="131" spans="1:21" ht="52" x14ac:dyDescent="0.35">
      <c r="A131" s="1">
        <v>58824101</v>
      </c>
      <c r="B131" s="2">
        <v>46076.679837962962</v>
      </c>
      <c r="C131" s="1">
        <v>59353018</v>
      </c>
      <c r="D131" s="2">
        <v>46085.59946759259</v>
      </c>
      <c r="E131" s="1" t="s">
        <v>201</v>
      </c>
      <c r="F131" s="1" t="s">
        <v>287</v>
      </c>
      <c r="G131" s="1">
        <v>708086472</v>
      </c>
      <c r="H131" s="1" t="s">
        <v>116</v>
      </c>
      <c r="I131" s="1" t="s">
        <v>2</v>
      </c>
      <c r="J131" s="1" t="s">
        <v>10</v>
      </c>
      <c r="K131" s="1" t="s">
        <v>11</v>
      </c>
      <c r="L131" s="1" t="s">
        <v>12</v>
      </c>
      <c r="M131" s="1" t="s">
        <v>6</v>
      </c>
      <c r="N131" s="1" t="s">
        <v>96</v>
      </c>
      <c r="O131" s="1" t="s">
        <v>293</v>
      </c>
      <c r="P131" s="1" t="s">
        <v>2</v>
      </c>
      <c r="Q131" s="3">
        <v>543324</v>
      </c>
      <c r="R131" s="7">
        <f t="shared" ca="1" si="1"/>
        <v>10</v>
      </c>
      <c r="S131" s="7" t="s">
        <v>390</v>
      </c>
      <c r="T131" s="7" t="e">
        <f>VLOOKUP(A131,[1]pipe!$A$16:$U$150,20,FALSE)</f>
        <v>#N/A</v>
      </c>
      <c r="U131" s="9" t="e">
        <f>VLOOKUP(A131,[1]pipe!$A$16:$U$150,21,FALSE)</f>
        <v>#N/A</v>
      </c>
    </row>
    <row r="132" spans="1:21" ht="65" x14ac:dyDescent="0.35">
      <c r="A132" s="1">
        <v>58853633</v>
      </c>
      <c r="B132" s="2">
        <v>46077.3987037037</v>
      </c>
      <c r="C132" s="1">
        <v>59413043</v>
      </c>
      <c r="D132" s="2">
        <v>46086.55972222222</v>
      </c>
      <c r="E132" s="1" t="s">
        <v>157</v>
      </c>
      <c r="F132" s="1" t="s">
        <v>294</v>
      </c>
      <c r="G132" s="1">
        <v>748377555</v>
      </c>
      <c r="H132" s="1" t="s">
        <v>295</v>
      </c>
      <c r="I132" s="1" t="s">
        <v>2</v>
      </c>
      <c r="J132" s="1" t="s">
        <v>10</v>
      </c>
      <c r="K132" s="1" t="s">
        <v>30</v>
      </c>
      <c r="L132" s="1" t="s">
        <v>12</v>
      </c>
      <c r="M132" s="1" t="s">
        <v>25</v>
      </c>
      <c r="N132" s="1" t="s">
        <v>13</v>
      </c>
      <c r="O132" s="1" t="s">
        <v>253</v>
      </c>
      <c r="P132" s="1" t="s">
        <v>2</v>
      </c>
      <c r="Q132" s="1" t="s">
        <v>2</v>
      </c>
      <c r="R132" s="7">
        <f t="shared" ca="1" si="1"/>
        <v>9</v>
      </c>
      <c r="S132" s="7" t="s">
        <v>390</v>
      </c>
      <c r="T132" s="7" t="e">
        <f>VLOOKUP(A132,[1]pipe!$A$16:$U$150,20,FALSE)</f>
        <v>#N/A</v>
      </c>
      <c r="U132" s="9" t="e">
        <f>VLOOKUP(A132,[1]pipe!$A$16:$U$150,21,FALSE)</f>
        <v>#N/A</v>
      </c>
    </row>
    <row r="133" spans="1:21" ht="47.5" customHeight="1" x14ac:dyDescent="0.35">
      <c r="A133" s="1">
        <v>58853643</v>
      </c>
      <c r="B133" s="2">
        <v>46077.398726851854</v>
      </c>
      <c r="C133" s="1">
        <v>59364906</v>
      </c>
      <c r="D133" s="2">
        <v>46085.675868055558</v>
      </c>
      <c r="E133" s="1" t="s">
        <v>299</v>
      </c>
      <c r="F133" s="1" t="s">
        <v>18</v>
      </c>
      <c r="G133" s="1">
        <v>748377555</v>
      </c>
      <c r="H133" s="1" t="s">
        <v>296</v>
      </c>
      <c r="I133" s="1">
        <v>1827466</v>
      </c>
      <c r="J133" s="1" t="s">
        <v>20</v>
      </c>
      <c r="K133" s="1" t="s">
        <v>11</v>
      </c>
      <c r="L133" s="1" t="s">
        <v>12</v>
      </c>
      <c r="M133" s="1" t="s">
        <v>297</v>
      </c>
      <c r="N133" s="1" t="s">
        <v>13</v>
      </c>
      <c r="O133" s="1" t="s">
        <v>298</v>
      </c>
      <c r="P133" s="1" t="s">
        <v>2</v>
      </c>
      <c r="Q133" s="3">
        <v>5324000</v>
      </c>
      <c r="R133" s="7">
        <f t="shared" ca="1" si="1"/>
        <v>9</v>
      </c>
      <c r="S133" s="7" t="s">
        <v>390</v>
      </c>
      <c r="T133" s="7" t="e">
        <f>VLOOKUP(A133,[1]pipe!$A$16:$U$150,20,FALSE)</f>
        <v>#N/A</v>
      </c>
      <c r="U133" s="9" t="e">
        <f>VLOOKUP(A133,[1]pipe!$A$16:$U$150,21,FALSE)</f>
        <v>#N/A</v>
      </c>
    </row>
    <row r="134" spans="1:21" ht="26" x14ac:dyDescent="0.35">
      <c r="A134" s="1">
        <v>58855577</v>
      </c>
      <c r="B134" s="2">
        <v>46077.411886574075</v>
      </c>
      <c r="C134" s="1">
        <v>59199204</v>
      </c>
      <c r="D134" s="2">
        <v>46083.40960648148</v>
      </c>
      <c r="E134" s="1" t="s">
        <v>99</v>
      </c>
      <c r="F134" s="1" t="s">
        <v>300</v>
      </c>
      <c r="G134" s="1">
        <v>748377555</v>
      </c>
      <c r="H134" s="1" t="s">
        <v>272</v>
      </c>
      <c r="I134" s="1" t="s">
        <v>2</v>
      </c>
      <c r="J134" s="1" t="s">
        <v>10</v>
      </c>
      <c r="K134" s="1" t="s">
        <v>30</v>
      </c>
      <c r="L134" s="1" t="s">
        <v>12</v>
      </c>
      <c r="M134" s="1" t="s">
        <v>25</v>
      </c>
      <c r="N134" s="1" t="s">
        <v>13</v>
      </c>
      <c r="O134" s="1" t="s">
        <v>2</v>
      </c>
      <c r="P134" s="1" t="s">
        <v>2</v>
      </c>
      <c r="Q134" s="1" t="s">
        <v>2</v>
      </c>
      <c r="R134" s="7"/>
      <c r="S134" s="7" t="s">
        <v>391</v>
      </c>
      <c r="T134" s="7" t="s">
        <v>307</v>
      </c>
      <c r="U134" s="9" t="s">
        <v>392</v>
      </c>
    </row>
    <row r="135" spans="1:21" ht="39" x14ac:dyDescent="0.35">
      <c r="A135" s="1">
        <v>58855588</v>
      </c>
      <c r="B135" s="2">
        <v>46077.411909722221</v>
      </c>
      <c r="C135" s="1">
        <v>59199111</v>
      </c>
      <c r="D135" s="2">
        <v>46083.409178240741</v>
      </c>
      <c r="E135" s="1" t="s">
        <v>99</v>
      </c>
      <c r="F135" s="1" t="s">
        <v>300</v>
      </c>
      <c r="G135" s="1">
        <v>748377555</v>
      </c>
      <c r="H135" s="1" t="s">
        <v>272</v>
      </c>
      <c r="I135" s="1" t="s">
        <v>2</v>
      </c>
      <c r="J135" s="1" t="s">
        <v>10</v>
      </c>
      <c r="K135" s="1" t="s">
        <v>30</v>
      </c>
      <c r="L135" s="1" t="s">
        <v>12</v>
      </c>
      <c r="M135" s="1" t="s">
        <v>47</v>
      </c>
      <c r="N135" s="1" t="s">
        <v>13</v>
      </c>
      <c r="O135" s="1" t="s">
        <v>72</v>
      </c>
      <c r="P135" s="1" t="s">
        <v>2</v>
      </c>
      <c r="Q135" s="3">
        <v>5324000</v>
      </c>
      <c r="R135" s="7"/>
      <c r="S135" s="7" t="s">
        <v>391</v>
      </c>
      <c r="T135" s="7" t="s">
        <v>307</v>
      </c>
      <c r="U135" s="9" t="s">
        <v>392</v>
      </c>
    </row>
    <row r="136" spans="1:21" ht="26" x14ac:dyDescent="0.35">
      <c r="A136" s="1">
        <v>58856498</v>
      </c>
      <c r="B136" s="2">
        <v>46077.418171296296</v>
      </c>
      <c r="C136" s="1">
        <v>59199585</v>
      </c>
      <c r="D136" s="2">
        <v>46083.411944444444</v>
      </c>
      <c r="E136" s="1" t="s">
        <v>99</v>
      </c>
      <c r="F136" s="1" t="s">
        <v>301</v>
      </c>
      <c r="G136" s="1">
        <v>748377555</v>
      </c>
      <c r="H136" s="1" t="s">
        <v>302</v>
      </c>
      <c r="I136" s="1" t="s">
        <v>2</v>
      </c>
      <c r="J136" s="1" t="s">
        <v>10</v>
      </c>
      <c r="K136" s="1" t="s">
        <v>30</v>
      </c>
      <c r="L136" s="1" t="s">
        <v>12</v>
      </c>
      <c r="M136" s="1" t="s">
        <v>25</v>
      </c>
      <c r="N136" s="1" t="s">
        <v>13</v>
      </c>
      <c r="O136" s="1" t="s">
        <v>2</v>
      </c>
      <c r="P136" s="1" t="s">
        <v>2</v>
      </c>
      <c r="Q136" s="1" t="s">
        <v>2</v>
      </c>
      <c r="R136" s="7"/>
      <c r="S136" s="7" t="s">
        <v>391</v>
      </c>
      <c r="T136" s="7" t="s">
        <v>307</v>
      </c>
      <c r="U136" s="9" t="s">
        <v>392</v>
      </c>
    </row>
    <row r="137" spans="1:21" ht="39" x14ac:dyDescent="0.35">
      <c r="A137" s="1">
        <v>58856507</v>
      </c>
      <c r="B137" s="2">
        <v>46077.418194444443</v>
      </c>
      <c r="C137" s="1">
        <v>59199552</v>
      </c>
      <c r="D137" s="2">
        <v>46083.411817129629</v>
      </c>
      <c r="E137" s="1" t="s">
        <v>99</v>
      </c>
      <c r="F137" s="1" t="s">
        <v>301</v>
      </c>
      <c r="G137" s="1">
        <v>748377555</v>
      </c>
      <c r="H137" s="1" t="s">
        <v>302</v>
      </c>
      <c r="I137" s="1" t="s">
        <v>2</v>
      </c>
      <c r="J137" s="1" t="s">
        <v>10</v>
      </c>
      <c r="K137" s="1" t="s">
        <v>30</v>
      </c>
      <c r="L137" s="1" t="s">
        <v>12</v>
      </c>
      <c r="M137" s="1" t="s">
        <v>47</v>
      </c>
      <c r="N137" s="1" t="s">
        <v>13</v>
      </c>
      <c r="O137" s="1" t="s">
        <v>2</v>
      </c>
      <c r="P137" s="1" t="s">
        <v>2</v>
      </c>
      <c r="Q137" s="3">
        <v>5324000</v>
      </c>
      <c r="R137" s="7"/>
      <c r="S137" s="7" t="s">
        <v>391</v>
      </c>
      <c r="T137" s="7" t="s">
        <v>307</v>
      </c>
      <c r="U137" s="9" t="s">
        <v>392</v>
      </c>
    </row>
    <row r="138" spans="1:21" ht="35.5" customHeight="1" x14ac:dyDescent="0.35">
      <c r="A138" s="1">
        <v>58860531</v>
      </c>
      <c r="B138" s="2">
        <v>46077.446631944447</v>
      </c>
      <c r="C138" s="1">
        <v>59199646</v>
      </c>
      <c r="D138" s="2">
        <v>46083.412256944444</v>
      </c>
      <c r="E138" s="1" t="s">
        <v>99</v>
      </c>
      <c r="F138" s="1" t="s">
        <v>303</v>
      </c>
      <c r="G138" s="1">
        <v>748377555</v>
      </c>
      <c r="H138" s="1" t="s">
        <v>304</v>
      </c>
      <c r="I138" s="1" t="s">
        <v>2</v>
      </c>
      <c r="J138" s="1" t="s">
        <v>82</v>
      </c>
      <c r="K138" s="1" t="s">
        <v>30</v>
      </c>
      <c r="L138" s="1" t="s">
        <v>12</v>
      </c>
      <c r="M138" s="1" t="s">
        <v>25</v>
      </c>
      <c r="N138" s="1" t="s">
        <v>13</v>
      </c>
      <c r="O138" s="1" t="s">
        <v>43</v>
      </c>
      <c r="P138" s="1" t="s">
        <v>2</v>
      </c>
      <c r="Q138" s="1" t="s">
        <v>2</v>
      </c>
      <c r="R138" s="7"/>
      <c r="S138" s="7" t="s">
        <v>391</v>
      </c>
      <c r="T138" s="7" t="s">
        <v>307</v>
      </c>
      <c r="U138" s="9" t="s">
        <v>392</v>
      </c>
    </row>
    <row r="139" spans="1:21" ht="35" customHeight="1" x14ac:dyDescent="0.35">
      <c r="A139" s="1">
        <v>58860538</v>
      </c>
      <c r="B139" s="2">
        <v>46077.446666666663</v>
      </c>
      <c r="C139" s="1">
        <v>59199775</v>
      </c>
      <c r="D139" s="2">
        <v>46083.413703703707</v>
      </c>
      <c r="E139" s="1" t="s">
        <v>99</v>
      </c>
      <c r="F139" s="1" t="s">
        <v>303</v>
      </c>
      <c r="G139" s="1">
        <v>748377555</v>
      </c>
      <c r="H139" s="1" t="s">
        <v>304</v>
      </c>
      <c r="I139" s="1" t="s">
        <v>2</v>
      </c>
      <c r="J139" s="1" t="s">
        <v>82</v>
      </c>
      <c r="K139" s="1" t="s">
        <v>30</v>
      </c>
      <c r="L139" s="1" t="s">
        <v>12</v>
      </c>
      <c r="M139" s="1" t="s">
        <v>47</v>
      </c>
      <c r="N139" s="1" t="s">
        <v>13</v>
      </c>
      <c r="O139" s="1" t="s">
        <v>283</v>
      </c>
      <c r="P139" s="1" t="s">
        <v>2</v>
      </c>
      <c r="Q139" s="3">
        <v>5324000</v>
      </c>
      <c r="R139" s="7"/>
      <c r="S139" s="7" t="s">
        <v>391</v>
      </c>
      <c r="T139" s="7" t="s">
        <v>307</v>
      </c>
      <c r="U139" s="9" t="s">
        <v>392</v>
      </c>
    </row>
    <row r="140" spans="1:21" ht="58.5" customHeight="1" x14ac:dyDescent="0.35">
      <c r="A140" s="1">
        <v>58862661</v>
      </c>
      <c r="B140" s="2">
        <v>46077.461805555555</v>
      </c>
      <c r="C140" s="1">
        <v>59198170</v>
      </c>
      <c r="D140" s="2">
        <v>46083.398854166669</v>
      </c>
      <c r="E140" s="1" t="s">
        <v>99</v>
      </c>
      <c r="F140" s="1" t="s">
        <v>305</v>
      </c>
      <c r="G140" s="1">
        <v>748377555</v>
      </c>
      <c r="H140" s="1" t="s">
        <v>306</v>
      </c>
      <c r="I140" s="1" t="s">
        <v>2</v>
      </c>
      <c r="J140" s="1" t="s">
        <v>10</v>
      </c>
      <c r="K140" s="1" t="s">
        <v>30</v>
      </c>
      <c r="L140" s="1" t="s">
        <v>12</v>
      </c>
      <c r="M140" s="1" t="s">
        <v>25</v>
      </c>
      <c r="N140" s="1" t="s">
        <v>13</v>
      </c>
      <c r="O140" s="1" t="s">
        <v>43</v>
      </c>
      <c r="P140" s="1" t="s">
        <v>2</v>
      </c>
      <c r="Q140" s="1" t="s">
        <v>2</v>
      </c>
      <c r="R140" s="7"/>
      <c r="S140" s="7" t="s">
        <v>391</v>
      </c>
      <c r="T140" s="7" t="s">
        <v>307</v>
      </c>
      <c r="U140" s="9" t="s">
        <v>392</v>
      </c>
    </row>
    <row r="141" spans="1:21" ht="43" customHeight="1" x14ac:dyDescent="0.35">
      <c r="A141" s="1">
        <v>58862680</v>
      </c>
      <c r="B141" s="2">
        <v>46077.461828703701</v>
      </c>
      <c r="C141" s="1">
        <v>59199236</v>
      </c>
      <c r="D141" s="2">
        <v>46083.409849537034</v>
      </c>
      <c r="E141" s="1" t="s">
        <v>99</v>
      </c>
      <c r="F141" s="1" t="s">
        <v>305</v>
      </c>
      <c r="G141" s="1">
        <v>748377555</v>
      </c>
      <c r="H141" s="1" t="s">
        <v>306</v>
      </c>
      <c r="I141" s="1" t="s">
        <v>2</v>
      </c>
      <c r="J141" s="1" t="s">
        <v>10</v>
      </c>
      <c r="K141" s="1" t="s">
        <v>30</v>
      </c>
      <c r="L141" s="1" t="s">
        <v>12</v>
      </c>
      <c r="M141" s="1" t="s">
        <v>47</v>
      </c>
      <c r="N141" s="1" t="s">
        <v>13</v>
      </c>
      <c r="O141" s="1" t="s">
        <v>76</v>
      </c>
      <c r="P141" s="1" t="s">
        <v>2</v>
      </c>
      <c r="Q141" s="3">
        <v>5324000</v>
      </c>
      <c r="R141" s="7"/>
      <c r="S141" s="7" t="s">
        <v>391</v>
      </c>
      <c r="T141" s="7" t="s">
        <v>307</v>
      </c>
      <c r="U141" s="9" t="s">
        <v>392</v>
      </c>
    </row>
    <row r="142" spans="1:21" ht="26" x14ac:dyDescent="0.35">
      <c r="A142" s="1">
        <v>58868849</v>
      </c>
      <c r="B142" s="2">
        <v>46077.501203703701</v>
      </c>
      <c r="C142" s="1">
        <v>59199628</v>
      </c>
      <c r="D142" s="2">
        <v>46083.412129629629</v>
      </c>
      <c r="E142" s="1" t="s">
        <v>99</v>
      </c>
      <c r="F142" s="1" t="s">
        <v>307</v>
      </c>
      <c r="G142" s="1">
        <v>748377555</v>
      </c>
      <c r="H142" s="1" t="s">
        <v>308</v>
      </c>
      <c r="I142" s="1" t="s">
        <v>2</v>
      </c>
      <c r="J142" s="1" t="s">
        <v>10</v>
      </c>
      <c r="K142" s="1" t="s">
        <v>30</v>
      </c>
      <c r="L142" s="1" t="s">
        <v>12</v>
      </c>
      <c r="M142" s="1" t="s">
        <v>25</v>
      </c>
      <c r="N142" s="1" t="s">
        <v>13</v>
      </c>
      <c r="O142" s="1" t="s">
        <v>309</v>
      </c>
      <c r="P142" s="1" t="s">
        <v>2</v>
      </c>
      <c r="Q142" s="1" t="s">
        <v>2</v>
      </c>
      <c r="R142" s="7"/>
      <c r="S142" s="7" t="s">
        <v>391</v>
      </c>
      <c r="T142" s="7" t="s">
        <v>307</v>
      </c>
      <c r="U142" s="9" t="s">
        <v>392</v>
      </c>
    </row>
    <row r="143" spans="1:21" ht="39" x14ac:dyDescent="0.35">
      <c r="A143" s="1">
        <v>58868860</v>
      </c>
      <c r="B143" s="2">
        <v>46077.501238425924</v>
      </c>
      <c r="C143" s="1">
        <v>59198899</v>
      </c>
      <c r="D143" s="2">
        <v>46083.406967592593</v>
      </c>
      <c r="E143" s="1" t="s">
        <v>99</v>
      </c>
      <c r="F143" s="1" t="s">
        <v>307</v>
      </c>
      <c r="G143" s="1">
        <v>748377555</v>
      </c>
      <c r="H143" s="1" t="s">
        <v>308</v>
      </c>
      <c r="I143" s="1" t="s">
        <v>2</v>
      </c>
      <c r="J143" s="1" t="s">
        <v>10</v>
      </c>
      <c r="K143" s="1" t="s">
        <v>30</v>
      </c>
      <c r="L143" s="1" t="s">
        <v>12</v>
      </c>
      <c r="M143" s="1" t="s">
        <v>47</v>
      </c>
      <c r="N143" s="1" t="s">
        <v>13</v>
      </c>
      <c r="O143" s="1" t="s">
        <v>133</v>
      </c>
      <c r="P143" s="1" t="s">
        <v>2</v>
      </c>
      <c r="Q143" s="3">
        <v>5324000</v>
      </c>
      <c r="R143" s="7"/>
      <c r="S143" s="7" t="s">
        <v>391</v>
      </c>
      <c r="T143" s="7" t="s">
        <v>307</v>
      </c>
      <c r="U143" s="9" t="s">
        <v>392</v>
      </c>
    </row>
    <row r="144" spans="1:21" ht="26" x14ac:dyDescent="0.35">
      <c r="A144" s="1">
        <v>58885251</v>
      </c>
      <c r="B144" s="2">
        <v>46077.63863425926</v>
      </c>
      <c r="C144" s="1">
        <v>59198365</v>
      </c>
      <c r="D144" s="2">
        <v>46083.401273148149</v>
      </c>
      <c r="E144" s="1" t="s">
        <v>99</v>
      </c>
      <c r="F144" s="1" t="s">
        <v>307</v>
      </c>
      <c r="G144" s="1">
        <v>748377507</v>
      </c>
      <c r="H144" s="1" t="s">
        <v>310</v>
      </c>
      <c r="I144" s="1" t="s">
        <v>2</v>
      </c>
      <c r="J144" s="1" t="s">
        <v>10</v>
      </c>
      <c r="K144" s="1" t="s">
        <v>30</v>
      </c>
      <c r="L144" s="1" t="s">
        <v>12</v>
      </c>
      <c r="M144" s="1" t="s">
        <v>25</v>
      </c>
      <c r="N144" s="1" t="s">
        <v>13</v>
      </c>
      <c r="O144" s="1" t="s">
        <v>72</v>
      </c>
      <c r="P144" s="1" t="s">
        <v>2</v>
      </c>
      <c r="Q144" s="1" t="s">
        <v>2</v>
      </c>
      <c r="R144" s="7"/>
      <c r="S144" s="7" t="s">
        <v>391</v>
      </c>
      <c r="T144" s="7" t="s">
        <v>307</v>
      </c>
      <c r="U144" s="9" t="s">
        <v>392</v>
      </c>
    </row>
    <row r="145" spans="1:21" ht="39" x14ac:dyDescent="0.35">
      <c r="A145" s="1">
        <v>58885259</v>
      </c>
      <c r="B145" s="2">
        <v>46077.638657407406</v>
      </c>
      <c r="C145" s="1">
        <v>59199143</v>
      </c>
      <c r="D145" s="2">
        <v>46083.409409722219</v>
      </c>
      <c r="E145" s="1" t="s">
        <v>99</v>
      </c>
      <c r="F145" s="1" t="s">
        <v>307</v>
      </c>
      <c r="G145" s="1">
        <v>748377507</v>
      </c>
      <c r="H145" s="1" t="s">
        <v>310</v>
      </c>
      <c r="I145" s="1" t="s">
        <v>2</v>
      </c>
      <c r="J145" s="1" t="s">
        <v>10</v>
      </c>
      <c r="K145" s="1" t="s">
        <v>30</v>
      </c>
      <c r="L145" s="1" t="s">
        <v>12</v>
      </c>
      <c r="M145" s="1" t="s">
        <v>47</v>
      </c>
      <c r="N145" s="1" t="s">
        <v>13</v>
      </c>
      <c r="O145" s="1" t="s">
        <v>67</v>
      </c>
      <c r="P145" s="1" t="s">
        <v>2</v>
      </c>
      <c r="Q145" s="3">
        <v>5324000</v>
      </c>
      <c r="R145" s="7"/>
      <c r="S145" s="7" t="s">
        <v>391</v>
      </c>
      <c r="T145" s="7" t="s">
        <v>307</v>
      </c>
      <c r="U145" s="9" t="s">
        <v>392</v>
      </c>
    </row>
    <row r="146" spans="1:21" ht="26" x14ac:dyDescent="0.35">
      <c r="A146" s="1">
        <v>58889872</v>
      </c>
      <c r="B146" s="2">
        <v>46077.670567129629</v>
      </c>
      <c r="C146" s="1">
        <v>59199718</v>
      </c>
      <c r="D146" s="2">
        <v>46083.412951388891</v>
      </c>
      <c r="E146" s="1" t="s">
        <v>99</v>
      </c>
      <c r="F146" s="1" t="s">
        <v>307</v>
      </c>
      <c r="G146" s="1">
        <v>748377555</v>
      </c>
      <c r="H146" s="1" t="s">
        <v>311</v>
      </c>
      <c r="I146" s="1" t="s">
        <v>2</v>
      </c>
      <c r="J146" s="1" t="s">
        <v>10</v>
      </c>
      <c r="K146" s="1" t="s">
        <v>30</v>
      </c>
      <c r="L146" s="1" t="s">
        <v>12</v>
      </c>
      <c r="M146" s="1" t="s">
        <v>25</v>
      </c>
      <c r="N146" s="1" t="s">
        <v>13</v>
      </c>
      <c r="O146" s="1" t="s">
        <v>283</v>
      </c>
      <c r="P146" s="1" t="s">
        <v>2</v>
      </c>
      <c r="Q146" s="1" t="s">
        <v>2</v>
      </c>
      <c r="R146" s="7"/>
      <c r="S146" s="7" t="s">
        <v>391</v>
      </c>
      <c r="T146" s="7" t="s">
        <v>307</v>
      </c>
      <c r="U146" s="9" t="s">
        <v>392</v>
      </c>
    </row>
    <row r="147" spans="1:21" ht="39" x14ac:dyDescent="0.35">
      <c r="A147" s="1">
        <v>58889883</v>
      </c>
      <c r="B147" s="2">
        <v>46077.670601851853</v>
      </c>
      <c r="C147" s="1">
        <v>59199216</v>
      </c>
      <c r="D147" s="2">
        <v>46083.409733796296</v>
      </c>
      <c r="E147" s="1" t="s">
        <v>99</v>
      </c>
      <c r="F147" s="1" t="s">
        <v>307</v>
      </c>
      <c r="G147" s="1">
        <v>748377555</v>
      </c>
      <c r="H147" s="1" t="s">
        <v>311</v>
      </c>
      <c r="I147" s="1" t="s">
        <v>2</v>
      </c>
      <c r="J147" s="1" t="s">
        <v>10</v>
      </c>
      <c r="K147" s="1" t="s">
        <v>30</v>
      </c>
      <c r="L147" s="1" t="s">
        <v>12</v>
      </c>
      <c r="M147" s="1" t="s">
        <v>47</v>
      </c>
      <c r="N147" s="1" t="s">
        <v>13</v>
      </c>
      <c r="O147" s="1" t="s">
        <v>133</v>
      </c>
      <c r="P147" s="1" t="s">
        <v>2</v>
      </c>
      <c r="Q147" s="3">
        <v>5324000</v>
      </c>
      <c r="R147" s="7"/>
      <c r="S147" s="7" t="s">
        <v>391</v>
      </c>
      <c r="T147" s="7" t="s">
        <v>307</v>
      </c>
      <c r="U147" s="9" t="s">
        <v>392</v>
      </c>
    </row>
    <row r="148" spans="1:21" ht="26" x14ac:dyDescent="0.35">
      <c r="A148" s="1">
        <v>58892468</v>
      </c>
      <c r="B148" s="2">
        <v>46077.688321759262</v>
      </c>
      <c r="C148" s="1">
        <v>59199122</v>
      </c>
      <c r="D148" s="2">
        <v>46083.409282407411</v>
      </c>
      <c r="E148" s="1" t="s">
        <v>99</v>
      </c>
      <c r="F148" s="1" t="s">
        <v>307</v>
      </c>
      <c r="G148" s="1">
        <v>748377555</v>
      </c>
      <c r="H148" s="1" t="s">
        <v>312</v>
      </c>
      <c r="I148" s="1" t="s">
        <v>2</v>
      </c>
      <c r="J148" s="1" t="s">
        <v>10</v>
      </c>
      <c r="K148" s="1" t="s">
        <v>30</v>
      </c>
      <c r="L148" s="1" t="s">
        <v>12</v>
      </c>
      <c r="M148" s="1" t="s">
        <v>25</v>
      </c>
      <c r="N148" s="1" t="s">
        <v>13</v>
      </c>
      <c r="O148" s="1" t="s">
        <v>72</v>
      </c>
      <c r="P148" s="1" t="s">
        <v>2</v>
      </c>
      <c r="Q148" s="1" t="s">
        <v>2</v>
      </c>
      <c r="R148" s="7"/>
      <c r="S148" s="7" t="s">
        <v>391</v>
      </c>
      <c r="T148" s="7" t="s">
        <v>307</v>
      </c>
      <c r="U148" s="9" t="s">
        <v>392</v>
      </c>
    </row>
    <row r="149" spans="1:21" ht="39" x14ac:dyDescent="0.35">
      <c r="A149" s="1">
        <v>58892481</v>
      </c>
      <c r="B149" s="2">
        <v>46077.688344907408</v>
      </c>
      <c r="C149" s="1">
        <v>59199169</v>
      </c>
      <c r="D149" s="2">
        <v>46083.409502314818</v>
      </c>
      <c r="E149" s="1" t="s">
        <v>99</v>
      </c>
      <c r="F149" s="1" t="s">
        <v>307</v>
      </c>
      <c r="G149" s="1">
        <v>748377555</v>
      </c>
      <c r="H149" s="1" t="s">
        <v>312</v>
      </c>
      <c r="I149" s="1" t="s">
        <v>2</v>
      </c>
      <c r="J149" s="1" t="s">
        <v>10</v>
      </c>
      <c r="K149" s="1" t="s">
        <v>30</v>
      </c>
      <c r="L149" s="1" t="s">
        <v>12</v>
      </c>
      <c r="M149" s="1" t="s">
        <v>47</v>
      </c>
      <c r="N149" s="1" t="s">
        <v>13</v>
      </c>
      <c r="O149" s="1" t="s">
        <v>313</v>
      </c>
      <c r="P149" s="1" t="s">
        <v>2</v>
      </c>
      <c r="Q149" s="3">
        <v>5324000</v>
      </c>
      <c r="R149" s="7"/>
      <c r="S149" s="7" t="s">
        <v>391</v>
      </c>
      <c r="T149" s="7" t="s">
        <v>307</v>
      </c>
      <c r="U149" s="9" t="s">
        <v>392</v>
      </c>
    </row>
    <row r="150" spans="1:21" ht="30.5" customHeight="1" x14ac:dyDescent="0.35">
      <c r="A150" s="1">
        <v>58897521</v>
      </c>
      <c r="B150" s="2">
        <v>46077.724490740744</v>
      </c>
      <c r="C150" s="1">
        <v>59396695</v>
      </c>
      <c r="D150" s="2">
        <v>46086.436249999999</v>
      </c>
      <c r="E150" s="1" t="s">
        <v>317</v>
      </c>
      <c r="F150" s="1" t="s">
        <v>314</v>
      </c>
      <c r="G150" s="1">
        <v>707966030</v>
      </c>
      <c r="H150" s="1" t="s">
        <v>315</v>
      </c>
      <c r="I150" s="1">
        <v>1828806</v>
      </c>
      <c r="J150" s="1" t="s">
        <v>20</v>
      </c>
      <c r="K150" s="1" t="s">
        <v>30</v>
      </c>
      <c r="L150" s="1" t="s">
        <v>12</v>
      </c>
      <c r="M150" s="1" t="s">
        <v>6</v>
      </c>
      <c r="N150" s="1" t="s">
        <v>13</v>
      </c>
      <c r="O150" s="1" t="s">
        <v>316</v>
      </c>
      <c r="P150" s="1" t="s">
        <v>2</v>
      </c>
      <c r="Q150" s="3">
        <v>2400000</v>
      </c>
      <c r="R150" s="7">
        <f t="shared" ref="R150:R180" ca="1" si="2">NETWORKDAYS(B150,TODAY())</f>
        <v>9</v>
      </c>
      <c r="S150" s="7" t="s">
        <v>390</v>
      </c>
      <c r="T150" s="7" t="e">
        <f>VLOOKUP(A150,[1]pipe!$A$16:$U$150,20,FALSE)</f>
        <v>#N/A</v>
      </c>
      <c r="U150" s="9" t="e">
        <f>VLOOKUP(A150,[1]pipe!$A$16:$U$150,21,FALSE)</f>
        <v>#N/A</v>
      </c>
    </row>
    <row r="151" spans="1:21" ht="26" x14ac:dyDescent="0.35">
      <c r="A151" s="1">
        <v>58925987</v>
      </c>
      <c r="B151" s="2">
        <v>46078.434814814813</v>
      </c>
      <c r="C151" s="1">
        <v>59309419</v>
      </c>
      <c r="D151" s="2">
        <v>46084.772407407407</v>
      </c>
      <c r="E151" s="1" t="s">
        <v>32</v>
      </c>
      <c r="F151" s="1" t="s">
        <v>318</v>
      </c>
      <c r="G151" s="1">
        <v>708641473</v>
      </c>
      <c r="H151" s="1" t="s">
        <v>318</v>
      </c>
      <c r="I151" s="1" t="s">
        <v>2</v>
      </c>
      <c r="J151" s="1" t="s">
        <v>3</v>
      </c>
      <c r="K151" s="1" t="s">
        <v>4</v>
      </c>
      <c r="L151" s="1" t="s">
        <v>5</v>
      </c>
      <c r="M151" s="1" t="s">
        <v>6</v>
      </c>
      <c r="N151" s="1" t="s">
        <v>13</v>
      </c>
      <c r="O151" s="1" t="s">
        <v>281</v>
      </c>
      <c r="P151" s="1" t="s">
        <v>2</v>
      </c>
      <c r="Q151" s="1" t="s">
        <v>2</v>
      </c>
      <c r="R151" s="7">
        <f t="shared" ca="1" si="2"/>
        <v>8</v>
      </c>
      <c r="S151" s="7" t="s">
        <v>390</v>
      </c>
      <c r="T151" s="7" t="e">
        <f>VLOOKUP(A151,[1]pipe!$A$16:$U$150,20,FALSE)</f>
        <v>#N/A</v>
      </c>
      <c r="U151" s="9" t="e">
        <f>VLOOKUP(A151,[1]pipe!$A$16:$U$150,21,FALSE)</f>
        <v>#N/A</v>
      </c>
    </row>
    <row r="152" spans="1:21" ht="40" customHeight="1" x14ac:dyDescent="0.35">
      <c r="A152" s="1">
        <v>58951364</v>
      </c>
      <c r="B152" s="2">
        <v>46078.611458333333</v>
      </c>
      <c r="C152" s="1">
        <v>59388240</v>
      </c>
      <c r="D152" s="2">
        <v>46086.348240740743</v>
      </c>
      <c r="E152" s="1" t="s">
        <v>84</v>
      </c>
      <c r="F152" s="1" t="s">
        <v>319</v>
      </c>
      <c r="G152" s="1">
        <v>709565662</v>
      </c>
      <c r="H152" s="1" t="s">
        <v>320</v>
      </c>
      <c r="I152" s="1" t="s">
        <v>2</v>
      </c>
      <c r="J152" s="1" t="s">
        <v>129</v>
      </c>
      <c r="K152" s="1" t="s">
        <v>30</v>
      </c>
      <c r="L152" s="1" t="s">
        <v>5</v>
      </c>
      <c r="M152" s="1" t="s">
        <v>6</v>
      </c>
      <c r="N152" s="1" t="s">
        <v>13</v>
      </c>
      <c r="O152" s="1" t="s">
        <v>283</v>
      </c>
      <c r="P152" s="1" t="s">
        <v>2</v>
      </c>
      <c r="Q152" s="1" t="s">
        <v>2</v>
      </c>
      <c r="R152" s="7">
        <f t="shared" ca="1" si="2"/>
        <v>8</v>
      </c>
      <c r="S152" s="7" t="s">
        <v>390</v>
      </c>
      <c r="T152" s="7" t="e">
        <f>VLOOKUP(A152,[1]pipe!$A$16:$U$150,20,FALSE)</f>
        <v>#N/A</v>
      </c>
      <c r="U152" s="9" t="e">
        <f>VLOOKUP(A152,[1]pipe!$A$16:$U$150,21,FALSE)</f>
        <v>#N/A</v>
      </c>
    </row>
    <row r="153" spans="1:21" ht="37.5" customHeight="1" x14ac:dyDescent="0.35">
      <c r="A153" s="1">
        <v>58952151</v>
      </c>
      <c r="B153" s="2">
        <v>46078.615104166667</v>
      </c>
      <c r="C153" s="1">
        <v>59388181</v>
      </c>
      <c r="D153" s="2">
        <v>46086.347534722219</v>
      </c>
      <c r="E153" s="1" t="s">
        <v>84</v>
      </c>
      <c r="F153" s="1" t="s">
        <v>319</v>
      </c>
      <c r="G153" s="1">
        <v>709565662</v>
      </c>
      <c r="H153" s="1" t="s">
        <v>320</v>
      </c>
      <c r="I153" s="1" t="s">
        <v>2</v>
      </c>
      <c r="J153" s="1" t="s">
        <v>129</v>
      </c>
      <c r="K153" s="1" t="s">
        <v>30</v>
      </c>
      <c r="L153" s="1" t="s">
        <v>5</v>
      </c>
      <c r="M153" s="1" t="s">
        <v>6</v>
      </c>
      <c r="N153" s="1" t="s">
        <v>13</v>
      </c>
      <c r="O153" s="1">
        <v>2721712030</v>
      </c>
      <c r="P153" s="1" t="s">
        <v>2</v>
      </c>
      <c r="Q153" s="1" t="s">
        <v>2</v>
      </c>
      <c r="R153" s="7">
        <f t="shared" ca="1" si="2"/>
        <v>8</v>
      </c>
      <c r="S153" s="7" t="s">
        <v>390</v>
      </c>
      <c r="T153" s="7" t="e">
        <f>VLOOKUP(A153,[1]pipe!$A$16:$U$150,20,FALSE)</f>
        <v>#N/A</v>
      </c>
      <c r="U153" s="9" t="e">
        <f>VLOOKUP(A153,[1]pipe!$A$16:$U$150,21,FALSE)</f>
        <v>#N/A</v>
      </c>
    </row>
    <row r="154" spans="1:21" ht="36.5" customHeight="1" x14ac:dyDescent="0.35">
      <c r="A154" s="1">
        <v>58959238</v>
      </c>
      <c r="B154" s="2">
        <v>46078.665532407409</v>
      </c>
      <c r="C154" s="1">
        <v>59309407</v>
      </c>
      <c r="D154" s="2">
        <v>46084.772094907406</v>
      </c>
      <c r="E154" s="1" t="s">
        <v>32</v>
      </c>
      <c r="F154" s="1" t="s">
        <v>318</v>
      </c>
      <c r="G154" s="1">
        <v>708641473</v>
      </c>
      <c r="H154" s="1" t="s">
        <v>321</v>
      </c>
      <c r="I154" s="1" t="s">
        <v>2</v>
      </c>
      <c r="J154" s="1" t="s">
        <v>35</v>
      </c>
      <c r="K154" s="1" t="s">
        <v>30</v>
      </c>
      <c r="L154" s="1" t="s">
        <v>36</v>
      </c>
      <c r="M154" s="1" t="s">
        <v>6</v>
      </c>
      <c r="N154" s="1" t="s">
        <v>13</v>
      </c>
      <c r="O154" s="1" t="s">
        <v>67</v>
      </c>
      <c r="P154" s="1" t="s">
        <v>2</v>
      </c>
      <c r="Q154" s="3">
        <v>850000</v>
      </c>
      <c r="R154" s="7">
        <f t="shared" ca="1" si="2"/>
        <v>8</v>
      </c>
      <c r="S154" s="7" t="s">
        <v>390</v>
      </c>
      <c r="T154" s="7" t="e">
        <f>VLOOKUP(A154,[1]pipe!$A$16:$U$150,20,FALSE)</f>
        <v>#N/A</v>
      </c>
      <c r="U154" s="9" t="e">
        <f>VLOOKUP(A154,[1]pipe!$A$16:$U$150,21,FALSE)</f>
        <v>#N/A</v>
      </c>
    </row>
    <row r="155" spans="1:21" ht="30.5" customHeight="1" x14ac:dyDescent="0.35">
      <c r="A155" s="1">
        <v>58963630</v>
      </c>
      <c r="B155" s="2">
        <v>46078.697002314817</v>
      </c>
      <c r="C155" s="1">
        <v>59334717</v>
      </c>
      <c r="D155" s="2">
        <v>46085.468530092592</v>
      </c>
      <c r="E155" s="1" t="s">
        <v>290</v>
      </c>
      <c r="F155" s="1" t="s">
        <v>322</v>
      </c>
      <c r="G155" s="1">
        <v>747726344</v>
      </c>
      <c r="H155" s="1" t="s">
        <v>323</v>
      </c>
      <c r="I155" s="1" t="s">
        <v>2</v>
      </c>
      <c r="J155" s="1" t="s">
        <v>35</v>
      </c>
      <c r="K155" s="1" t="s">
        <v>30</v>
      </c>
      <c r="L155" s="1" t="s">
        <v>36</v>
      </c>
      <c r="M155" s="1" t="s">
        <v>25</v>
      </c>
      <c r="N155" s="1" t="s">
        <v>13</v>
      </c>
      <c r="O155" s="1" t="s">
        <v>87</v>
      </c>
      <c r="P155" s="1" t="s">
        <v>2</v>
      </c>
      <c r="Q155" s="1" t="s">
        <v>2</v>
      </c>
      <c r="R155" s="7">
        <f t="shared" ca="1" si="2"/>
        <v>8</v>
      </c>
      <c r="S155" s="7" t="s">
        <v>390</v>
      </c>
      <c r="T155" s="7" t="e">
        <f>VLOOKUP(A155,[1]pipe!$A$16:$U$150,20,FALSE)</f>
        <v>#N/A</v>
      </c>
      <c r="U155" s="9" t="e">
        <f>VLOOKUP(A155,[1]pipe!$A$16:$U$150,21,FALSE)</f>
        <v>#N/A</v>
      </c>
    </row>
    <row r="156" spans="1:21" ht="39" customHeight="1" x14ac:dyDescent="0.35">
      <c r="A156" s="1">
        <v>58963646</v>
      </c>
      <c r="B156" s="2">
        <v>46078.697048611109</v>
      </c>
      <c r="C156" s="1">
        <v>59334643</v>
      </c>
      <c r="D156" s="2">
        <v>46085.468009259261</v>
      </c>
      <c r="E156" s="1" t="s">
        <v>290</v>
      </c>
      <c r="F156" s="1" t="s">
        <v>322</v>
      </c>
      <c r="G156" s="1">
        <v>747726344</v>
      </c>
      <c r="H156" s="1" t="s">
        <v>323</v>
      </c>
      <c r="I156" s="1" t="s">
        <v>2</v>
      </c>
      <c r="J156" s="1" t="s">
        <v>35</v>
      </c>
      <c r="K156" s="1" t="s">
        <v>30</v>
      </c>
      <c r="L156" s="1" t="s">
        <v>36</v>
      </c>
      <c r="M156" s="1" t="s">
        <v>47</v>
      </c>
      <c r="N156" s="1" t="s">
        <v>13</v>
      </c>
      <c r="O156" s="1" t="s">
        <v>67</v>
      </c>
      <c r="P156" s="1" t="s">
        <v>2</v>
      </c>
      <c r="Q156" s="1">
        <v>0</v>
      </c>
      <c r="R156" s="7">
        <f t="shared" ca="1" si="2"/>
        <v>8</v>
      </c>
      <c r="S156" s="7" t="s">
        <v>390</v>
      </c>
      <c r="T156" s="7" t="e">
        <f>VLOOKUP(A156,[1]pipe!$A$16:$U$150,20,FALSE)</f>
        <v>#N/A</v>
      </c>
      <c r="U156" s="9" t="e">
        <f>VLOOKUP(A156,[1]pipe!$A$16:$U$150,21,FALSE)</f>
        <v>#N/A</v>
      </c>
    </row>
    <row r="157" spans="1:21" ht="26" x14ac:dyDescent="0.35">
      <c r="A157" s="1">
        <v>59019541</v>
      </c>
      <c r="B157" s="2">
        <v>46079.637060185189</v>
      </c>
      <c r="C157" s="1">
        <v>59400368</v>
      </c>
      <c r="D157" s="2">
        <v>46086.463425925926</v>
      </c>
      <c r="E157" s="1" t="s">
        <v>325</v>
      </c>
      <c r="F157" s="1" t="s">
        <v>324</v>
      </c>
      <c r="G157" s="1">
        <v>747111735</v>
      </c>
      <c r="H157" s="1" t="s">
        <v>260</v>
      </c>
      <c r="I157" s="1" t="s">
        <v>2</v>
      </c>
      <c r="J157" s="1" t="s">
        <v>3</v>
      </c>
      <c r="K157" s="1" t="s">
        <v>55</v>
      </c>
      <c r="L157" s="1" t="s">
        <v>5</v>
      </c>
      <c r="M157" s="1" t="s">
        <v>6</v>
      </c>
      <c r="N157" s="1" t="s">
        <v>13</v>
      </c>
      <c r="O157" s="1">
        <v>2723489400</v>
      </c>
      <c r="P157" s="1" t="s">
        <v>2</v>
      </c>
      <c r="Q157" s="1" t="s">
        <v>2</v>
      </c>
      <c r="R157" s="7">
        <f t="shared" ca="1" si="2"/>
        <v>7</v>
      </c>
      <c r="S157" s="7" t="s">
        <v>390</v>
      </c>
      <c r="T157" s="7" t="e">
        <f>VLOOKUP(A157,[1]pipe!$A$16:$U$150,20,FALSE)</f>
        <v>#N/A</v>
      </c>
      <c r="U157" s="9" t="e">
        <f>VLOOKUP(A157,[1]pipe!$A$16:$U$150,21,FALSE)</f>
        <v>#N/A</v>
      </c>
    </row>
    <row r="158" spans="1:21" ht="63.5" customHeight="1" x14ac:dyDescent="0.35">
      <c r="A158" s="1">
        <v>59027644</v>
      </c>
      <c r="B158" s="2">
        <v>46079.69427083333</v>
      </c>
      <c r="C158" s="1">
        <v>59407120</v>
      </c>
      <c r="D158" s="2">
        <v>46086.514444444445</v>
      </c>
      <c r="E158" s="1" t="s">
        <v>325</v>
      </c>
      <c r="F158" s="1" t="s">
        <v>324</v>
      </c>
      <c r="G158" s="1">
        <v>747111735</v>
      </c>
      <c r="H158" s="1" t="s">
        <v>326</v>
      </c>
      <c r="I158" s="1">
        <v>1833216</v>
      </c>
      <c r="J158" s="1" t="s">
        <v>78</v>
      </c>
      <c r="K158" s="1" t="s">
        <v>11</v>
      </c>
      <c r="L158" s="1" t="s">
        <v>36</v>
      </c>
      <c r="M158" s="1" t="s">
        <v>6</v>
      </c>
      <c r="N158" s="1" t="s">
        <v>13</v>
      </c>
      <c r="O158" s="1" t="s">
        <v>327</v>
      </c>
      <c r="P158" s="1" t="s">
        <v>2</v>
      </c>
      <c r="Q158" s="3">
        <v>1500000</v>
      </c>
      <c r="R158" s="7">
        <f t="shared" ca="1" si="2"/>
        <v>7</v>
      </c>
      <c r="S158" s="7" t="s">
        <v>390</v>
      </c>
      <c r="T158" s="7" t="e">
        <f>VLOOKUP(A158,[1]pipe!$A$16:$U$150,20,FALSE)</f>
        <v>#N/A</v>
      </c>
      <c r="U158" s="9" t="e">
        <f>VLOOKUP(A158,[1]pipe!$A$16:$U$150,21,FALSE)</f>
        <v>#N/A</v>
      </c>
    </row>
    <row r="159" spans="1:21" ht="52.5" customHeight="1" x14ac:dyDescent="0.35">
      <c r="A159" s="1">
        <v>59078958</v>
      </c>
      <c r="B159" s="2">
        <v>46080.616597222222</v>
      </c>
      <c r="C159" s="1">
        <v>59410716</v>
      </c>
      <c r="D159" s="2">
        <v>46086.541620370372</v>
      </c>
      <c r="E159" s="1" t="s">
        <v>325</v>
      </c>
      <c r="F159" s="1" t="s">
        <v>328</v>
      </c>
      <c r="G159" s="1">
        <v>779273099</v>
      </c>
      <c r="H159" s="1" t="s">
        <v>329</v>
      </c>
      <c r="I159" s="1" t="s">
        <v>2</v>
      </c>
      <c r="J159" s="1" t="s">
        <v>10</v>
      </c>
      <c r="K159" s="1" t="s">
        <v>30</v>
      </c>
      <c r="L159" s="1" t="s">
        <v>12</v>
      </c>
      <c r="M159" s="1" t="s">
        <v>6</v>
      </c>
      <c r="N159" s="1" t="s">
        <v>13</v>
      </c>
      <c r="O159" s="1" t="s">
        <v>330</v>
      </c>
      <c r="P159" s="1" t="s">
        <v>2</v>
      </c>
      <c r="Q159" s="1">
        <v>0</v>
      </c>
      <c r="R159" s="7">
        <f t="shared" ca="1" si="2"/>
        <v>6</v>
      </c>
      <c r="S159" s="7" t="s">
        <v>390</v>
      </c>
      <c r="T159" s="7" t="e">
        <f>VLOOKUP(A159,[1]pipe!$A$16:$U$150,20,FALSE)</f>
        <v>#N/A</v>
      </c>
      <c r="U159" s="9" t="e">
        <f>VLOOKUP(A159,[1]pipe!$A$16:$U$150,21,FALSE)</f>
        <v>#N/A</v>
      </c>
    </row>
    <row r="160" spans="1:21" ht="52" x14ac:dyDescent="0.35">
      <c r="A160" s="1">
        <v>59207750</v>
      </c>
      <c r="B160" s="2">
        <v>46083.476817129631</v>
      </c>
      <c r="C160" s="1">
        <v>59434379</v>
      </c>
      <c r="D160" s="2">
        <v>46086.713078703702</v>
      </c>
      <c r="E160" s="1" t="s">
        <v>317</v>
      </c>
      <c r="F160" s="1" t="s">
        <v>331</v>
      </c>
      <c r="G160" s="1">
        <v>758501635</v>
      </c>
      <c r="H160" s="1" t="s">
        <v>42</v>
      </c>
      <c r="I160" s="1">
        <v>1833206</v>
      </c>
      <c r="J160" s="1" t="s">
        <v>78</v>
      </c>
      <c r="K160" s="1" t="s">
        <v>11</v>
      </c>
      <c r="L160" s="1" t="s">
        <v>36</v>
      </c>
      <c r="M160" s="1" t="s">
        <v>6</v>
      </c>
      <c r="N160" s="1" t="s">
        <v>13</v>
      </c>
      <c r="O160" s="1" t="s">
        <v>332</v>
      </c>
      <c r="P160" s="1" t="s">
        <v>2</v>
      </c>
      <c r="Q160" s="3">
        <v>1000000</v>
      </c>
      <c r="R160" s="7">
        <f t="shared" ca="1" si="2"/>
        <v>5</v>
      </c>
      <c r="S160" s="7" t="s">
        <v>390</v>
      </c>
      <c r="T160" s="7" t="e">
        <f>VLOOKUP(A160,[1]pipe!$A$16:$U$150,20,FALSE)</f>
        <v>#N/A</v>
      </c>
      <c r="U160" s="9" t="e">
        <f>VLOOKUP(A160,[1]pipe!$A$16:$U$150,21,FALSE)</f>
        <v>#N/A</v>
      </c>
    </row>
    <row r="161" spans="1:21" ht="39" x14ac:dyDescent="0.35">
      <c r="A161" s="1">
        <v>59248227</v>
      </c>
      <c r="B161" s="2">
        <v>46083.789641203701</v>
      </c>
      <c r="C161" s="1">
        <v>59421242</v>
      </c>
      <c r="D161" s="2">
        <v>46086.624351851853</v>
      </c>
      <c r="E161" s="1" t="s">
        <v>334</v>
      </c>
      <c r="F161" s="1" t="s">
        <v>333</v>
      </c>
      <c r="G161" s="1">
        <v>707478577</v>
      </c>
      <c r="H161" s="1" t="s">
        <v>265</v>
      </c>
      <c r="I161" s="1" t="s">
        <v>2</v>
      </c>
      <c r="J161" s="1" t="s">
        <v>35</v>
      </c>
      <c r="K161" s="1" t="s">
        <v>30</v>
      </c>
      <c r="L161" s="1" t="s">
        <v>36</v>
      </c>
      <c r="M161" s="1" t="s">
        <v>6</v>
      </c>
      <c r="N161" s="1" t="s">
        <v>13</v>
      </c>
      <c r="O161" s="1" t="s">
        <v>72</v>
      </c>
      <c r="P161" s="1" t="s">
        <v>2</v>
      </c>
      <c r="Q161" s="3">
        <v>800000</v>
      </c>
      <c r="R161" s="7">
        <f t="shared" ca="1" si="2"/>
        <v>5</v>
      </c>
      <c r="S161" s="7" t="s">
        <v>390</v>
      </c>
      <c r="T161" s="7" t="e">
        <f>VLOOKUP(A161,[1]pipe!$A$16:$U$150,20,FALSE)</f>
        <v>#N/A</v>
      </c>
      <c r="U161" s="9" t="e">
        <f>VLOOKUP(A161,[1]pipe!$A$16:$U$150,21,FALSE)</f>
        <v>#N/A</v>
      </c>
    </row>
    <row r="162" spans="1:21" ht="39" x14ac:dyDescent="0.35">
      <c r="A162" s="1">
        <v>59278285</v>
      </c>
      <c r="B162" s="2">
        <v>46084.516597222224</v>
      </c>
      <c r="C162" s="1">
        <v>59389941</v>
      </c>
      <c r="D162" s="2">
        <v>46086.37222222222</v>
      </c>
      <c r="E162" s="1" t="s">
        <v>290</v>
      </c>
      <c r="F162" s="1" t="s">
        <v>335</v>
      </c>
      <c r="G162" s="1">
        <v>759651079</v>
      </c>
      <c r="H162" s="1" t="s">
        <v>336</v>
      </c>
      <c r="I162" s="1" t="s">
        <v>2</v>
      </c>
      <c r="J162" s="1" t="s">
        <v>10</v>
      </c>
      <c r="K162" s="1" t="s">
        <v>30</v>
      </c>
      <c r="L162" s="1" t="s">
        <v>12</v>
      </c>
      <c r="M162" s="1" t="s">
        <v>6</v>
      </c>
      <c r="N162" s="1" t="s">
        <v>96</v>
      </c>
      <c r="O162" s="1" t="s">
        <v>337</v>
      </c>
      <c r="P162" s="1" t="s">
        <v>2</v>
      </c>
      <c r="Q162" s="3">
        <v>500000</v>
      </c>
      <c r="R162" s="7">
        <f t="shared" ca="1" si="2"/>
        <v>4</v>
      </c>
      <c r="S162" s="7" t="s">
        <v>390</v>
      </c>
      <c r="T162" s="7" t="e">
        <f>VLOOKUP(A162,[1]pipe!$A$16:$U$150,20,FALSE)</f>
        <v>#N/A</v>
      </c>
      <c r="U162" s="9" t="e">
        <f>VLOOKUP(A162,[1]pipe!$A$16:$U$150,21,FALSE)</f>
        <v>#N/A</v>
      </c>
    </row>
    <row r="163" spans="1:21" ht="39" x14ac:dyDescent="0.35">
      <c r="A163" s="1">
        <v>59278925</v>
      </c>
      <c r="B163" s="2">
        <v>46084.521053240744</v>
      </c>
      <c r="C163" s="1">
        <v>59421631</v>
      </c>
      <c r="D163" s="2">
        <v>46086.62767361111</v>
      </c>
      <c r="E163" s="1" t="s">
        <v>334</v>
      </c>
      <c r="F163" s="1" t="s">
        <v>335</v>
      </c>
      <c r="G163" s="1">
        <v>759651079</v>
      </c>
      <c r="H163" s="1" t="s">
        <v>338</v>
      </c>
      <c r="I163" s="1" t="s">
        <v>2</v>
      </c>
      <c r="J163" s="1" t="s">
        <v>10</v>
      </c>
      <c r="K163" s="1" t="s">
        <v>30</v>
      </c>
      <c r="L163" s="1" t="s">
        <v>12</v>
      </c>
      <c r="M163" s="1" t="s">
        <v>6</v>
      </c>
      <c r="N163" s="1" t="s">
        <v>13</v>
      </c>
      <c r="O163" s="1" t="s">
        <v>281</v>
      </c>
      <c r="P163" s="1" t="s">
        <v>2</v>
      </c>
      <c r="Q163" s="3">
        <v>500000</v>
      </c>
      <c r="R163" s="7">
        <f t="shared" ca="1" si="2"/>
        <v>4</v>
      </c>
      <c r="S163" s="7" t="s">
        <v>390</v>
      </c>
      <c r="T163" s="7" t="e">
        <f>VLOOKUP(A163,[1]pipe!$A$16:$U$150,20,FALSE)</f>
        <v>#N/A</v>
      </c>
      <c r="U163" s="9" t="e">
        <f>VLOOKUP(A163,[1]pipe!$A$16:$U$150,21,FALSE)</f>
        <v>#N/A</v>
      </c>
    </row>
    <row r="164" spans="1:21" ht="50" customHeight="1" x14ac:dyDescent="0.35">
      <c r="A164" s="1">
        <v>59300338</v>
      </c>
      <c r="B164" s="2">
        <v>46084.687997685185</v>
      </c>
      <c r="C164" s="1">
        <v>59352651</v>
      </c>
      <c r="D164" s="2">
        <v>46085.596747685187</v>
      </c>
      <c r="E164" s="1" t="s">
        <v>290</v>
      </c>
      <c r="F164" s="1" t="s">
        <v>278</v>
      </c>
      <c r="G164" s="1">
        <v>545254325</v>
      </c>
      <c r="H164" s="1" t="s">
        <v>339</v>
      </c>
      <c r="I164" s="1" t="s">
        <v>2</v>
      </c>
      <c r="J164" s="1" t="s">
        <v>10</v>
      </c>
      <c r="K164" s="1" t="s">
        <v>30</v>
      </c>
      <c r="L164" s="1" t="s">
        <v>12</v>
      </c>
      <c r="M164" s="1" t="s">
        <v>6</v>
      </c>
      <c r="N164" s="1" t="s">
        <v>13</v>
      </c>
      <c r="O164" s="1" t="s">
        <v>283</v>
      </c>
      <c r="P164" s="1" t="s">
        <v>2</v>
      </c>
      <c r="Q164" s="3">
        <v>2000000</v>
      </c>
      <c r="R164" s="7">
        <f t="shared" ca="1" si="2"/>
        <v>4</v>
      </c>
      <c r="S164" s="7" t="s">
        <v>390</v>
      </c>
      <c r="T164" s="7" t="e">
        <f>VLOOKUP(A164,[1]pipe!$A$16:$U$150,20,FALSE)</f>
        <v>#N/A</v>
      </c>
      <c r="U164" s="9" t="e">
        <f>VLOOKUP(A164,[1]pipe!$A$16:$U$150,21,FALSE)</f>
        <v>#N/A</v>
      </c>
    </row>
    <row r="165" spans="1:21" ht="48.5" customHeight="1" x14ac:dyDescent="0.35">
      <c r="A165" s="1">
        <v>59301114</v>
      </c>
      <c r="B165" s="2">
        <v>46084.692615740743</v>
      </c>
      <c r="C165" s="1">
        <v>59348871</v>
      </c>
      <c r="D165" s="2">
        <v>46085.567824074074</v>
      </c>
      <c r="E165" s="1" t="s">
        <v>290</v>
      </c>
      <c r="F165" s="1" t="s">
        <v>278</v>
      </c>
      <c r="G165" s="1">
        <v>788872393</v>
      </c>
      <c r="H165" s="1" t="s">
        <v>340</v>
      </c>
      <c r="I165" s="1" t="s">
        <v>2</v>
      </c>
      <c r="J165" s="1" t="s">
        <v>10</v>
      </c>
      <c r="K165" s="1" t="s">
        <v>30</v>
      </c>
      <c r="L165" s="1" t="s">
        <v>12</v>
      </c>
      <c r="M165" s="1" t="s">
        <v>6</v>
      </c>
      <c r="N165" s="1" t="s">
        <v>13</v>
      </c>
      <c r="O165" s="1" t="s">
        <v>283</v>
      </c>
      <c r="P165" s="1" t="s">
        <v>2</v>
      </c>
      <c r="Q165" s="3">
        <v>2000000</v>
      </c>
      <c r="R165" s="7">
        <f t="shared" ca="1" si="2"/>
        <v>4</v>
      </c>
      <c r="S165" s="7" t="s">
        <v>390</v>
      </c>
      <c r="T165" s="7" t="e">
        <f>VLOOKUP(A165,[1]pipe!$A$16:$U$150,20,FALSE)</f>
        <v>#N/A</v>
      </c>
      <c r="U165" s="9" t="e">
        <f>VLOOKUP(A165,[1]pipe!$A$16:$U$150,21,FALSE)</f>
        <v>#N/A</v>
      </c>
    </row>
    <row r="166" spans="1:21" ht="48" customHeight="1" x14ac:dyDescent="0.35">
      <c r="A166" s="1">
        <v>59301554</v>
      </c>
      <c r="B166" s="2">
        <v>46084.695763888885</v>
      </c>
      <c r="C166" s="1">
        <v>59349966</v>
      </c>
      <c r="D166" s="2">
        <v>46085.576064814813</v>
      </c>
      <c r="E166" s="1" t="s">
        <v>290</v>
      </c>
      <c r="F166" s="1" t="s">
        <v>278</v>
      </c>
      <c r="G166" s="1">
        <v>777654212</v>
      </c>
      <c r="H166" s="1" t="s">
        <v>341</v>
      </c>
      <c r="I166" s="1" t="s">
        <v>2</v>
      </c>
      <c r="J166" s="1" t="s">
        <v>10</v>
      </c>
      <c r="K166" s="1" t="s">
        <v>30</v>
      </c>
      <c r="L166" s="1" t="s">
        <v>12</v>
      </c>
      <c r="M166" s="1" t="s">
        <v>6</v>
      </c>
      <c r="N166" s="1" t="s">
        <v>13</v>
      </c>
      <c r="O166" s="1" t="s">
        <v>337</v>
      </c>
      <c r="P166" s="1" t="s">
        <v>2</v>
      </c>
      <c r="Q166" s="3">
        <v>2000000</v>
      </c>
      <c r="R166" s="7">
        <f t="shared" ca="1" si="2"/>
        <v>4</v>
      </c>
      <c r="S166" s="7" t="s">
        <v>390</v>
      </c>
      <c r="T166" s="7" t="e">
        <f>VLOOKUP(A166,[1]pipe!$A$16:$U$150,20,FALSE)</f>
        <v>#N/A</v>
      </c>
      <c r="U166" s="9" t="e">
        <f>VLOOKUP(A166,[1]pipe!$A$16:$U$150,21,FALSE)</f>
        <v>#N/A</v>
      </c>
    </row>
    <row r="167" spans="1:21" ht="26" x14ac:dyDescent="0.35">
      <c r="A167" s="1">
        <v>59308240</v>
      </c>
      <c r="B167" s="2">
        <v>46084.755844907406</v>
      </c>
      <c r="C167" s="1">
        <v>59344204</v>
      </c>
      <c r="D167" s="2">
        <v>46085.534675925926</v>
      </c>
      <c r="E167" s="1" t="s">
        <v>290</v>
      </c>
      <c r="F167" s="1" t="s">
        <v>239</v>
      </c>
      <c r="G167" s="1">
        <v>707865499</v>
      </c>
      <c r="H167" s="1" t="s">
        <v>288</v>
      </c>
      <c r="I167" s="1" t="s">
        <v>2</v>
      </c>
      <c r="J167" s="1" t="s">
        <v>10</v>
      </c>
      <c r="K167" s="1" t="s">
        <v>30</v>
      </c>
      <c r="L167" s="1" t="s">
        <v>12</v>
      </c>
      <c r="M167" s="1" t="s">
        <v>6</v>
      </c>
      <c r="N167" s="1" t="s">
        <v>13</v>
      </c>
      <c r="O167" s="1" t="s">
        <v>43</v>
      </c>
      <c r="P167" s="1" t="s">
        <v>2</v>
      </c>
      <c r="Q167" s="3">
        <v>2000000</v>
      </c>
      <c r="R167" s="7">
        <f t="shared" ca="1" si="2"/>
        <v>4</v>
      </c>
      <c r="S167" s="7" t="s">
        <v>390</v>
      </c>
      <c r="T167" s="7" t="e">
        <f>VLOOKUP(A167,[1]pipe!$A$16:$U$150,20,FALSE)</f>
        <v>#N/A</v>
      </c>
      <c r="U167" s="9" t="e">
        <f>VLOOKUP(A167,[1]pipe!$A$16:$U$150,21,FALSE)</f>
        <v>#N/A</v>
      </c>
    </row>
    <row r="168" spans="1:21" ht="65" x14ac:dyDescent="0.35">
      <c r="A168" s="1">
        <v>59309764</v>
      </c>
      <c r="B168" s="2">
        <v>46084.777083333334</v>
      </c>
      <c r="C168" s="1">
        <v>59349260</v>
      </c>
      <c r="D168" s="2">
        <v>46085.570532407408</v>
      </c>
      <c r="E168" s="1" t="s">
        <v>290</v>
      </c>
      <c r="F168" s="1" t="s">
        <v>239</v>
      </c>
      <c r="G168" s="1">
        <v>708164102</v>
      </c>
      <c r="H168" s="1" t="s">
        <v>342</v>
      </c>
      <c r="I168" s="1" t="s">
        <v>2</v>
      </c>
      <c r="J168" s="1" t="s">
        <v>10</v>
      </c>
      <c r="K168" s="1" t="s">
        <v>30</v>
      </c>
      <c r="L168" s="1" t="s">
        <v>12</v>
      </c>
      <c r="M168" s="1" t="s">
        <v>6</v>
      </c>
      <c r="N168" s="1" t="s">
        <v>13</v>
      </c>
      <c r="O168" s="1" t="s">
        <v>337</v>
      </c>
      <c r="P168" s="1" t="s">
        <v>2</v>
      </c>
      <c r="Q168" s="3">
        <v>2000000</v>
      </c>
      <c r="R168" s="7">
        <f t="shared" ca="1" si="2"/>
        <v>4</v>
      </c>
      <c r="S168" s="7" t="s">
        <v>390</v>
      </c>
      <c r="T168" s="7" t="e">
        <f>VLOOKUP(A168,[1]pipe!$A$16:$U$150,20,FALSE)</f>
        <v>#N/A</v>
      </c>
      <c r="U168" s="9" t="e">
        <f>VLOOKUP(A168,[1]pipe!$A$16:$U$150,21,FALSE)</f>
        <v>#N/A</v>
      </c>
    </row>
    <row r="169" spans="1:21" ht="26" x14ac:dyDescent="0.35">
      <c r="A169" s="1">
        <v>59312351</v>
      </c>
      <c r="B169" s="2">
        <v>46084.824178240742</v>
      </c>
      <c r="C169" s="1">
        <v>59336036</v>
      </c>
      <c r="D169" s="2">
        <v>46085.477870370371</v>
      </c>
      <c r="E169" s="1" t="s">
        <v>290</v>
      </c>
      <c r="F169" s="1" t="s">
        <v>37</v>
      </c>
      <c r="G169" s="1">
        <v>749928277</v>
      </c>
      <c r="H169" s="1" t="s">
        <v>338</v>
      </c>
      <c r="I169" s="1" t="s">
        <v>2</v>
      </c>
      <c r="J169" s="1" t="s">
        <v>3</v>
      </c>
      <c r="K169" s="1" t="s">
        <v>4</v>
      </c>
      <c r="L169" s="1" t="s">
        <v>5</v>
      </c>
      <c r="M169" s="1" t="s">
        <v>6</v>
      </c>
      <c r="N169" s="1" t="s">
        <v>13</v>
      </c>
      <c r="O169" s="1" t="s">
        <v>343</v>
      </c>
      <c r="P169" s="1" t="s">
        <v>2</v>
      </c>
      <c r="Q169" s="1" t="s">
        <v>2</v>
      </c>
      <c r="R169" s="7">
        <f t="shared" ca="1" si="2"/>
        <v>4</v>
      </c>
      <c r="S169" s="7" t="s">
        <v>390</v>
      </c>
      <c r="T169" s="7" t="e">
        <f>VLOOKUP(A169,[1]pipe!$A$16:$U$150,20,FALSE)</f>
        <v>#N/A</v>
      </c>
      <c r="U169" s="9" t="e">
        <f>VLOOKUP(A169,[1]pipe!$A$16:$U$150,21,FALSE)</f>
        <v>#N/A</v>
      </c>
    </row>
    <row r="170" spans="1:21" ht="53.5" customHeight="1" x14ac:dyDescent="0.35">
      <c r="A170" s="1">
        <v>59374776</v>
      </c>
      <c r="B170" s="2">
        <v>46085.757662037038</v>
      </c>
      <c r="C170" s="1">
        <v>59393180</v>
      </c>
      <c r="D170" s="2">
        <v>46086.405497685184</v>
      </c>
      <c r="E170" s="1" t="s">
        <v>290</v>
      </c>
      <c r="F170" s="1" t="s">
        <v>344</v>
      </c>
      <c r="G170" s="1">
        <v>747726344</v>
      </c>
      <c r="H170" s="1" t="s">
        <v>345</v>
      </c>
      <c r="I170" s="1" t="s">
        <v>2</v>
      </c>
      <c r="J170" s="1" t="s">
        <v>35</v>
      </c>
      <c r="K170" s="1" t="s">
        <v>30</v>
      </c>
      <c r="L170" s="1" t="s">
        <v>36</v>
      </c>
      <c r="M170" s="1" t="s">
        <v>25</v>
      </c>
      <c r="N170" s="1" t="s">
        <v>13</v>
      </c>
      <c r="O170" s="1" t="s">
        <v>281</v>
      </c>
      <c r="P170" s="1" t="s">
        <v>2</v>
      </c>
      <c r="Q170" s="1" t="s">
        <v>2</v>
      </c>
      <c r="R170" s="7">
        <f t="shared" ca="1" si="2"/>
        <v>3</v>
      </c>
      <c r="S170" s="7" t="s">
        <v>390</v>
      </c>
      <c r="T170" s="7" t="e">
        <f>VLOOKUP(A170,[1]pipe!$A$16:$U$150,20,FALSE)</f>
        <v>#N/A</v>
      </c>
      <c r="U170" s="9" t="e">
        <f>VLOOKUP(A170,[1]pipe!$A$16:$U$150,21,FALSE)</f>
        <v>#N/A</v>
      </c>
    </row>
    <row r="171" spans="1:21" ht="57.5" customHeight="1" x14ac:dyDescent="0.35">
      <c r="A171" s="1">
        <v>59374796</v>
      </c>
      <c r="B171" s="2">
        <v>46085.757731481484</v>
      </c>
      <c r="C171" s="1">
        <v>59393466</v>
      </c>
      <c r="D171" s="2">
        <v>46086.408391203702</v>
      </c>
      <c r="E171" s="1" t="s">
        <v>290</v>
      </c>
      <c r="F171" s="1" t="s">
        <v>344</v>
      </c>
      <c r="G171" s="1">
        <v>747726344</v>
      </c>
      <c r="H171" s="1" t="s">
        <v>345</v>
      </c>
      <c r="I171" s="1" t="s">
        <v>2</v>
      </c>
      <c r="J171" s="1" t="s">
        <v>35</v>
      </c>
      <c r="K171" s="1" t="s">
        <v>30</v>
      </c>
      <c r="L171" s="1" t="s">
        <v>36</v>
      </c>
      <c r="M171" s="1" t="s">
        <v>47</v>
      </c>
      <c r="N171" s="1" t="s">
        <v>13</v>
      </c>
      <c r="O171" s="1" t="s">
        <v>337</v>
      </c>
      <c r="P171" s="1" t="s">
        <v>2</v>
      </c>
      <c r="Q171" s="1">
        <v>0</v>
      </c>
      <c r="R171" s="7">
        <f t="shared" ca="1" si="2"/>
        <v>3</v>
      </c>
      <c r="S171" s="7" t="s">
        <v>390</v>
      </c>
      <c r="T171" s="7" t="e">
        <f>VLOOKUP(A171,[1]pipe!$A$16:$U$150,20,FALSE)</f>
        <v>#N/A</v>
      </c>
      <c r="U171" s="9" t="e">
        <f>VLOOKUP(A171,[1]pipe!$A$16:$U$150,21,FALSE)</f>
        <v>#N/A</v>
      </c>
    </row>
    <row r="172" spans="1:21" ht="26" x14ac:dyDescent="0.35">
      <c r="A172" s="1">
        <v>59406146</v>
      </c>
      <c r="B172" s="2">
        <v>46086.506643518522</v>
      </c>
      <c r="C172" s="1">
        <v>59426353</v>
      </c>
      <c r="D172" s="2">
        <v>46086.658784722225</v>
      </c>
      <c r="E172" s="1" t="s">
        <v>290</v>
      </c>
      <c r="F172" s="1" t="s">
        <v>346</v>
      </c>
      <c r="G172" s="1">
        <v>709136702</v>
      </c>
      <c r="H172" s="1" t="s">
        <v>203</v>
      </c>
      <c r="I172" s="1" t="s">
        <v>2</v>
      </c>
      <c r="J172" s="1" t="s">
        <v>129</v>
      </c>
      <c r="K172" s="1" t="s">
        <v>30</v>
      </c>
      <c r="L172" s="1" t="s">
        <v>5</v>
      </c>
      <c r="M172" s="1" t="s">
        <v>6</v>
      </c>
      <c r="N172" s="1" t="s">
        <v>13</v>
      </c>
      <c r="O172" s="1" t="s">
        <v>253</v>
      </c>
      <c r="P172" s="1" t="s">
        <v>2</v>
      </c>
      <c r="Q172" s="1">
        <v>0</v>
      </c>
      <c r="R172" s="7">
        <f t="shared" ca="1" si="2"/>
        <v>2</v>
      </c>
      <c r="S172" s="7" t="s">
        <v>390</v>
      </c>
      <c r="T172" s="7" t="e">
        <f>VLOOKUP(A172,[1]pipe!$A$16:$U$150,20,FALSE)</f>
        <v>#N/A</v>
      </c>
      <c r="U172" s="9" t="e">
        <f>VLOOKUP(A172,[1]pipe!$A$16:$U$150,21,FALSE)</f>
        <v>#N/A</v>
      </c>
    </row>
    <row r="173" spans="1:21" ht="26" x14ac:dyDescent="0.35">
      <c r="A173" s="1">
        <v>59406937</v>
      </c>
      <c r="B173" s="2">
        <v>46086.512870370374</v>
      </c>
      <c r="C173" s="1">
        <v>59428327</v>
      </c>
      <c r="D173" s="2">
        <v>46086.673530092594</v>
      </c>
      <c r="E173" s="1" t="s">
        <v>290</v>
      </c>
      <c r="F173" s="1" t="s">
        <v>347</v>
      </c>
      <c r="G173" s="1">
        <v>709136702</v>
      </c>
      <c r="H173" s="1" t="s">
        <v>203</v>
      </c>
      <c r="I173" s="1" t="s">
        <v>2</v>
      </c>
      <c r="J173" s="1" t="s">
        <v>129</v>
      </c>
      <c r="K173" s="1" t="s">
        <v>30</v>
      </c>
      <c r="L173" s="1" t="s">
        <v>5</v>
      </c>
      <c r="M173" s="1" t="s">
        <v>6</v>
      </c>
      <c r="N173" s="1" t="s">
        <v>13</v>
      </c>
      <c r="O173" s="1" t="s">
        <v>283</v>
      </c>
      <c r="P173" s="1" t="s">
        <v>2</v>
      </c>
      <c r="Q173" s="1">
        <v>0</v>
      </c>
      <c r="R173" s="7">
        <f t="shared" ca="1" si="2"/>
        <v>2</v>
      </c>
      <c r="S173" s="7" t="s">
        <v>390</v>
      </c>
      <c r="T173" s="7" t="e">
        <f>VLOOKUP(A173,[1]pipe!$A$16:$U$150,20,FALSE)</f>
        <v>#N/A</v>
      </c>
      <c r="U173" s="9" t="e">
        <f>VLOOKUP(A173,[1]pipe!$A$16:$U$150,21,FALSE)</f>
        <v>#N/A</v>
      </c>
    </row>
    <row r="174" spans="1:21" ht="26" x14ac:dyDescent="0.35">
      <c r="A174" s="1">
        <v>59409078</v>
      </c>
      <c r="B174" s="2">
        <v>46086.529247685183</v>
      </c>
      <c r="C174" s="1">
        <v>59427283</v>
      </c>
      <c r="D174" s="2">
        <v>46086.665729166663</v>
      </c>
      <c r="E174" s="1" t="s">
        <v>290</v>
      </c>
      <c r="F174" s="1" t="s">
        <v>348</v>
      </c>
      <c r="G174" s="1">
        <v>709140938</v>
      </c>
      <c r="H174" s="1" t="s">
        <v>203</v>
      </c>
      <c r="I174" s="1" t="s">
        <v>2</v>
      </c>
      <c r="J174" s="1" t="s">
        <v>129</v>
      </c>
      <c r="K174" s="1" t="s">
        <v>4</v>
      </c>
      <c r="L174" s="1" t="s">
        <v>5</v>
      </c>
      <c r="M174" s="1" t="s">
        <v>25</v>
      </c>
      <c r="N174" s="1" t="s">
        <v>13</v>
      </c>
      <c r="O174" s="1" t="s">
        <v>192</v>
      </c>
      <c r="P174" s="1" t="s">
        <v>2</v>
      </c>
      <c r="Q174" s="1" t="s">
        <v>2</v>
      </c>
      <c r="R174" s="7">
        <f t="shared" ca="1" si="2"/>
        <v>2</v>
      </c>
      <c r="S174" s="7" t="s">
        <v>390</v>
      </c>
      <c r="T174" s="7" t="e">
        <f>VLOOKUP(A174,[1]pipe!$A$16:$U$150,20,FALSE)</f>
        <v>#N/A</v>
      </c>
      <c r="U174" s="9" t="e">
        <f>VLOOKUP(A174,[1]pipe!$A$16:$U$150,21,FALSE)</f>
        <v>#N/A</v>
      </c>
    </row>
    <row r="175" spans="1:21" ht="26" x14ac:dyDescent="0.35">
      <c r="A175" s="1">
        <v>59409752</v>
      </c>
      <c r="B175" s="2">
        <v>46086.534502314818</v>
      </c>
      <c r="C175" s="1">
        <v>59429000</v>
      </c>
      <c r="D175" s="2">
        <v>46086.676817129628</v>
      </c>
      <c r="E175" s="1" t="s">
        <v>290</v>
      </c>
      <c r="F175" s="1" t="s">
        <v>349</v>
      </c>
      <c r="G175" s="1">
        <v>758700193</v>
      </c>
      <c r="H175" s="1" t="s">
        <v>203</v>
      </c>
      <c r="I175" s="1" t="s">
        <v>2</v>
      </c>
      <c r="J175" s="1" t="s">
        <v>129</v>
      </c>
      <c r="K175" s="1" t="s">
        <v>4</v>
      </c>
      <c r="L175" s="1" t="s">
        <v>5</v>
      </c>
      <c r="M175" s="1" t="s">
        <v>6</v>
      </c>
      <c r="N175" s="1" t="s">
        <v>13</v>
      </c>
      <c r="O175" s="1" t="s">
        <v>133</v>
      </c>
      <c r="P175" s="1" t="s">
        <v>2</v>
      </c>
      <c r="Q175" s="1" t="s">
        <v>2</v>
      </c>
      <c r="R175" s="7">
        <f t="shared" ca="1" si="2"/>
        <v>2</v>
      </c>
      <c r="S175" s="7" t="s">
        <v>390</v>
      </c>
      <c r="T175" s="7" t="e">
        <f>VLOOKUP(A175,[1]pipe!$A$16:$U$150,20,FALSE)</f>
        <v>#N/A</v>
      </c>
      <c r="U175" s="9" t="e">
        <f>VLOOKUP(A175,[1]pipe!$A$16:$U$150,21,FALSE)</f>
        <v>#N/A</v>
      </c>
    </row>
    <row r="176" spans="1:21" ht="39" x14ac:dyDescent="0.35">
      <c r="A176" s="1">
        <v>59410212</v>
      </c>
      <c r="B176" s="2">
        <v>46086.537708333337</v>
      </c>
      <c r="C176" s="1">
        <v>59410239</v>
      </c>
      <c r="D176" s="2">
        <v>46086.537939814814</v>
      </c>
      <c r="E176" s="1" t="s">
        <v>95</v>
      </c>
      <c r="F176" s="1" t="s">
        <v>350</v>
      </c>
      <c r="G176" s="1">
        <v>789018789</v>
      </c>
      <c r="H176" s="1" t="s">
        <v>203</v>
      </c>
      <c r="I176" s="1" t="s">
        <v>2</v>
      </c>
      <c r="J176" s="1" t="s">
        <v>129</v>
      </c>
      <c r="K176" s="1" t="s">
        <v>351</v>
      </c>
      <c r="L176" s="1" t="s">
        <v>5</v>
      </c>
      <c r="M176" s="1" t="s">
        <v>25</v>
      </c>
      <c r="N176" s="1" t="s">
        <v>13</v>
      </c>
      <c r="O176" s="1" t="s">
        <v>2</v>
      </c>
      <c r="P176" s="1" t="s">
        <v>2</v>
      </c>
      <c r="Q176" s="1" t="s">
        <v>2</v>
      </c>
      <c r="R176" s="7">
        <f t="shared" ca="1" si="2"/>
        <v>2</v>
      </c>
      <c r="S176" s="7" t="s">
        <v>390</v>
      </c>
      <c r="T176" s="7" t="e">
        <f>VLOOKUP(A176,[1]pipe!$A$16:$U$150,20,FALSE)</f>
        <v>#N/A</v>
      </c>
      <c r="U176" s="9" t="e">
        <f>VLOOKUP(A176,[1]pipe!$A$16:$U$150,21,FALSE)</f>
        <v>#N/A</v>
      </c>
    </row>
    <row r="177" spans="1:21" ht="52" x14ac:dyDescent="0.35">
      <c r="A177" s="1">
        <v>59410843</v>
      </c>
      <c r="B177" s="2">
        <v>46086.542870370373</v>
      </c>
      <c r="C177" s="1">
        <v>59429922</v>
      </c>
      <c r="D177" s="2">
        <v>46086.682488425926</v>
      </c>
      <c r="E177" s="1" t="s">
        <v>290</v>
      </c>
      <c r="F177" s="1" t="s">
        <v>352</v>
      </c>
      <c r="G177" s="1">
        <v>758700193</v>
      </c>
      <c r="H177" s="1" t="s">
        <v>353</v>
      </c>
      <c r="I177" s="1" t="s">
        <v>2</v>
      </c>
      <c r="J177" s="1" t="s">
        <v>129</v>
      </c>
      <c r="K177" s="1" t="s">
        <v>4</v>
      </c>
      <c r="L177" s="1" t="s">
        <v>5</v>
      </c>
      <c r="M177" s="1" t="s">
        <v>6</v>
      </c>
      <c r="N177" s="1" t="s">
        <v>13</v>
      </c>
      <c r="O177" s="1" t="s">
        <v>354</v>
      </c>
      <c r="P177" s="1" t="s">
        <v>2</v>
      </c>
      <c r="Q177" s="1" t="s">
        <v>2</v>
      </c>
      <c r="R177" s="7">
        <f t="shared" ca="1" si="2"/>
        <v>2</v>
      </c>
      <c r="S177" s="7" t="s">
        <v>390</v>
      </c>
      <c r="T177" s="7" t="e">
        <f>VLOOKUP(A177,[1]pipe!$A$16:$U$150,20,FALSE)</f>
        <v>#N/A</v>
      </c>
      <c r="U177" s="9" t="e">
        <f>VLOOKUP(A177,[1]pipe!$A$16:$U$150,21,FALSE)</f>
        <v>#N/A</v>
      </c>
    </row>
    <row r="178" spans="1:21" ht="39" x14ac:dyDescent="0.35">
      <c r="A178" s="1">
        <v>59414411</v>
      </c>
      <c r="B178" s="2">
        <v>46086.57104166667</v>
      </c>
      <c r="C178" s="1">
        <v>59430460</v>
      </c>
      <c r="D178" s="2">
        <v>46086.686412037037</v>
      </c>
      <c r="E178" s="1" t="s">
        <v>290</v>
      </c>
      <c r="F178" s="1" t="s">
        <v>355</v>
      </c>
      <c r="G178" s="1">
        <v>566473307</v>
      </c>
      <c r="H178" s="1" t="s">
        <v>356</v>
      </c>
      <c r="I178" s="1" t="s">
        <v>2</v>
      </c>
      <c r="J178" s="1" t="s">
        <v>129</v>
      </c>
      <c r="K178" s="1" t="s">
        <v>4</v>
      </c>
      <c r="L178" s="1" t="s">
        <v>5</v>
      </c>
      <c r="M178" s="1" t="s">
        <v>6</v>
      </c>
      <c r="N178" s="1" t="s">
        <v>13</v>
      </c>
      <c r="O178" s="1" t="s">
        <v>133</v>
      </c>
      <c r="P178" s="1" t="s">
        <v>2</v>
      </c>
      <c r="Q178" s="1">
        <v>0</v>
      </c>
      <c r="R178" s="7">
        <f t="shared" ca="1" si="2"/>
        <v>2</v>
      </c>
      <c r="S178" s="7" t="s">
        <v>390</v>
      </c>
      <c r="T178" s="7" t="e">
        <f>VLOOKUP(A178,[1]pipe!$A$16:$U$150,20,FALSE)</f>
        <v>#N/A</v>
      </c>
      <c r="U178" s="9" t="e">
        <f>VLOOKUP(A178,[1]pipe!$A$16:$U$150,21,FALSE)</f>
        <v>#N/A</v>
      </c>
    </row>
    <row r="179" spans="1:21" ht="52" x14ac:dyDescent="0.35">
      <c r="A179" s="1">
        <v>59417066</v>
      </c>
      <c r="B179" s="2">
        <v>46086.594525462962</v>
      </c>
      <c r="C179" s="1">
        <v>59431339</v>
      </c>
      <c r="D179" s="2">
        <v>46086.692337962966</v>
      </c>
      <c r="E179" s="1" t="s">
        <v>290</v>
      </c>
      <c r="F179" s="1" t="s">
        <v>357</v>
      </c>
      <c r="G179" s="1">
        <v>709565662</v>
      </c>
      <c r="H179" s="1" t="s">
        <v>358</v>
      </c>
      <c r="I179" s="1" t="s">
        <v>2</v>
      </c>
      <c r="J179" s="1" t="s">
        <v>129</v>
      </c>
      <c r="K179" s="1" t="s">
        <v>4</v>
      </c>
      <c r="L179" s="1" t="s">
        <v>5</v>
      </c>
      <c r="M179" s="1" t="s">
        <v>6</v>
      </c>
      <c r="N179" s="1" t="s">
        <v>13</v>
      </c>
      <c r="O179" s="1" t="s">
        <v>283</v>
      </c>
      <c r="P179" s="1" t="s">
        <v>2</v>
      </c>
      <c r="Q179" s="1">
        <v>0</v>
      </c>
      <c r="R179" s="7">
        <f t="shared" ca="1" si="2"/>
        <v>2</v>
      </c>
      <c r="S179" s="7" t="s">
        <v>390</v>
      </c>
      <c r="T179" s="7" t="e">
        <f>VLOOKUP(A179,[1]pipe!$A$16:$U$150,20,FALSE)</f>
        <v>#N/A</v>
      </c>
      <c r="U179" s="9" t="e">
        <f>VLOOKUP(A179,[1]pipe!$A$16:$U$150,21,FALSE)</f>
        <v>#N/A</v>
      </c>
    </row>
    <row r="180" spans="1:21" ht="65" x14ac:dyDescent="0.35">
      <c r="A180" s="1">
        <v>59427337</v>
      </c>
      <c r="B180" s="2">
        <v>46086.666180555556</v>
      </c>
      <c r="C180" s="1">
        <v>59427929</v>
      </c>
      <c r="D180" s="2">
        <v>46086.66951388889</v>
      </c>
      <c r="E180" s="1" t="s">
        <v>361</v>
      </c>
      <c r="F180" s="1" t="s">
        <v>359</v>
      </c>
      <c r="G180" s="1">
        <v>708326247</v>
      </c>
      <c r="H180" s="1" t="s">
        <v>360</v>
      </c>
      <c r="I180" s="1">
        <v>0</v>
      </c>
      <c r="J180" s="1" t="s">
        <v>3</v>
      </c>
      <c r="K180" s="1" t="s">
        <v>4</v>
      </c>
      <c r="L180" s="1" t="s">
        <v>5</v>
      </c>
      <c r="M180" s="1" t="s">
        <v>6</v>
      </c>
      <c r="N180" s="1" t="s">
        <v>13</v>
      </c>
      <c r="O180" s="1" t="s">
        <v>2</v>
      </c>
      <c r="P180" s="1" t="s">
        <v>2</v>
      </c>
      <c r="Q180" s="1" t="s">
        <v>2</v>
      </c>
      <c r="R180" s="7">
        <f t="shared" ca="1" si="2"/>
        <v>2</v>
      </c>
      <c r="S180" s="7" t="s">
        <v>390</v>
      </c>
      <c r="T180" s="7" t="e">
        <f>VLOOKUP(A180,[1]pipe!$A$16:$U$150,20,FALSE)</f>
        <v>#N/A</v>
      </c>
      <c r="U180" s="9" t="e">
        <f>VLOOKUP(A180,[1]pipe!$A$16:$U$150,21,FALSE)</f>
        <v>#N/A</v>
      </c>
    </row>
  </sheetData>
  <autoFilter ref="A1:U180" xr:uid="{00000000-0009-0000-0000-000000000000}"/>
  <conditionalFormatting sqref="A1">
    <cfRule type="duplicateValues" dxfId="3" priority="4"/>
  </conditionalFormatting>
  <conditionalFormatting sqref="A1:A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2026-03-05T17:47:20Z</dcterms:created>
  <dcterms:modified xsi:type="dcterms:W3CDTF">2026-03-06T14:36:59Z</dcterms:modified>
</cp:coreProperties>
</file>